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aytoelche-my.sharepoint.com/personal/equesada_elche_es/Documents/PLAN ESTRATÉGICO_PORH/2. Grupos de Trabajo/3. Procesos y Puestos de Trabajo/CD/ESTUDIO_REVISIÓN/het_cd_streamlit_produccion_v1_0/het_cd_streamlit_deploy/data/"/>
    </mc:Choice>
  </mc:AlternateContent>
  <xr:revisionPtr revIDLastSave="19" documentId="8_{F3EBB33E-D1E0-431C-BC25-224C3844A021}" xr6:coauthVersionLast="47" xr6:coauthVersionMax="47" xr10:uidLastSave="{B18A5A4A-FF2C-44CE-9109-E4D12E11C96A}"/>
  <bookViews>
    <workbookView xWindow="-108" yWindow="-108" windowWidth="23256" windowHeight="12456" activeTab="3" xr2:uid="{00000000-000D-0000-FFFF-FFFF00000000}"/>
  </bookViews>
  <sheets>
    <sheet name="verbs_patterns" sheetId="1" r:id="rId1"/>
    <sheet name="verbs_dictionary" sheetId="2" r:id="rId2"/>
    <sheet name="compatibility_verbs" sheetId="3" r:id="rId3"/>
    <sheet name="patrones_vector" sheetId="4" r:id="rId4"/>
    <sheet name="puestos_vector" sheetId="5" r:id="rId5"/>
    <sheet name="diccionario_columnas" sheetId="6" r:id="rId6"/>
    <sheet name="resultados_het_cd" sheetId="7" r:id="rId7"/>
    <sheet name="comparacion_externa" sheetId="8" r:id="rId8"/>
    <sheet name="impacto_economico" sheetId="9" r:id="rId9"/>
    <sheet name="pesos_modelo" sheetId="10" r:id="rId10"/>
    <sheet name="00_LEEME" sheetId="11" r:id="rId11"/>
    <sheet name="rangos_cd" sheetId="12" r:id="rId12"/>
    <sheet name="guia_escalas" sheetId="13" r:id="rId13"/>
    <sheet name="criterios_vectorizacion_cd" sheetId="14" r:id="rId14"/>
    <sheet name="criterios_grupos_funcionales" sheetId="15" r:id="rId15"/>
    <sheet name="calibracion_puestos_patron" sheetId="16" r:id="rId16"/>
    <sheet name="puestos_vector_preliminar" sheetId="17" r:id="rId17"/>
    <sheet name="puestos_rpt_fuente" sheetId="18" r:id="rId18"/>
    <sheet name="resumen_vectorizacion_rpt" sheetId="19" r:id="rId19"/>
    <sheet name="00_actualizacion_v1_5" sheetId="20" r:id="rId20"/>
    <sheet name="importes_cd_2026" sheetId="21" r:id="rId21"/>
    <sheet name="diferenciales_cd_2026" sheetId="22" r:id="rId22"/>
    <sheet name="00_actualizacion_v1_6" sheetId="23" r:id="rId23"/>
    <sheet name="00_actualizacion_v1_7" sheetId="24" r:id="rId24"/>
    <sheet name="00_actualizacion_v1_8" sheetId="25" r:id="rId2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53" i="1" l="1"/>
  <c r="AE53" i="1" s="1"/>
  <c r="AA53" i="1" a="1"/>
  <c r="AA53" i="1" s="1"/>
  <c r="Z53" i="1"/>
  <c r="Y53" i="1"/>
  <c r="AD52" i="1"/>
  <c r="AE52" i="1" s="1"/>
  <c r="AA52" i="1" a="1"/>
  <c r="AA52" i="1" s="1"/>
  <c r="Z52" i="1"/>
  <c r="Y52" i="1"/>
  <c r="AD51" i="1"/>
  <c r="AE51" i="1" s="1"/>
  <c r="AA51" i="1" a="1"/>
  <c r="AA51" i="1" s="1"/>
  <c r="Z51" i="1"/>
  <c r="Y51" i="1"/>
  <c r="AE50" i="1"/>
  <c r="AD50" i="1"/>
  <c r="AA50" i="1" a="1"/>
  <c r="AA50" i="1" s="1"/>
  <c r="Z50" i="1"/>
  <c r="Y50" i="1"/>
  <c r="AE49" i="1"/>
  <c r="AD49" i="1"/>
  <c r="AA49" i="1" a="1"/>
  <c r="AA49" i="1" s="1"/>
  <c r="Z49" i="1"/>
  <c r="Y49" i="1"/>
  <c r="AE48" i="1"/>
  <c r="AD48" i="1"/>
  <c r="AA48" i="1" a="1"/>
  <c r="AA48" i="1" s="1"/>
  <c r="Z48" i="1"/>
  <c r="Y48" i="1"/>
  <c r="AE47" i="1"/>
  <c r="AD47" i="1"/>
  <c r="AA47" i="1" a="1"/>
  <c r="AA47" i="1" s="1"/>
  <c r="Z47" i="1"/>
  <c r="Y47" i="1"/>
  <c r="AE46" i="1"/>
  <c r="AD46" i="1"/>
  <c r="AA46" i="1" a="1"/>
  <c r="AA46" i="1" s="1"/>
  <c r="Z46" i="1"/>
  <c r="Y46" i="1"/>
  <c r="AE45" i="1"/>
  <c r="AD45" i="1"/>
  <c r="AA45" i="1" a="1"/>
  <c r="AA45" i="1" s="1"/>
  <c r="Z45" i="1"/>
  <c r="Y45" i="1"/>
  <c r="AE44" i="1"/>
  <c r="AD44" i="1"/>
  <c r="AA44" i="1" a="1"/>
  <c r="AA44" i="1" s="1"/>
  <c r="Z44" i="1"/>
  <c r="Y44" i="1"/>
  <c r="AE43" i="1"/>
  <c r="AD43" i="1"/>
  <c r="AA43" i="1" a="1"/>
  <c r="AA43" i="1" s="1"/>
  <c r="Z43" i="1"/>
  <c r="Y43" i="1"/>
  <c r="AE42" i="1"/>
  <c r="AD42" i="1"/>
  <c r="AA42" i="1" a="1"/>
  <c r="AA42" i="1" s="1"/>
  <c r="Z42" i="1"/>
  <c r="Y42" i="1"/>
  <c r="AE41" i="1"/>
  <c r="AD41" i="1"/>
  <c r="AA41" i="1" a="1"/>
  <c r="AA41" i="1" s="1"/>
  <c r="Z41" i="1"/>
  <c r="Y41" i="1"/>
  <c r="AE40" i="1"/>
  <c r="AD40" i="1"/>
  <c r="AA40" i="1" a="1"/>
  <c r="AA40" i="1" s="1"/>
  <c r="Z40" i="1"/>
  <c r="Y40" i="1"/>
  <c r="AE39" i="1"/>
  <c r="AD39" i="1"/>
  <c r="AA39" i="1" a="1"/>
  <c r="AA39" i="1" s="1"/>
  <c r="Z39" i="1"/>
  <c r="Y39" i="1"/>
  <c r="AE38" i="1"/>
  <c r="AD38" i="1"/>
  <c r="AA38" i="1" a="1"/>
  <c r="AA38" i="1" s="1"/>
  <c r="Z38" i="1"/>
  <c r="Y38" i="1"/>
  <c r="AE37" i="1"/>
  <c r="AD37" i="1"/>
  <c r="AA37" i="1" a="1"/>
  <c r="AA37" i="1" s="1"/>
  <c r="Z37" i="1"/>
  <c r="Y37" i="1"/>
  <c r="AE36" i="1"/>
  <c r="AD36" i="1"/>
  <c r="AA36" i="1" a="1"/>
  <c r="AA36" i="1" s="1"/>
  <c r="Z36" i="1"/>
  <c r="Y36" i="1"/>
  <c r="AE35" i="1"/>
  <c r="AD35" i="1"/>
  <c r="AA35" i="1" a="1"/>
  <c r="AA35" i="1" s="1"/>
  <c r="Z35" i="1"/>
  <c r="Y35" i="1"/>
  <c r="AE34" i="1"/>
  <c r="AD34" i="1"/>
  <c r="AA34" i="1" a="1"/>
  <c r="AA34" i="1" s="1"/>
  <c r="Z34" i="1"/>
  <c r="Y34" i="1"/>
  <c r="AE33" i="1"/>
  <c r="AD33" i="1"/>
  <c r="AA33" i="1" a="1"/>
  <c r="AA33" i="1" s="1"/>
  <c r="Z33" i="1"/>
  <c r="Y33" i="1"/>
  <c r="AE32" i="1"/>
  <c r="AD32" i="1"/>
  <c r="AA32" i="1" a="1"/>
  <c r="AA32" i="1" s="1"/>
  <c r="Z32" i="1"/>
  <c r="Y32" i="1"/>
  <c r="AE31" i="1"/>
  <c r="AD31" i="1"/>
  <c r="AA31" i="1" a="1"/>
  <c r="AA31" i="1" s="1"/>
  <c r="Z31" i="1"/>
  <c r="Y31" i="1"/>
  <c r="AE30" i="1"/>
  <c r="AD30" i="1"/>
  <c r="AA30" i="1" a="1"/>
  <c r="AA30" i="1" s="1"/>
  <c r="Z30" i="1"/>
  <c r="Y30" i="1"/>
  <c r="AE29" i="1"/>
  <c r="AD29" i="1"/>
  <c r="AA29" i="1" a="1"/>
  <c r="AA29" i="1" s="1"/>
  <c r="Z29" i="1"/>
  <c r="Y29" i="1"/>
  <c r="AE28" i="1"/>
  <c r="AD28" i="1"/>
  <c r="AA28" i="1" a="1"/>
  <c r="AA28" i="1" s="1"/>
  <c r="Z28" i="1"/>
  <c r="Y28" i="1"/>
  <c r="AE27" i="1"/>
  <c r="AD27" i="1"/>
  <c r="AA27" i="1" a="1"/>
  <c r="AA27" i="1" s="1"/>
  <c r="Z27" i="1"/>
  <c r="Y27" i="1"/>
  <c r="AE26" i="1"/>
  <c r="AD26" i="1"/>
  <c r="AA26" i="1" a="1"/>
  <c r="AA26" i="1" s="1"/>
  <c r="Z26" i="1"/>
  <c r="Y26" i="1"/>
  <c r="AE25" i="1"/>
  <c r="AD25" i="1"/>
  <c r="AA25" i="1" a="1"/>
  <c r="AA25" i="1" s="1"/>
  <c r="Z25" i="1"/>
  <c r="Y25" i="1"/>
  <c r="AE24" i="1"/>
  <c r="AD24" i="1"/>
  <c r="AA24" i="1" a="1"/>
  <c r="AA24" i="1" s="1"/>
  <c r="Z24" i="1"/>
  <c r="Y24" i="1"/>
  <c r="AE23" i="1"/>
  <c r="AD23" i="1"/>
  <c r="AA23" i="1" a="1"/>
  <c r="AA23" i="1" s="1"/>
  <c r="Z23" i="1"/>
  <c r="Y23" i="1"/>
  <c r="AE22" i="1"/>
  <c r="AD22" i="1"/>
  <c r="AA22" i="1" a="1"/>
  <c r="AA22" i="1" s="1"/>
  <c r="Z22" i="1"/>
  <c r="Y22" i="1"/>
  <c r="AE21" i="1"/>
  <c r="AD21" i="1"/>
  <c r="AA21" i="1" a="1"/>
  <c r="AA21" i="1" s="1"/>
  <c r="Z21" i="1"/>
  <c r="Y21" i="1"/>
  <c r="AE20" i="1"/>
  <c r="AD20" i="1"/>
  <c r="AA20" i="1" a="1"/>
  <c r="AA20" i="1" s="1"/>
  <c r="Z20" i="1"/>
  <c r="Y20" i="1"/>
  <c r="AE19" i="1"/>
  <c r="AD19" i="1"/>
  <c r="AA19" i="1" a="1"/>
  <c r="AA19" i="1" s="1"/>
  <c r="Z19" i="1"/>
  <c r="Y19" i="1"/>
  <c r="AE18" i="1"/>
  <c r="AD18" i="1"/>
  <c r="AA18" i="1" a="1"/>
  <c r="AA18" i="1" s="1"/>
  <c r="Z18" i="1"/>
  <c r="Y18" i="1"/>
  <c r="AE17" i="1"/>
  <c r="AD17" i="1"/>
  <c r="AA17" i="1" a="1"/>
  <c r="AA17" i="1" s="1"/>
  <c r="Z17" i="1"/>
  <c r="Y17" i="1"/>
  <c r="AE16" i="1"/>
  <c r="AD16" i="1"/>
  <c r="AA16" i="1" a="1"/>
  <c r="AA16" i="1" s="1"/>
  <c r="Z16" i="1"/>
  <c r="Y16" i="1"/>
  <c r="AE15" i="1"/>
  <c r="AD15" i="1"/>
  <c r="AA15" i="1" a="1"/>
  <c r="AA15" i="1" s="1"/>
  <c r="Z15" i="1"/>
  <c r="Y15" i="1"/>
  <c r="AE14" i="1"/>
  <c r="AD14" i="1"/>
  <c r="AA14" i="1" a="1"/>
  <c r="AA14" i="1" s="1"/>
  <c r="Z14" i="1"/>
  <c r="Y14" i="1"/>
  <c r="AE13" i="1"/>
  <c r="AD13" i="1"/>
  <c r="AA13" i="1" a="1"/>
  <c r="AA13" i="1" s="1"/>
  <c r="Z13" i="1"/>
  <c r="Y13" i="1"/>
  <c r="AE12" i="1"/>
  <c r="AD12" i="1"/>
  <c r="AA12" i="1" a="1"/>
  <c r="AA12" i="1" s="1"/>
  <c r="Z12" i="1"/>
  <c r="Y12" i="1"/>
  <c r="AE11" i="1"/>
  <c r="AD11" i="1"/>
  <c r="AA11" i="1" a="1"/>
  <c r="AA11" i="1" s="1"/>
  <c r="Z11" i="1"/>
  <c r="Y11" i="1"/>
  <c r="AE10" i="1"/>
  <c r="AD10" i="1"/>
  <c r="AA10" i="1" a="1"/>
  <c r="AA10" i="1" s="1"/>
  <c r="Z10" i="1"/>
  <c r="Y10" i="1"/>
  <c r="AE9" i="1"/>
  <c r="AD9" i="1"/>
  <c r="AA9" i="1" a="1"/>
  <c r="AA9" i="1" s="1"/>
  <c r="Z9" i="1"/>
  <c r="Y9" i="1"/>
  <c r="AE8" i="1"/>
  <c r="AD8" i="1"/>
  <c r="AA8" i="1" a="1"/>
  <c r="AA8" i="1" s="1"/>
  <c r="Z8" i="1"/>
  <c r="Y8" i="1"/>
  <c r="AE7" i="1"/>
  <c r="AD7" i="1"/>
  <c r="AA7" i="1" a="1"/>
  <c r="AA7" i="1" s="1"/>
  <c r="Z7" i="1"/>
  <c r="Y7" i="1"/>
  <c r="AE6" i="1"/>
  <c r="AD6" i="1"/>
  <c r="AA6" i="1" a="1"/>
  <c r="AA6" i="1" s="1"/>
  <c r="Z6" i="1"/>
  <c r="Y6" i="1"/>
  <c r="AD5" i="1"/>
  <c r="AA5" i="1" a="1"/>
  <c r="AA5" i="1"/>
  <c r="Z5" i="1"/>
  <c r="Y5" i="1"/>
</calcChain>
</file>

<file path=xl/sharedStrings.xml><?xml version="1.0" encoding="utf-8"?>
<sst xmlns="http://schemas.openxmlformats.org/spreadsheetml/2006/main" count="13759" uniqueCount="1533">
  <si>
    <t>P01_14</t>
  </si>
  <si>
    <t>P02_15</t>
  </si>
  <si>
    <t>P03_16</t>
  </si>
  <si>
    <t>P04_17</t>
  </si>
  <si>
    <t>P05_18</t>
  </si>
  <si>
    <t>P06_19</t>
  </si>
  <si>
    <t>P07_20</t>
  </si>
  <si>
    <t>P08_21</t>
  </si>
  <si>
    <t>P09_21</t>
  </si>
  <si>
    <t>P10_22</t>
  </si>
  <si>
    <t>P11_23</t>
  </si>
  <si>
    <t>P12_26</t>
  </si>
  <si>
    <t>P13_24</t>
  </si>
  <si>
    <t>P14_25</t>
  </si>
  <si>
    <t>P15_26</t>
  </si>
  <si>
    <t>P16_27</t>
  </si>
  <si>
    <t>P17_28</t>
  </si>
  <si>
    <t>P18_29</t>
  </si>
  <si>
    <t>P19_30</t>
  </si>
  <si>
    <t>verbo_id</t>
  </si>
  <si>
    <t>verbo</t>
  </si>
  <si>
    <t>grupo_verbo</t>
  </si>
  <si>
    <t>definicion</t>
  </si>
  <si>
    <t>dfi​
Nº apariciones</t>
  </si>
  <si>
    <t>CDmedio​(i)=dfi​1​∑CDj​</t>
  </si>
  <si>
    <t>Rango=
|Cdmáx-Cdmin|</t>
  </si>
  <si>
    <t>categoria</t>
  </si>
  <si>
    <t>F1</t>
  </si>
  <si>
    <t>administrar</t>
  </si>
  <si>
    <t>Resp. Profes.</t>
  </si>
  <si>
    <t>Administrar el uso de recursos, asegurando que se utilicen de manera óptima y en consonancia con los objetivos del equipo y de la organización.</t>
  </si>
  <si>
    <t>Nuclear</t>
  </si>
  <si>
    <t>F3</t>
  </si>
  <si>
    <t>anticipar</t>
  </si>
  <si>
    <t>Dif. técnica</t>
  </si>
  <si>
    <t>Anticipar potenciales hechos a partir del análisis de entorno para identificar oportunidades y amenazas, ajustando las estrategias de la administración para ser proactivos ante cambios en el contexto social, económico o político.</t>
  </si>
  <si>
    <t>F43</t>
  </si>
  <si>
    <t>representar</t>
  </si>
  <si>
    <t>Representar a la Administración en diversos foros (conferencias, reuniones…) ante otras entidades gubernamentales y organizaciones, de forma que se facilite la construcción de relaciones y alianzas estratégicas.</t>
  </si>
  <si>
    <t>Relevante</t>
  </si>
  <si>
    <t>F18</t>
  </si>
  <si>
    <t>definir</t>
  </si>
  <si>
    <t>Definir planes a largo plazo, en coherencia con una visión, misión y objetivos, a partir de un análisis contextual para identificar oportunidades y desafíos en la comunidad que se materialicen en metas específicas a corto y largo plazo que sirvan como referencia para la toma de decisiones y la planificación.</t>
  </si>
  <si>
    <t>F7</t>
  </si>
  <si>
    <t>aprobar</t>
  </si>
  <si>
    <t>Aprobar proyectos, presupuestos y políticas antes de su implementación, asegurando que estén alineados con la visión y los objetivos de la organización, asignando recursos financieros en función de prioridades estratégicas.</t>
  </si>
  <si>
    <t>F15</t>
  </si>
  <si>
    <t>coordinar</t>
  </si>
  <si>
    <t>Mando</t>
  </si>
  <si>
    <t>Coordinar esfuerzos y recursos de distintos equipos para lograr metas comunes, facilitando la colaboración entre diferentes unidades administrativas, asegurando que todas ellas trabajen hacia un mismo objetivo. Esto implica organizar reuniones interdepartamentales, definir responsabilidades y asegurar que los recursos estén alineados.</t>
  </si>
  <si>
    <t>F17</t>
  </si>
  <si>
    <t>decidir</t>
  </si>
  <si>
    <t>Decidir las acciones a emprender y la distribución de recursos (humanos, materiales y económicos) en función de las prioridades dentro de su ámbito funcional, basadas en análisis de la información relevante y considerando las recomendaciones del equipo, en coherencia con las directrices del Área y del Ayuntamiento.</t>
  </si>
  <si>
    <t>F24</t>
  </si>
  <si>
    <t>establecer</t>
  </si>
  <si>
    <t>Establecer nuevas políticas, procedimientos o proyectos, asegurando que se realicen de manera clara y estructurada, y comunicando los cambios a todos los involucrados.</t>
  </si>
  <si>
    <t>F26</t>
  </si>
  <si>
    <t>evaluar</t>
  </si>
  <si>
    <t>Espec. Técnica</t>
  </si>
  <si>
    <t>Evaluar los resultados y nivel de desempeño de la unidad administrativa y proyectos bajo su competencia, mediante el establecimiento de indicadores y su análisis periódico para determinar la efectividad de las políticas y programas, proponiendo acciones de mejora continua, ajustes y optimización de procesos, cuando sea necesario.</t>
  </si>
  <si>
    <t>F28</t>
  </si>
  <si>
    <t>fomentar</t>
  </si>
  <si>
    <t>Fomentar la cultura organizacional, a través de la colaboración y el trabajo en equipo, impulsando la participación activa de todo el personal, los planes formativos y acciones de capacitación del personal directamente a su cargo, favoreciendo la especialización y el crecimiento profesional del equipo.</t>
  </si>
  <si>
    <t>F13</t>
  </si>
  <si>
    <t>comunicar</t>
  </si>
  <si>
    <t>Comunicar de forma clara y oportuna Información y directrices de al equipo y superiores, asegurando que comprendan las metas, objetivos, procedimientos, cambios resultados, avances e incidencias y utilizando diferentes canales de comunicación (reuniones, correos electrónicos, informes) para garantizar que la información fluya de manera clara y eficiente en ambos sentidos.</t>
  </si>
  <si>
    <t>Apoyo</t>
  </si>
  <si>
    <t>F38</t>
  </si>
  <si>
    <t>planificar</t>
  </si>
  <si>
    <t>Planificar las acciones necesarias para alcanzar los objetivos organizacionales. Esto incluye establecer plazos, asignar recursos y definir roles y responsabilidades.</t>
  </si>
  <si>
    <t>F20</t>
  </si>
  <si>
    <t>dirigir</t>
  </si>
  <si>
    <t>Dirigir al equipo hacia el cumplimiento de objetivos específicos, asignando prioridades y recursos, supervisando la ejecución de las actividades para el logro de los objetivos, ejerciendo liderazgo y motivando al personal para fomentar un ambiente de trabajo productivo. Esta función incluye la supervisión de proyectos y la toma de decisiones sobre el enfoque a seguir.</t>
  </si>
  <si>
    <t>F33</t>
  </si>
  <si>
    <t>motivar</t>
  </si>
  <si>
    <t>Motivar al personal a su cargo, fomentando un ambiente de trabajo positivo reconociendo los logros y proporcionando incentivos que promuevan su desarrollo profesional, de forma que se estimule el compromiso y la productividad.</t>
  </si>
  <si>
    <t>F48</t>
  </si>
  <si>
    <t>sustentar</t>
  </si>
  <si>
    <t>Sustentar la toma de decisiones, contribuyendo a la eficacia de las políticas públicas, mediante la justificación de acciones a través de la aportación de datos, informes y argumentos que avalen la línea de trabajo seguida.</t>
  </si>
  <si>
    <t>Accesorio</t>
  </si>
  <si>
    <t>F12</t>
  </si>
  <si>
    <t>colaborar</t>
  </si>
  <si>
    <t>Colaborar en la definición de criterios para alcanzar los objetivos comunes y apoyar a compañeros cuando sea necesario. Participar activamente en equipos de trabajo, compartiendo conocimientos y recursos, y fomentando un ambiente de cooperación que facilite el logro de metas colectivas</t>
  </si>
  <si>
    <t>F14</t>
  </si>
  <si>
    <t>controlar</t>
  </si>
  <si>
    <t>Controlar el cumplimiento de los plazos, normas y estándares de calidad en los procesos administrativos y operativos de la unidad administrativa, mediante el establecimiento e implantación de mecanismos de monitorización, supervisión, verificación y regulación de procesos y rendimiento del equipo, evaluando el cumplimiento de plazos, calidad y eficiencia en la ejecución de actividades y tareas diarias y realizando ajustes según sea necesario.</t>
  </si>
  <si>
    <t>F44</t>
  </si>
  <si>
    <t>retroalimentar</t>
  </si>
  <si>
    <t>Retroalimentar tanto a los subordinados como a los superiores, proporcionando comentarios claros y útiles que ayuden a identificar áreas de mejora y refuercen las fortalezas. Esta retroalimentación debe ser específica, oportuna y orientada al desarrollo profesional o a la mejora de los procesos.</t>
  </si>
  <si>
    <t>F19</t>
  </si>
  <si>
    <t>desarrollar</t>
  </si>
  <si>
    <t>Desarrollar propuestas y soluciones que optimicen el rendimiento operativo bajo el enfoque de la simplificación, eficiencia y orientación al ciudadano, incluyendo la creación de software, aplicaciones o procesos internos que faciliten el trabajo.</t>
  </si>
  <si>
    <t>F39</t>
  </si>
  <si>
    <t>programar</t>
  </si>
  <si>
    <t>Programar las acciones a realizar mediante cronogramas detallados para actividades, tareas y proyectos de la Sección de la unidad administrativa, especificando plazos, hitos, responsables y asignación de recursos asegurando que todos los miembros del equipo comprendan sus responsabilidades y los tiempos de entrega.</t>
  </si>
  <si>
    <t>F49</t>
  </si>
  <si>
    <t>verificar</t>
  </si>
  <si>
    <t>Verificar el cumplimiento de estándares de calidad mediante controles y revisiones periódicas que aseguren el mantenimiento de los estándares de calidad establecidos y proponiendo correcciones cuando sea necesario.</t>
  </si>
  <si>
    <t>F36</t>
  </si>
  <si>
    <t>orientar</t>
  </si>
  <si>
    <t>Orientar a equipos y mandos en la toma de decisiones, proporcionando asesoramiento experto en la resolución de problemas, alineado con la estrategia institucional, asegurando que las decisiones estén alineadas con los objetivos organizacionales.</t>
  </si>
  <si>
    <t>F41</t>
  </si>
  <si>
    <t>proponer</t>
  </si>
  <si>
    <t>Proponer iniciativas y recomendaciones para la mejora de procesos, ajustes de procedimientos o nuevos proyectos la unidad superior, basándose en la experiencia operativa existente y contribuyendo a la toma de decisiones dentro del equipo.</t>
  </si>
  <si>
    <t>F2</t>
  </si>
  <si>
    <t>analizar</t>
  </si>
  <si>
    <t>Analizar la información disponible con rigor para detectar patrones, problemas y oportunidades y emitir recomendaciones fundamentadas que apoyen la toma de decisiones.</t>
  </si>
  <si>
    <t>F8</t>
  </si>
  <si>
    <t>asesorar</t>
  </si>
  <si>
    <t>Asesorar a otros, transmitiendo conocimientos especializados para ofrecer consejos sobre políticas, procesos y mejores prácticas, ayudando a la toma de decisiones informadas y alineadas con los objetivos organizacionales.</t>
  </si>
  <si>
    <t>F21</t>
  </si>
  <si>
    <t>documentar</t>
  </si>
  <si>
    <t>Documentar de forma precisa y accesible los las sistemáticas de trabajo y resultados relevantes de las actividades y procesos, garantizando trazabilidad, transparencia y disponibilidad futura.</t>
  </si>
  <si>
    <t>F23</t>
  </si>
  <si>
    <t>elaborar</t>
  </si>
  <si>
    <t>Elaborar productos o resultados de cualquier proceso (documentos, informes, proyectos, presentaciones, actuaciones materiales de cualquier tipo), a partir de ideas o directrices, asegurando claridad, coherencia y alineación con estas directrices u objetivos.</t>
  </si>
  <si>
    <t>F25</t>
  </si>
  <si>
    <t>estudiar</t>
  </si>
  <si>
    <t>Estudiar en profundidad Temas, materias o situaciones relacionadas con la organización con el objetivo de adquirir conocimientos, comprensión o habilidades, asegurando que se mantenga un conocimiento actualizado y aportar valor experto a la organización. Esto puede incluir revisión de literatura, análisis de casos y evaluación de mejores prácticas.</t>
  </si>
  <si>
    <t>F29</t>
  </si>
  <si>
    <t>identificar</t>
  </si>
  <si>
    <t>Identificar elementos relevantes en relación con los procesos o actividades mediante la evaluación de su rendimiento o desempeño, que permitan definir su grado de conformidad y, en su caso proponer acciones acordes a los objetivos organizativos.</t>
  </si>
  <si>
    <t>F32</t>
  </si>
  <si>
    <t>investigar</t>
  </si>
  <si>
    <t>Investigar cuestiones clave del ámbito profesional, mediante el análisis de hechos, datos, bibliografía o documentación diversa, con el fin de generar conocimiento estructurado sobre la cuestión investigada, útil y que fortalezca el desempeño organizacional.</t>
  </si>
  <si>
    <t>F31</t>
  </si>
  <si>
    <t>informar</t>
  </si>
  <si>
    <t>Informar mediante la preparación de informes claros y concisos, como resultado de la recopilación y análisis de datos, sobre resultados hallazgos, justificaciones, recomendaciones y avances, que faciliten la adopción de decisiones estratégicas fundamentadas.</t>
  </si>
  <si>
    <t>F46</t>
  </si>
  <si>
    <t>sistematizar</t>
  </si>
  <si>
    <t>Sistematizar los procesos mediante el desarrollo de estructuras lógicas para gestionar información, de forma que se asegure la máxima eficiencia en la accesibilidad y su interpretación.</t>
  </si>
  <si>
    <t>F35</t>
  </si>
  <si>
    <t>organizar</t>
  </si>
  <si>
    <t>Organizar la asignación de tareas, distribución de medios humanos y materiales del servicio para lograr la máxima eficacia, detallando funciones, responsabilidades y flujos de trabajo, clarificando roles y evitando solapamientos.</t>
  </si>
  <si>
    <t>F47</t>
  </si>
  <si>
    <t>supervisar</t>
  </si>
  <si>
    <t>Supervisar la correcta ejecución de las actividades del equipo, proporcionando orientación y retroalimentación para garantizar que se cumplan los objetivos y se mantenga la calidad del trabajo.</t>
  </si>
  <si>
    <t>F30</t>
  </si>
  <si>
    <t>implementar</t>
  </si>
  <si>
    <t>Implementar las acciones necesarias para poner en práctica directrices, políticas, estrategias y proyectos definidas por niveles superiores, adaptándolas a las necesidades específicas de la unidad, monitorizando y asegurando que se sigan los plazos y se respeten las normativas, directrices y recursos asignados.  Implementar nuevos procedimientos y políticas en su área de trabajo.</t>
  </si>
  <si>
    <t>F27</t>
  </si>
  <si>
    <t>facilitar</t>
  </si>
  <si>
    <t>Facilitar la coordinación del equipo operativo, actuando como mediador en la resolución de conflictos, identificando y resolviendo problemas que impidan el progreso del equipo, así como asegurando que cuenten con las herramientas y el apoyo necesarios para llevar a cabo sus tareas de manera efectiva.</t>
  </si>
  <si>
    <t>F40</t>
  </si>
  <si>
    <t>promover</t>
  </si>
  <si>
    <t>Promover la aplicación de buenas prácticas operativas entre el equipo de trabajo, creando un ambiente de trabajo inclusivo y cooperativo, organizando actividades que incentiven la interacción y el apoyo mutuo, y estableciendo dinámicas de grupo que faciliten la colaboración y el intercambio de ideas.</t>
  </si>
  <si>
    <t>F5</t>
  </si>
  <si>
    <t>apoyar</t>
  </si>
  <si>
    <t>Apoyar al personal operativo en la resolución de incidencias, dudas o situaciones que requieran acompañamiento técnico inmediato, colaborando en diversas actividades según las necesidades equipo, ayudando a otros miembros en la ejecución de tareas y asegurando que los procesos se desarrollen sin contratiempos.</t>
  </si>
  <si>
    <t>F9</t>
  </si>
  <si>
    <t>asistir</t>
  </si>
  <si>
    <t>Asistir en tareas técnicas u operativas que requieran orientación, refuerzo, asistencia o presencia para garantizar la continuidad del servicio.</t>
  </si>
  <si>
    <t>F45</t>
  </si>
  <si>
    <t>revisar</t>
  </si>
  <si>
    <t>Revisar la ejecución de las tareas asignadas y trabajos realizados para asegurar su conformidad con los estándares de calidad y los procedimientos establecidos proponiendo, en su caso, los ajustes y correcciones oportuna, según las observaciones realizadas durante la revisión.</t>
  </si>
  <si>
    <t>F34</t>
  </si>
  <si>
    <t>optimizar</t>
  </si>
  <si>
    <t>Optimizar los métodos y tiempos de trabajo, evaluando y ajustando los procedimientos existentes para eliminar redundancias y mejorar la efectividad de las operaciones diarias, proponiendo mejoras encaminadas a sus superiores.</t>
  </si>
  <si>
    <t>F22</t>
  </si>
  <si>
    <t>ejecutar</t>
  </si>
  <si>
    <t>Ejecutar directamente actividades y tareas operativas de manera efectiva y eficiente, siguiendo las instrucciones y protocolos definidos por la organización para asegurar la calidad y consistencia en el trabajo.</t>
  </si>
  <si>
    <t>F42</t>
  </si>
  <si>
    <t>reportar</t>
  </si>
  <si>
    <t>Reportar el estado de los trabajos ejecutados y el avance de las tareas asignadas, las incidencias detectadas y las necesidades operativas del equipo, destacando cualquier desviación que pueda afectar el rendimiento o los plazos establecidos.</t>
  </si>
  <si>
    <t>F37</t>
  </si>
  <si>
    <t>participar</t>
  </si>
  <si>
    <t>Participar en proyectos de mejora continua, formaciones y grupos de trabajo internos.</t>
  </si>
  <si>
    <t>F4</t>
  </si>
  <si>
    <t>aportar</t>
  </si>
  <si>
    <t>Aportar ideas y sugerencias para la mejora de procesos y compartir conocimientos que puedan beneficiar al equipo, participando activamente en la búsqueda de soluciones a los desafíos que se presenten.</t>
  </si>
  <si>
    <t>F6</t>
  </si>
  <si>
    <t>aprender</t>
  </si>
  <si>
    <t>Aprender y desarrollar nuevas competencias, mediante la participación en capacitaciones y formaciones para mejorar las competencias técnicas y profesionales, adaptándose a los cambios en las herramientas y procesos de trabajo.</t>
  </si>
  <si>
    <t>F10</t>
  </si>
  <si>
    <t>atender</t>
  </si>
  <si>
    <t>Atender a la población usuaria proporcionando información clara y precisa a ciudadanos y otros departamentos sobre servicios y procedimientos. Manejar quejas y sugerencias de manera efectiva y oportuna.</t>
  </si>
  <si>
    <t>F11</t>
  </si>
  <si>
    <t>capacitar</t>
  </si>
  <si>
    <t>Capacitar al personal en los procedimientos operativos y en el uso adecuado de herramientas y recursos, mediante el desarrollo e impartición de acciones encaminadas a que el personal a su cargo (u otro personal por encargo de sus superiores) adquiera las habilidades necesarias para realizar su trabajo de manera efectiva</t>
  </si>
  <si>
    <t>F16</t>
  </si>
  <si>
    <t>cumplir</t>
  </si>
  <si>
    <t>Cumplir las directrices y protocolos establecidos y asegurarse de que todas las actividades se realicen conforme a las ellos, manteniendo así la integridad de las operaciones.</t>
  </si>
  <si>
    <t>operacion</t>
  </si>
  <si>
    <t>mando</t>
  </si>
  <si>
    <t>tecnicos</t>
  </si>
  <si>
    <t>direccion</t>
  </si>
  <si>
    <t>patron_id</t>
  </si>
  <si>
    <t>nombre_patron</t>
  </si>
  <si>
    <t>cd_referencia</t>
  </si>
  <si>
    <t>grupo_subgrupo_aplicable</t>
  </si>
  <si>
    <t>CD1_1</t>
  </si>
  <si>
    <t>CD1_2</t>
  </si>
  <si>
    <t>CD1_3</t>
  </si>
  <si>
    <t>CD1_4</t>
  </si>
  <si>
    <t>CD1_5</t>
  </si>
  <si>
    <t>CD2_1</t>
  </si>
  <si>
    <t>CD2_2</t>
  </si>
  <si>
    <t>CD2_3</t>
  </si>
  <si>
    <t>CD2_4</t>
  </si>
  <si>
    <t>CD2_5</t>
  </si>
  <si>
    <t>CD2_6</t>
  </si>
  <si>
    <t>CD2_7</t>
  </si>
  <si>
    <t>CD3_1</t>
  </si>
  <si>
    <t>CD3_2</t>
  </si>
  <si>
    <t>CD3_3</t>
  </si>
  <si>
    <t>CD3_4</t>
  </si>
  <si>
    <t>CD3_5</t>
  </si>
  <si>
    <t>CD3_6</t>
  </si>
  <si>
    <t>CD3_7</t>
  </si>
  <si>
    <t>CD4_1</t>
  </si>
  <si>
    <t>CD4_2</t>
  </si>
  <si>
    <t>CD4_3</t>
  </si>
  <si>
    <t>CD4_4</t>
  </si>
  <si>
    <t>CD4_5</t>
  </si>
  <si>
    <t>CD4_6</t>
  </si>
  <si>
    <t>CD4_7</t>
  </si>
  <si>
    <t>CD5_1</t>
  </si>
  <si>
    <t>CD5_2</t>
  </si>
  <si>
    <t>CD5_3</t>
  </si>
  <si>
    <t>CD5_4</t>
  </si>
  <si>
    <t>CD5_5</t>
  </si>
  <si>
    <t>CD5_6</t>
  </si>
  <si>
    <t>CD5_7</t>
  </si>
  <si>
    <t>CD6_1</t>
  </si>
  <si>
    <t>CD6_2</t>
  </si>
  <si>
    <t>CD6_3</t>
  </si>
  <si>
    <t>CD6_4</t>
  </si>
  <si>
    <t>CD6_5</t>
  </si>
  <si>
    <t>CD6_6</t>
  </si>
  <si>
    <t>observaciones</t>
  </si>
  <si>
    <t>codigo_columna</t>
  </si>
  <si>
    <t>bloque</t>
  </si>
  <si>
    <t>factor_madre</t>
  </si>
  <si>
    <t>denominacion</t>
  </si>
  <si>
    <t>escala</t>
  </si>
  <si>
    <t>peso</t>
  </si>
  <si>
    <t>observacion</t>
  </si>
  <si>
    <t>0/1</t>
  </si>
  <si>
    <t>Verbo funcional normalizado. 0 = no concurre; 1 = concurre.</t>
  </si>
  <si>
    <t>subfactor_cd</t>
  </si>
  <si>
    <t>Especialización</t>
  </si>
  <si>
    <t>Especialización técnica/profesional</t>
  </si>
  <si>
    <t>Especialización normativa o sectorial</t>
  </si>
  <si>
    <t>Titulación, habilitación o cualificación específica</t>
  </si>
  <si>
    <t>Herramientas, metodologías o sistemas especializados</t>
  </si>
  <si>
    <t>Verbos técnicos especializados del Diccionario</t>
  </si>
  <si>
    <t>Responsabilidad</t>
  </si>
  <si>
    <t>Responsabilidad profesional cualificada</t>
  </si>
  <si>
    <t>Impacto jurídico</t>
  </si>
  <si>
    <t>Impacto económico/presupuestario</t>
  </si>
  <si>
    <t>Impacto ciudadano/social</t>
  </si>
  <si>
    <t>Impacto organizativo interno</t>
  </si>
  <si>
    <t>Firma, informe, propuesta o validación relevante</t>
  </si>
  <si>
    <t>Control, supervisión o verificación de actuaciones</t>
  </si>
  <si>
    <t>Competencia</t>
  </si>
  <si>
    <t>Nivel competencial requerido</t>
  </si>
  <si>
    <t>Autonomía técnica o funcional</t>
  </si>
  <si>
    <t>Capacidad de análisis e interpretación</t>
  </si>
  <si>
    <t>Resolución de problemas no rutinarios</t>
  </si>
  <si>
    <t>Planificación, programación o evaluación</t>
  </si>
  <si>
    <t>Competencias transversales críticas</t>
  </si>
  <si>
    <t>Relación función-competencia-conducta</t>
  </si>
  <si>
    <t>Mando jerárquico formal</t>
  </si>
  <si>
    <t>Coordinación funcional estable</t>
  </si>
  <si>
    <t>Dirección, planificación y reparto de tareas</t>
  </si>
  <si>
    <t>Supervisión y control del trabajo de terceros</t>
  </si>
  <si>
    <t>Responsabilidad sobre unidad administrativa/equipo</t>
  </si>
  <si>
    <t>Posición en cadena de mando</t>
  </si>
  <si>
    <t>Mando operativo en campo o servicio</t>
  </si>
  <si>
    <t>Complejidad funcional</t>
  </si>
  <si>
    <t>Variedad funcional estructural</t>
  </si>
  <si>
    <t>Intensidad procedimental</t>
  </si>
  <si>
    <t>Transversalidad funcional</t>
  </si>
  <si>
    <t>Heterogeneidad de procesos o materias</t>
  </si>
  <si>
    <t>Dificultad técnica/jurídica/económica/social del proceso</t>
  </si>
  <si>
    <t>Funciones no rutinarias o de criterio</t>
  </si>
  <si>
    <t>Desajuste entre funciones reales y descripción formal</t>
  </si>
  <si>
    <t>Complejidad territorial/organizativa</t>
  </si>
  <si>
    <t>Alcance territorial del puesto</t>
  </si>
  <si>
    <t>Dispersión de centros, instalaciones o equipos</t>
  </si>
  <si>
    <t>Heterogeneidad de usuarios o destinatarios</t>
  </si>
  <si>
    <t>Coordinación interdepartamental o interadministrativa</t>
  </si>
  <si>
    <t>Servicios descentralizados o en campo</t>
  </si>
  <si>
    <t>Complejidad organizativa del entorno</t>
  </si>
  <si>
    <t>id_het</t>
  </si>
  <si>
    <t>denominacion_normalizada</t>
  </si>
  <si>
    <t>grupo_subgrupo</t>
  </si>
  <si>
    <t>cd_vigente</t>
  </si>
  <si>
    <t>cd_min_normativo</t>
  </si>
  <si>
    <t>cd_max_normativo</t>
  </si>
  <si>
    <t>validacion_cd_vigente</t>
  </si>
  <si>
    <t>cd_funcional_estimado</t>
  </si>
  <si>
    <t>cd_tecnico_recomendado</t>
  </si>
  <si>
    <t>cd_tecnico_ajustado</t>
  </si>
  <si>
    <t>diferencial_cd</t>
  </si>
  <si>
    <t>similitud_funcional_top1</t>
  </si>
  <si>
    <t>similitud_factores_cd_top1</t>
  </si>
  <si>
    <t>similitud_ampliada_top1</t>
  </si>
  <si>
    <t>top_k_ampliado</t>
  </si>
  <si>
    <t>riesgo_arrastre</t>
  </si>
  <si>
    <t>observacion_resultado</t>
  </si>
  <si>
    <t>fecha_calculo</t>
  </si>
  <si>
    <t>administracion_comparada</t>
  </si>
  <si>
    <t>puesto_comparable</t>
  </si>
  <si>
    <t>cd_observado</t>
  </si>
  <si>
    <t>homogeneidad</t>
  </si>
  <si>
    <t>fuente_url</t>
  </si>
  <si>
    <t>computable</t>
  </si>
  <si>
    <t>parametro</t>
  </si>
  <si>
    <t>valor</t>
  </si>
  <si>
    <t>descripcion</t>
  </si>
  <si>
    <t>peso_verbos</t>
  </si>
  <si>
    <t>Peso del bloque de verbos funcionales F1-F49 en la similitud ampliada.</t>
  </si>
  <si>
    <t>peso_factores_cd</t>
  </si>
  <si>
    <t>Peso del bloque de subfactores CD en la similitud ampliada.</t>
  </si>
  <si>
    <t>peso_especializacion</t>
  </si>
  <si>
    <t>Peso de especialización dentro del bloque de factores CD.</t>
  </si>
  <si>
    <t>peso_responsabilidad</t>
  </si>
  <si>
    <t>Peso de responsabilidad dentro del bloque de factores CD.</t>
  </si>
  <si>
    <t>peso_competencia</t>
  </si>
  <si>
    <t>Peso de competencia dentro del bloque de factores CD.</t>
  </si>
  <si>
    <t>peso_mando</t>
  </si>
  <si>
    <t>Peso de mando dentro del bloque de factores CD.</t>
  </si>
  <si>
    <t>peso_complejidad_funcional</t>
  </si>
  <si>
    <t>Peso de complejidad funcional dentro del bloque de factores CD.</t>
  </si>
  <si>
    <t>peso_complejidad_territorial_organizativa</t>
  </si>
  <si>
    <t>Peso condicionado de complejidad territorial/organizativa dentro del bloque CD.</t>
  </si>
  <si>
    <t>alpha_idf</t>
  </si>
  <si>
    <t>Exponente IDF utilizado por el motor funcional actual.</t>
  </si>
  <si>
    <t>top_k</t>
  </si>
  <si>
    <t>Número de referencias más similares usadas por defecto.</t>
  </si>
  <si>
    <t>HET-CD — Plantilla ampliada del clasificador de puestos</t>
  </si>
  <si>
    <t>Generada el 05/05/2026 12:40</t>
  </si>
  <si>
    <t>Criterio de diseño</t>
  </si>
  <si>
    <t>La plantilla mantiene la lógica vectorial de la app actual y amplía el espacio hacia la derecha: metadatos mínimos + F1-F49 + subfactores CD.</t>
  </si>
  <si>
    <t>Hojas principales</t>
  </si>
  <si>
    <t>verbs_patterns</t>
  </si>
  <si>
    <t>Hoja original. Se mantiene intacta. Define verbos, patrones y categorías actuales.</t>
  </si>
  <si>
    <t>compatibility_verbs</t>
  </si>
  <si>
    <t>Hoja original. Se mantiene intacta. Define compatibilidades funcionales.</t>
  </si>
  <si>
    <t>puestos_vector</t>
  </si>
  <si>
    <t>Hoja matriz principal: puesto tipo + vector F1-F49 + subfactores CD.</t>
  </si>
  <si>
    <t>diccionario_columnas</t>
  </si>
  <si>
    <t>Diccionario de cada columna vectorial y su significado.</t>
  </si>
  <si>
    <t>pesos_modelo</t>
  </si>
  <si>
    <t>Parámetros de ponderación acordados: 40% verbos y 60% factores CD.</t>
  </si>
  <si>
    <t>rangos_cd</t>
  </si>
  <si>
    <t>Restricción normativa por grupo/subgrupo.</t>
  </si>
  <si>
    <t>resultados_het_cd</t>
  </si>
  <si>
    <t>Salida prevista de la app. No se rellena manualmente.</t>
  </si>
  <si>
    <t>impacto_economico</t>
  </si>
  <si>
    <t>Módulo posterior para dotaciones afectadas y coste estimado.</t>
  </si>
  <si>
    <t>comparacion_externa</t>
  </si>
  <si>
    <t>Apoyo residual, no computable.</t>
  </si>
  <si>
    <t>Reglas de codificación</t>
  </si>
  <si>
    <t>F1-F49</t>
  </si>
  <si>
    <t>0 = no concurre; 1 = concurre.</t>
  </si>
  <si>
    <t>CDx_y</t>
  </si>
  <si>
    <t>1 = inferior; 2 = medio; 3 = superior; vacío = N.A.</t>
  </si>
  <si>
    <t>Acuerdos metodológicos</t>
  </si>
  <si>
    <t>Todos los puestos cargados en puestos_vector entran en el modelo.</t>
  </si>
  <si>
    <t>El CD vigente no entra en el vector; solo sirve para diferencial.</t>
  </si>
  <si>
    <t>La comparación externa no computa.</t>
  </si>
  <si>
    <t>El rango normativo opera como restricción dura.</t>
  </si>
  <si>
    <t>Actualización v1.1</t>
  </si>
  <si>
    <t>Se limpian las columnas AC:AE de verbs_patterns por contener cálculos manuales no necesarios para la plantilla HET-CD.</t>
  </si>
  <si>
    <t>Validación inicial</t>
  </si>
  <si>
    <t>La primera operación sustantiva de la app será comprobar si el CD vigente está dentro del rango normativo del grupo/subgrupo.</t>
  </si>
  <si>
    <t>Matriz ampliada</t>
  </si>
  <si>
    <t>puestos_vector mantiene F1-F49 y añade CD1_1 a CD6_6 hacia la derecha como subfactores vectorizados.</t>
  </si>
  <si>
    <t>Escala verbos</t>
  </si>
  <si>
    <t>F1-F49: 0 = no concurre; 1 = concurre.</t>
  </si>
  <si>
    <t>Escala subfactores CD</t>
  </si>
  <si>
    <t>CD1_1-CD6_6: 1 = inferior; 2 = medio; 3 = superior; vacío = no aplicable.</t>
  </si>
  <si>
    <t>Resultados</t>
  </si>
  <si>
    <t>resultados_het_cd incorpora cd_min_normativo, cd_max_normativo y validacion_cd_vigente antes del cálculo técnico.</t>
  </si>
  <si>
    <t>Actualización v1.2</t>
  </si>
  <si>
    <t>Se añade la hoja patrones_vector para que la similitud ampliada tenga patrones de referencia con las mismas dimensiones que puestos_vector.</t>
  </si>
  <si>
    <t>Regla crítica</t>
  </si>
  <si>
    <t>puestos_vector y patrones_vector deben compartir F1-F49 y CD1_1-CD6_6; de lo contrario no puede calcularse la similitud técnico-funcional ampliada.</t>
  </si>
  <si>
    <t>Uso de verbs_patterns</t>
  </si>
  <si>
    <t>Se mantiene como hoja heredada del motor funcional actual; los patrones ampliados se gestionan en patrones_vector.</t>
  </si>
  <si>
    <t>Actualización v1.3</t>
  </si>
  <si>
    <t>Se rellena patrones_vector con valores F1-F49 trasladados desde verbs_patterns y una propuesta provisional de CD1_1 a CD6_6.</t>
  </si>
  <si>
    <t>Regla de comparación</t>
  </si>
  <si>
    <t>puestos_vector y patrones_vector comparten dimensiones F1-F49 + CD1_1-CD6_6.</t>
  </si>
  <si>
    <t>Cautela</t>
  </si>
  <si>
    <t>La vectorización CD de patrones es hipótesis de trabajo para piloto; debe calibrarse con puestos reales.</t>
  </si>
  <si>
    <t>Se deja como N.A. en patrones porque el desajuste entre funciones reales y descripción formal es diagnóstico del puesto evaluado.</t>
  </si>
  <si>
    <t>Fecha generación</t>
  </si>
  <si>
    <t>05/05/2026 13:12</t>
  </si>
  <si>
    <t>cd_min</t>
  </si>
  <si>
    <t>cd_max</t>
  </si>
  <si>
    <t>A1</t>
  </si>
  <si>
    <t>Rango orientativo general. Revisar según norma aplicable y configuración municipal.</t>
  </si>
  <si>
    <t>A2</t>
  </si>
  <si>
    <t>B</t>
  </si>
  <si>
    <t>C1</t>
  </si>
  <si>
    <t>C2</t>
  </si>
  <si>
    <t>AP</t>
  </si>
  <si>
    <t>Rango orientativo general. Revisar si procede.</t>
  </si>
  <si>
    <t>grupo_funcional</t>
  </si>
  <si>
    <t>gradacion_interna</t>
  </si>
  <si>
    <t>criterio_calibracion</t>
  </si>
  <si>
    <t>activo_calculo</t>
  </si>
  <si>
    <t>tipo_patron</t>
  </si>
  <si>
    <t>alerta_vector_patron</t>
  </si>
  <si>
    <t>criterio_estado_patron</t>
  </si>
  <si>
    <t>OPERARIO/A DE SERVICIOS</t>
  </si>
  <si>
    <t>OAP</t>
  </si>
  <si>
    <t>Recalibración HET-CD v2.0 (2026-05-06): patrón posicionado en Nivel de operación / Operación base. Valores CD revisados con escala 0-3 y criterios anclados. Ejecución directa, baja autonomía, responsabilidad básica y complejidad operativa baja.</t>
  </si>
  <si>
    <t>Nivel de operación</t>
  </si>
  <si>
    <t>Operación base</t>
  </si>
  <si>
    <t>Ejecución directa, baja autonomía, responsabilidad básica y complejidad operativa baja.</t>
  </si>
  <si>
    <t>SÍ</t>
  </si>
  <si>
    <t>REAL_RPT_VALIDADO</t>
  </si>
  <si>
    <t>Patrón activo: vector funcional y factores CD disponibles para comparación.</t>
  </si>
  <si>
    <t>OFICIAL/A DE SERVICIOS</t>
  </si>
  <si>
    <t>Recalibración HET-CD v2.0 (2026-05-06): patrón posicionado en Nivel de operación / Operación cualificada baja. Valores CD revisados con escala 0-3 y criterios anclados. Oficio/ejecución cualificada con herramientas o técnicas básicas y responsabilidad operativa.</t>
  </si>
  <si>
    <t>Operación cualificada baja</t>
  </si>
  <si>
    <t>Oficio/ejecución cualificada con herramientas o técnicas básicas y responsabilidad operativa.</t>
  </si>
  <si>
    <t>NO</t>
  </si>
  <si>
    <t>INTERMEDIO_NO_VALIDADO</t>
  </si>
  <si>
    <t>VECTOR_FUNCIONAL_INCOMPLETO</t>
  </si>
  <si>
    <t>Patrón conservado para trazabilidad, pero excluido del cálculo: tiene factores CD informados y verbos F1-F49 sin vectorizar.</t>
  </si>
  <si>
    <t>Recalibración HET-CD v2.0 (2026-05-06): patrón posicionado en Nivel de operación / Operación cualificada media. Valores CD revisados con escala 0-3 y criterios anclados. Mayor autonomía operativa y control ordinario de tareas de oficio.</t>
  </si>
  <si>
    <t>Operación cualificada media</t>
  </si>
  <si>
    <t>Mayor autonomía operativa y control ordinario de tareas de oficio.</t>
  </si>
  <si>
    <t>OFICIAL/A DE SERVICIOS / APOYO OPERATIVO</t>
  </si>
  <si>
    <t>C1/C2</t>
  </si>
  <si>
    <t>Recalibración HET-CD v2.0 (2026-05-06): patrón posicionado en Nivel de operación / Operación cualificada alta. Valores CD revisados con escala 0-3 y criterios anclados. Operación con mayor variedad, apoyo funcional y responsabilidad de ejecución cualificada.</t>
  </si>
  <si>
    <t>Operación cualificada alta</t>
  </si>
  <si>
    <t>Operación con mayor variedad, apoyo funcional y responsabilidad de ejecución cualificada.</t>
  </si>
  <si>
    <t>AUXILIAR DE GESTIÓN ADMINISTRATIVA</t>
  </si>
  <si>
    <t>Recalibración HET-CD v2.0 (2026-05-06): patrón posicionado en Nivel ejecutivo y técnico / Ejecución administrativa básica. Valores CD revisados con escala 0-3 y criterios anclados. Tramitación y apoyo administrativo con especialización procedimental básica.</t>
  </si>
  <si>
    <t>Nivel ejecutivo y técnico</t>
  </si>
  <si>
    <t>Ejecución administrativa básica</t>
  </si>
  <si>
    <t>Tramitación y apoyo administrativo con especialización procedimental básica.</t>
  </si>
  <si>
    <t>GESTOR/A TÉCNICO-ADMINISTRATIVO/A</t>
  </si>
  <si>
    <t>C1/B</t>
  </si>
  <si>
    <t>Recalibración HET-CD v2.0 (2026-05-06): patrón posicionado en Nivel ejecutivo y técnico / Gestión técnica media. Valores CD revisados con escala 0-3 y criterios anclados. Autonomía funcional y responsabilidad ordinaria sobre expedientes/procesos.</t>
  </si>
  <si>
    <t>Gestión técnica media</t>
  </si>
  <si>
    <t>Autonomía funcional y responsabilidad ordinaria sobre expedientes/procesos.</t>
  </si>
  <si>
    <t>Recalibración HET-CD v2.0 (2026-05-06): patrón posicionado en Nivel ejecutivo y técnico / Gestión técnica alta. Valores CD revisados con escala 0-3 y criterios anclados. Mayor especialización, autonomía y complejidad funcional sin mando formal.</t>
  </si>
  <si>
    <t>Gestión técnica alta</t>
  </si>
  <si>
    <t>Mayor especialización, autonomía y complejidad funcional sin mando formal.</t>
  </si>
  <si>
    <t>Recalibración HET-CD v2.0 (2026-05-06): patrón posicionado en Nivel ejecutivo y técnico / Gestión técnica superior. Valores CD revisados con escala 0-3 y criterios anclados. Perfil de gestión avanzada con coordinación funcional menor y alta autonomía ordinaria.</t>
  </si>
  <si>
    <t>Gestión técnica superior</t>
  </si>
  <si>
    <t>Perfil de gestión avanzada con coordinación funcional menor y alta autonomía ordinaria.</t>
  </si>
  <si>
    <t>JEFATURA DE OPERACIÓN</t>
  </si>
  <si>
    <t>Recalibración HET-CD v2.0 (2026-05-06): patrón posicionado en Nivel intermedio y de gestión / Mando operativo medio. Valores CD revisados con escala 0-3 y criterios anclados. Coordinación estable de equipo o proceso operativo con responsabilidad de resultados.</t>
  </si>
  <si>
    <t>Nivel intermedio y de gestión</t>
  </si>
  <si>
    <t>Mando operativo medio</t>
  </si>
  <si>
    <t>Coordinación estable de equipo o proceso operativo con responsabilidad de resultados.</t>
  </si>
  <si>
    <t>Recalibración HET-CD v2.0 (2026-05-06): patrón posicionado en Nivel intermedio y de gestión / Mando operativo alto. Valores CD revisados con escala 0-3 y criterios anclados. Mayor supervisión, planificación y control operativo.</t>
  </si>
  <si>
    <t>Mando operativo alto</t>
  </si>
  <si>
    <t>Mayor supervisión, planificación y control operativo.</t>
  </si>
  <si>
    <t>JEFATURA DE GESTIÓN</t>
  </si>
  <si>
    <t>B/A2</t>
  </si>
  <si>
    <t>Recalibración HET-CD v2.0 (2026-05-06): patrón posicionado en Nivel intermedio y de gestión / Gestión intermedia media. Valores CD revisados con escala 0-3 y criterios anclados. Jefatura/gestión con responsabilidad funcional, competencia técnica y coordinación ordinaria.</t>
  </si>
  <si>
    <t>Gestión intermedia media</t>
  </si>
  <si>
    <t>Jefatura/gestión con responsabilidad funcional, competencia técnica y coordinación ordinaria.</t>
  </si>
  <si>
    <t>A1/A2</t>
  </si>
  <si>
    <t>Recalibración HET-CD v2.0 (2026-05-06): patrón posicionado en Nivel intermedio y de gestión / Gestión intermedia alta. Valores CD revisados con escala 0-3 y criterios anclados. Responsabilidad cualificada, mando y complejidad elevada en gestión.</t>
  </si>
  <si>
    <t>Gestión intermedia alta</t>
  </si>
  <si>
    <t>Responsabilidad cualificada, mando y complejidad elevada en gestión.</t>
  </si>
  <si>
    <t>TÉCNICO/A MEDIO DE ADMINISTRACIÓN</t>
  </si>
  <si>
    <t>Recalibración HET-CD v2.0 (2026-05-06): patrón posicionado en Nivel ejecutivo y técnico / Técnico medio. Valores CD revisados con escala 0-3 y criterios anclados. Perfil técnico sin mando formal, con especialización y criterio técnico relevante.</t>
  </si>
  <si>
    <t>Técnico medio</t>
  </si>
  <si>
    <t>Perfil técnico sin mando formal, con especialización y criterio técnico relevante.</t>
  </si>
  <si>
    <t>TÉCNICO/A SUPERIOR DE ADMINISTRACIÓN</t>
  </si>
  <si>
    <t>Recalibración HET-CD v2.0 (2026-05-06): patrón posicionado en Nivel ejecutivo y técnico / Técnico superior. Valores CD revisados con escala 0-3 y criterios anclados. Especialización técnica superior, autonomía y análisis cualificado sin jefatura formal.</t>
  </si>
  <si>
    <t>Técnico superior</t>
  </si>
  <si>
    <t>Especialización técnica superior, autonomía y análisis cualificado sin jefatura formal.</t>
  </si>
  <si>
    <t>JEFATURA DE SECCIÓN / SECCIÓN TÉCNICA</t>
  </si>
  <si>
    <t>Recalibración HET-CD v2.0 (2026-05-06): patrón posicionado en Nivel intermedio y de gestión / Jefatura técnica media/alta. Valores CD revisados con escala 0-3 y criterios anclados. Mando/gestión de sección con responsabilidad cualificada y criterio técnico.</t>
  </si>
  <si>
    <t>Jefatura técnica media/alta</t>
  </si>
  <si>
    <t>Mando/gestión de sección con responsabilidad cualificada y criterio técnico.</t>
  </si>
  <si>
    <t>Recalibración HET-CD v2.0 (2026-05-06): patrón posicionado en Nivel intermedio y de gestión / Jefatura técnica alta. Valores CD revisados con escala 0-3 y criterios anclados. Mayor responsabilidad, mando y complejidad transversal que la jefatura media.</t>
  </si>
  <si>
    <t>Jefatura técnica alta</t>
  </si>
  <si>
    <t>Mayor responsabilidad, mando y complejidad transversal que la jefatura media.</t>
  </si>
  <si>
    <t>JEFATURA DE SERVICIO</t>
  </si>
  <si>
    <t>Recalibración HET-CD v2.0 (2026-05-06): patrón posicionado en Nivel de dirección y coordinación / Dirección de servicio. Valores CD revisados con escala 0-3 y criterios anclados. Dirección funcional de servicio con mando superior y alta responsabilidad.</t>
  </si>
  <si>
    <t>Nivel de dirección y coordinación</t>
  </si>
  <si>
    <t>Dirección de servicio</t>
  </si>
  <si>
    <t>Dirección funcional de servicio con mando superior y alta responsabilidad.</t>
  </si>
  <si>
    <t>COORDINACIÓN DE ÁREA</t>
  </si>
  <si>
    <t>Recalibración HET-CD v2.0 (2026-05-06): patrón posicionado en Nivel de dirección y coordinación / Coordinación superior. Valores CD revisados con escala 0-3 y criterios anclados. Coordinación transversal y dirección de ámbito amplio con impacto organizativo.</t>
  </si>
  <si>
    <t>Coordinación superior</t>
  </si>
  <si>
    <t>Coordinación transversal y dirección de ámbito amplio con impacto organizativo.</t>
  </si>
  <si>
    <t>HABILITACIÓN NACIONAL</t>
  </si>
  <si>
    <t>Recalibración HET-CD v2.0 (2026-05-06): patrón posicionado en Nivel de dirección y coordinación / Máxima responsabilidad técnico-jurídica. Valores CD revisados con escala 0-3 y criterios anclados. Habilitación y responsabilidad cualificada máxima, con función directiva y efectos institucionales.</t>
  </si>
  <si>
    <t>Máxima responsabilidad técnico-jurídica</t>
  </si>
  <si>
    <t>Habilitación y responsabilidad cualificada máxima, con función directiva y efectos institucionales.</t>
  </si>
  <si>
    <t>RPT_001</t>
  </si>
  <si>
    <t>HABILITADO NACIONAL</t>
  </si>
  <si>
    <t>Prevectorización automática HET-CD v1.7 desde Puestos RPT_app.xlsx actualizado. Patrón base P19_30 (HABILITACIÓN NACIONAL). Asignación directa: habilitación nacional/función directiva superior. Grupo original: A1; GR2: -.</t>
  </si>
  <si>
    <t>RPT_002</t>
  </si>
  <si>
    <t>COMISARIO PRINCIPAL JEFE PL</t>
  </si>
  <si>
    <t>Prevectorización automática HET-CD v1.7 desde Puestos RPT_app.xlsx actualizado. Patrón base P19_30 (HABILITACIÓN NACIONAL). Asignación por máxima jefatura policial y CD 30. Grupo original: A1; GR2: -.</t>
  </si>
  <si>
    <t>RPT_003</t>
  </si>
  <si>
    <t>COORDINADOR/A ÁREA</t>
  </si>
  <si>
    <t>Prevectorización automática HET-CD v1.7 desde Puestos RPT_app.xlsx actualizado. Patrón base P18_29 (COORDINACIÓN DE ÁREA). Asignación directa: coordinación superior de área. Grupo original: A1; GR2: -.</t>
  </si>
  <si>
    <t>RPT_004</t>
  </si>
  <si>
    <t>JEFE/A DE SERVICIO TÉCNICO</t>
  </si>
  <si>
    <t>Prevectorización automática HET-CD v1.7 desde Puestos RPT_app.xlsx actualizado. Patrón base P17_28 (JEFATURA DE SERVICIO). Asignación directa: jefatura de servicio o dirección técnica superior. Grupo original: A1; GR2: A2.</t>
  </si>
  <si>
    <t>RPT_005</t>
  </si>
  <si>
    <t>RPT_006</t>
  </si>
  <si>
    <t>LETRADO/A</t>
  </si>
  <si>
    <t>Prevectorización automática HET-CD v1.7 desde Puestos RPT_app.xlsx actualizado. Patrón base P17_28 (JEFATURA DE SERVICIO). Asignación directa: jefatura de servicio o dirección técnica superior. Grupo original: A1; GR2: -.</t>
  </si>
  <si>
    <t>RPT_007</t>
  </si>
  <si>
    <t>JEFE/A DE SECCIÓN</t>
  </si>
  <si>
    <t>Prevectorización automática HET-CD v1.7 desde Puestos RPT_app.xlsx actualizado. Patrón base P16_27 (JEFATURA DE SECCIÓN / SECCIÓN TÉCNICA). Asignación directa: jefatura de sección/sección técnica de nivel alto. Grupo original: A1; GR2: A2.</t>
  </si>
  <si>
    <t>RPT_008</t>
  </si>
  <si>
    <t>Prevectorización automática HET-CD v1.7 desde Puestos RPT_app.xlsx actualizado. Patrón base P15_26 (JEFATURA DE SECCIÓN / SECCIÓN TÉCNICA). Asignación por jefatura/sección o puesto directivo con CD 26. Grupo original: A1; GR2: A2.</t>
  </si>
  <si>
    <t>RPT_009</t>
  </si>
  <si>
    <t>DIRECTOR/A DE MUSEOS</t>
  </si>
  <si>
    <t>RPT_010</t>
  </si>
  <si>
    <t>DIRECTOR/A DE C.R.I.S.</t>
  </si>
  <si>
    <t>RPT_011</t>
  </si>
  <si>
    <t>TÉCNICO/A SUP. GESTIÓN ECONÓMICA (PARTICUARIZACIÓN)</t>
  </si>
  <si>
    <t>RPT_012</t>
  </si>
  <si>
    <t>JEFE/A DE SECCIÓN TÉCNICA (PROF. REGULADAS / COLEGIADAS)</t>
  </si>
  <si>
    <t>RPT_013</t>
  </si>
  <si>
    <t>COMISARIO PRINCIPAL PL</t>
  </si>
  <si>
    <t>Prevectorización automática HET-CD v1.7 desde Puestos RPT_app.xlsx actualizado. Patrón base P15_26 (JEFATURA DE SECCIÓN / SECCIÓN TÉCNICA). Asignación por jefatura/sección o puesto directivo con CD 26. Grupo original: A1; GR2: -.</t>
  </si>
  <si>
    <t>RPT_014</t>
  </si>
  <si>
    <t>INTENDENTE PL</t>
  </si>
  <si>
    <t>Prevectorización automática HET-CD v1.7 desde Puestos RPT_app.xlsx actualizado. Patrón base P15_26 (JEFATURA DE SECCIÓN / SECCIÓN TÉCNICA). Asignación por jefatura/sección o puesto directivo con CD 26. Grupo original: -; GR2: A2.</t>
  </si>
  <si>
    <t>RPT_015</t>
  </si>
  <si>
    <t>TÉCNICO/A ADMINISTRACIÓN GENERAL</t>
  </si>
  <si>
    <t>Prevectorización automática HET-CD v1.7 desde Puestos RPT_app.xlsx actualizado. Patrón base P14_25 (TÉCNICO/A SUPERIOR DE ADMINISTRACIÓN). Asignación por perfil técnico superior A1. Grupo original: A1; GR2: -.</t>
  </si>
  <si>
    <t>RPT_016</t>
  </si>
  <si>
    <t>ARQUEÓLOGO/A</t>
  </si>
  <si>
    <t>RPT_017</t>
  </si>
  <si>
    <t>TÉC. SUPERIOR DE ADMINISTRACIÓN-SERVICIOS SOCIALES</t>
  </si>
  <si>
    <t>RPT_018</t>
  </si>
  <si>
    <t>TÉC. SUPERIOR DE ADMINISTRACIÓN- PLANIFICACIÓN DE RECURSOS HUMANOS</t>
  </si>
  <si>
    <t>RPT_019</t>
  </si>
  <si>
    <t>TÉC. SUPERIOR DE ADMINISTRACIÓN-PROMOCIÓN ECONÓMICA</t>
  </si>
  <si>
    <t>RPT_020</t>
  </si>
  <si>
    <t>TÉC. SUPERIOR DE ADMINISTRACIÓN-ORGANIZACIÓN Y CALIDAD</t>
  </si>
  <si>
    <t>RPT_021</t>
  </si>
  <si>
    <t>TÉC. SUPERIOR DE ADMINISTRACIÓN-BIBLIOTECA</t>
  </si>
  <si>
    <t>RPT_022</t>
  </si>
  <si>
    <t>TÉC. SUPERIOR DE ADMINISTRACIÓN-ARCHIVO</t>
  </si>
  <si>
    <t>RPT_023</t>
  </si>
  <si>
    <t>TÉC. SUPERIOR DE ADMINISTRACIÓN-MEDIO AMBIENTE</t>
  </si>
  <si>
    <t>RPT_024</t>
  </si>
  <si>
    <t>TÉC. SUPERIOR DE ADMINISTRACIÓN-OMAC</t>
  </si>
  <si>
    <t>RPT_025</t>
  </si>
  <si>
    <t>TÉC. SUPERIOR DE ADMINISTRACIÓN-EDUCACIÓN</t>
  </si>
  <si>
    <t>RPT_026</t>
  </si>
  <si>
    <t>TÉC. SUPERIOR DE ADMINISTRACIÓN-PEDAGOGO/A</t>
  </si>
  <si>
    <t>RPT_027</t>
  </si>
  <si>
    <t>TÉC. SUPERIOR DE ADMINISTRACIÓN-TÉCNICO/A SUPERIOR</t>
  </si>
  <si>
    <t>RPT_028</t>
  </si>
  <si>
    <t>TÉC. SUPERIOR DE ADMINISTRACIÓN-ARQUITECTO/A</t>
  </si>
  <si>
    <t>RPT_029</t>
  </si>
  <si>
    <t>TÉC. SUPERIOR DE ADMINISTRACIÓN-INGENIERO/A DE CAMINOS, CANALES Y PUERTOS</t>
  </si>
  <si>
    <t>RPT_030</t>
  </si>
  <si>
    <t>TÉC. SUPERIOR DE ADMINISTRACIÓN-INGENIERO/A INDUSTRIAL</t>
  </si>
  <si>
    <t>RPT_031</t>
  </si>
  <si>
    <t>TÉC. SUPERIOR DE ADMINISTRACIÓN-INGENIERO/A TELECOMUNICACIONES</t>
  </si>
  <si>
    <t>RPT_032</t>
  </si>
  <si>
    <t>TÉC. SUPERIOR DE ADMINISTRACIÓN-PREVENCIÓN DE RIESGOS LABORALES</t>
  </si>
  <si>
    <t>RPT_033</t>
  </si>
  <si>
    <t>TÉC. SUPERIOR DE ADMINISTRACIÓN-MÉDICO/A TRABAJO</t>
  </si>
  <si>
    <t>RPT_034</t>
  </si>
  <si>
    <t>TÉC. SUPERIOR DE ADMINISTRACIÓN-PSICÓLOGO/A</t>
  </si>
  <si>
    <t>RPT_035</t>
  </si>
  <si>
    <t>VETERINARIO/A</t>
  </si>
  <si>
    <t>RPT_036</t>
  </si>
  <si>
    <t>TÉC. MEDIO DE ADMINISTRACIÓN-GESTIÓN</t>
  </si>
  <si>
    <t>Prevectorización automática HET-CD v1.7 desde Puestos RPT_app.xlsx actualizado. Patrón base P13_24 (TÉCNICO/A MEDIO DE ADMINISTRACIÓN). Asignación por perfil técnico medio A2. Grupo original: A2; GR2: -.</t>
  </si>
  <si>
    <t>RPT_037</t>
  </si>
  <si>
    <t>TÉC. MEDIO DE ADMINISTRACIÓN-GESTIÓN DE LA INFORMACIÓN</t>
  </si>
  <si>
    <t>RPT_038</t>
  </si>
  <si>
    <t>TÉC. MEDIO DE ADMINISTRACIÓN-GESTIÓN DE MUSEOS</t>
  </si>
  <si>
    <t>RPT_039</t>
  </si>
  <si>
    <t>TÉC. MEDIO DE ADMINISTRACIÓN-PROMOCIÓN LINGÜÍSTICA</t>
  </si>
  <si>
    <t>RPT_040</t>
  </si>
  <si>
    <t>TÉC. MEDIO DE ADMINISTRACIÓN-AGENTE IGUALDAD</t>
  </si>
  <si>
    <t>RPT_041</t>
  </si>
  <si>
    <t>TÉC. MEDIO DE ADMINISTRACIÓN-INFORMÁTICA</t>
  </si>
  <si>
    <t>RPT_042</t>
  </si>
  <si>
    <t>TÉC. MEDIO DE ADMINISTRACIÓN-PROCESOS SELECTIVOS</t>
  </si>
  <si>
    <t>RPT_043</t>
  </si>
  <si>
    <t>TÉC. MEDIO DE ADMINISTRACIÓN-ARCHIVO</t>
  </si>
  <si>
    <t>RPT_044</t>
  </si>
  <si>
    <t>TÉC. MEDIO DE ADMINISTRACIÓN-BIBLIOTECA</t>
  </si>
  <si>
    <t>RPT_045</t>
  </si>
  <si>
    <t>TÉC. MEDIO DE ADMINISTRACIÓN-RELACIONES LABORALES</t>
  </si>
  <si>
    <t>RPT_046</t>
  </si>
  <si>
    <t>TÉC. MEDIO DE ADMINISTRACIÓN-COMUNICACIÓN</t>
  </si>
  <si>
    <t>RPT_047</t>
  </si>
  <si>
    <t>TÉC. MEDIO DE ADMINISTRACIÓN-CONTRATACIÓN</t>
  </si>
  <si>
    <t>RPT_048</t>
  </si>
  <si>
    <t>TÉC. MEDIO DE ADMINISTRACIÓN-DEPORTES</t>
  </si>
  <si>
    <t>RPT_049</t>
  </si>
  <si>
    <t>TÉC. MEDIO DE ADMINISTRACIÓN-GESTIÓN DE NÓMINAS</t>
  </si>
  <si>
    <t>RPT_050</t>
  </si>
  <si>
    <t>TÉC. MEDIO DE ADMINISTRACIÓN-PROMOCIÓN ECONÓMICA</t>
  </si>
  <si>
    <t>RPT_051</t>
  </si>
  <si>
    <t>TÉC. MEDIO DE ADMINISTRACIÓN-RECURSOS HUMANOS</t>
  </si>
  <si>
    <t>RPT_052</t>
  </si>
  <si>
    <t>TÉC. MEDIO DE ADMINISTRACIÓN-IGUALDAD Y DERECHOS SOCIALES.</t>
  </si>
  <si>
    <t>RPT_053</t>
  </si>
  <si>
    <t>TÉC. MEDIO DE ADMINISTRACIÓN-INGENIERO/A CIVIL</t>
  </si>
  <si>
    <t>RPT_054</t>
  </si>
  <si>
    <t>TÉC. MEDIO DE ADMINISTRACIÓN-RESTAURADOR/A</t>
  </si>
  <si>
    <t>RPT_055</t>
  </si>
  <si>
    <t>TÉC. MEDIO DE ADMINISTRACIÓN-DOCUMENTALISTA</t>
  </si>
  <si>
    <t>RPT_056</t>
  </si>
  <si>
    <t>TÉC. MEDIO DE ADMINISTRACIÓN-ARQU.TÉCNICO/A (APAREJADOR/A)</t>
  </si>
  <si>
    <t>RPT_057</t>
  </si>
  <si>
    <t>TÉC. MEDIO DE ADMINISTRACIÓN-INGENIERO/A TÉCNICO/A OBRAS PÚBLICAS</t>
  </si>
  <si>
    <t>RPT_058</t>
  </si>
  <si>
    <t>TÉC. MEDIO DE ADMINISTRACIÓN-INGENIERO/A TÉC. AGRÍCOLA</t>
  </si>
  <si>
    <t>RPT_059</t>
  </si>
  <si>
    <t>TÉC. MEDIO DE ADMINISTRACIÓN-INGENIERO/A TÉC. TOPOGRAFÍA</t>
  </si>
  <si>
    <t>RPT_060</t>
  </si>
  <si>
    <t>TÉC. MEDIO DE ADMINISTRACIÓN-INGENIERO/A TÉC. INDUSTRIAL</t>
  </si>
  <si>
    <t>RPT_061</t>
  </si>
  <si>
    <t>TÉC. MEDIO DE ADMINISTRACIÓN-ATS DE EMPRESA (PARTICULARIZACIÓN)</t>
  </si>
  <si>
    <t>RPT_062</t>
  </si>
  <si>
    <t>TÉC. MEDIO DE ADMINISTRACIÓN-MAESTRO/A PRIMARIA (C.E.P.A.)</t>
  </si>
  <si>
    <t>RPT_063</t>
  </si>
  <si>
    <t>INSPECTOR PL</t>
  </si>
  <si>
    <t>RPT_064</t>
  </si>
  <si>
    <t>TÉC. MEDIO DE ADMINISTRACIÓN-MAESTRO/A EDUCACIÓN INFANTIL</t>
  </si>
  <si>
    <t>RPT_065</t>
  </si>
  <si>
    <t>JEFE/A DE GESTIÓN</t>
  </si>
  <si>
    <t>Prevectorización automática HET-CD v1.7 desde Puestos RPT_app.xlsx actualizado. Patrón base P12_26 (JEFATURA DE GESTIÓN). Asignación por jefatura de gestión/coordinación intermedia superior. Grupo original: A1; GR2: A2.</t>
  </si>
  <si>
    <t>RPT_066</t>
  </si>
  <si>
    <t>COORDINADOR/A DE EPA</t>
  </si>
  <si>
    <t>Prevectorización automática HET-CD v1.7 desde Puestos RPT_app.xlsx actualizado. Patrón base P12_26 (JEFATURA DE GESTIÓN). Asignación por jefatura de gestión/coordinación intermedia superior. Grupo original: A2; GR2: -.</t>
  </si>
  <si>
    <t>RPT_067</t>
  </si>
  <si>
    <t>DIRECTOR/A COORDINADOR/A EEII</t>
  </si>
  <si>
    <t>RPT_068</t>
  </si>
  <si>
    <t>DIRECTOR/A DEPRTIVO/A</t>
  </si>
  <si>
    <t>RPT_069</t>
  </si>
  <si>
    <t>OFICIALES PL</t>
  </si>
  <si>
    <t>Prevectorización automática HET-CD v1.7 desde Puestos RPT_app.xlsx actualizado. Patrón base P09_21 (JEFATURA DE OPERACIÓN). Asignación por jefatura/coordinación operativa. Grupo original: C1; GR2: B.</t>
  </si>
  <si>
    <t>RPT_070</t>
  </si>
  <si>
    <t>JEFE TÉCNICO INSTALACIONES CULTURALES</t>
  </si>
  <si>
    <t>Prevectorización automática HET-CD v1.7 desde Puestos RPT_app.xlsx actualizado. Patrón base P09_21 (JEFATURA DE OPERACIÓN). Asignación por jefatura/coordinación operativa. Grupo original: C1; GR2: -.</t>
  </si>
  <si>
    <t>RPT_071</t>
  </si>
  <si>
    <t>COORDINADOR TÉCNICO ACTIVIDADES</t>
  </si>
  <si>
    <t>RPT_072</t>
  </si>
  <si>
    <t>COORDINADOR/A DE GESTIÓN</t>
  </si>
  <si>
    <t>RPT_073</t>
  </si>
  <si>
    <t>ENCARGADO/A (MANDO2)</t>
  </si>
  <si>
    <t>RPT_074</t>
  </si>
  <si>
    <t>ENCARGADO/A (MANDO3)</t>
  </si>
  <si>
    <t>RPT_075</t>
  </si>
  <si>
    <t>ENCARGADO/A (MANDO3 JORNADA 10.4)</t>
  </si>
  <si>
    <t>RPT_076</t>
  </si>
  <si>
    <t>ENCARGADO/A (MANDO4)</t>
  </si>
  <si>
    <t>RPT_077</t>
  </si>
  <si>
    <t>JEFA-JEFE NEGOCIADO</t>
  </si>
  <si>
    <t>RPT_078</t>
  </si>
  <si>
    <t>JEFA-JEFE UNIDAD</t>
  </si>
  <si>
    <t>RPT_079</t>
  </si>
  <si>
    <t>JEFA-JEFE UNIDAD BIBLIOTECA</t>
  </si>
  <si>
    <t>RPT_080</t>
  </si>
  <si>
    <t>JEFA-JEFE UNIDAD BIBLIOTECA (BIBLIOBUS)</t>
  </si>
  <si>
    <t>RPT_081</t>
  </si>
  <si>
    <t>COORDINADOR/A ACTIVIDADES AGRARIAS</t>
  </si>
  <si>
    <t>Prevectorización automática HET-CD v1.7 desde Puestos RPT_app.xlsx actualizado. Patrón base P09_21 (JEFATURA DE OPERACIÓN). Asignación por jefatura/coordinación operativa. Grupo original: C1; GR2: C2.</t>
  </si>
  <si>
    <t>RPT_082</t>
  </si>
  <si>
    <t>COORDINADOR/A ACTIVIDADES ACUÁTICAS</t>
  </si>
  <si>
    <t>RPT_083</t>
  </si>
  <si>
    <t>COORDINADOR/A ACTIVIDADES DEPORTIVAS</t>
  </si>
  <si>
    <t>RPT_084</t>
  </si>
  <si>
    <t>COORDINADOR/A PROMOCIÓN DEPORTE ESCOLAR</t>
  </si>
  <si>
    <t>RPT_085</t>
  </si>
  <si>
    <t>COORDINADOR/A TÉCNICO/A EVENTOS DEPORTIVOS</t>
  </si>
  <si>
    <t>RPT_086</t>
  </si>
  <si>
    <t>COORDINADOR/A DE USOS Y ACCESOS DE INST.DEPORTIVAS</t>
  </si>
  <si>
    <t>RPT_087</t>
  </si>
  <si>
    <t>COORDINADOR/A DEP. COMUNICACIÓN Y RELACIONES</t>
  </si>
  <si>
    <t>RPT_088</t>
  </si>
  <si>
    <t>COORDINADOR/A DEPORTE SALUD Y DEPORTE INCLUSIVO</t>
  </si>
  <si>
    <t>RPT_089</t>
  </si>
  <si>
    <t>COORDINADOR/A DEPORTE TURISMO</t>
  </si>
  <si>
    <t>RPT_090</t>
  </si>
  <si>
    <t>COORDINADOR/A TÉCNICO/A PISTA DE ATLETISMO</t>
  </si>
  <si>
    <t>RPT_091</t>
  </si>
  <si>
    <t>ADMINISTRATIVA-ADMINISTRATIVO A.G.</t>
  </si>
  <si>
    <t>Prevectorización automática HET-CD v1.7 desde Puestos RPT_app.xlsx actualizado. Patrón base P07_20 (GESTOR/A TÉCNICO-ADMINISTRATIVO/A). Asignación por perfil gestor técnico-administrativo C1. Grupo original: C1; GR2: -.</t>
  </si>
  <si>
    <t>RPT_092</t>
  </si>
  <si>
    <t>TÉCNICO/A AUXILIAR</t>
  </si>
  <si>
    <t>RPT_093</t>
  </si>
  <si>
    <t>AGENTE PL</t>
  </si>
  <si>
    <t>RPT_094</t>
  </si>
  <si>
    <t>INSPECTOR/A</t>
  </si>
  <si>
    <t>RPT_095</t>
  </si>
  <si>
    <t>INSPECTOR/A SERVICIOS</t>
  </si>
  <si>
    <t>RPT_096</t>
  </si>
  <si>
    <t>INSPECTOR/A APERTURAS</t>
  </si>
  <si>
    <t>RPT_097</t>
  </si>
  <si>
    <t>INSPECTOR/A CONSUMO</t>
  </si>
  <si>
    <t>Prevectorización automática HET-CD v1.7 desde Puestos RPT_app.xlsx actualizado. Patrón base P07_20 (GESTOR/A TÉCNICO-ADMINISTRATIVO/A). Asignación por perfil gestor técnico-administrativo C1. Grupo original: C1; GR2: B.</t>
  </si>
  <si>
    <t>RPT_098</t>
  </si>
  <si>
    <t>INSPECTOR/A DISCIPLINA URBANÍSTICA</t>
  </si>
  <si>
    <t>RPT_099</t>
  </si>
  <si>
    <t>INSPECTOR/A LIMPIEZA</t>
  </si>
  <si>
    <t>RPT_100</t>
  </si>
  <si>
    <t>INSPECTOR/A MANTENIMIENTO</t>
  </si>
  <si>
    <t>RPT_101</t>
  </si>
  <si>
    <t>INSPECTOR/A MEDIO AMBIENTE</t>
  </si>
  <si>
    <t>RPT_102</t>
  </si>
  <si>
    <t>INSPECTOR/A RESIDUOS</t>
  </si>
  <si>
    <t>RPT_103</t>
  </si>
  <si>
    <t>INSPECTOR/A TRANSPORTES</t>
  </si>
  <si>
    <t>RPT_104</t>
  </si>
  <si>
    <t>INSPECTOR/A TRIBUTOS</t>
  </si>
  <si>
    <t>RPT_105</t>
  </si>
  <si>
    <t>TÉCNICO/A ESPECIALISTA EDUCACIÓN INFANTIL (PROFESO</t>
  </si>
  <si>
    <t>Prevectorización automática HET-CD v1.7 desde Puestos RPT_app.xlsx actualizado. Patrón base P08_21 (GESTOR/A TÉCNICO-ADMINISTRATIVO/A). Asignación por perfil gestor técnico-administrativo con mayor CD. Grupo original: C1; GR2: B.</t>
  </si>
  <si>
    <t>RPT_106</t>
  </si>
  <si>
    <t>MONITOR/A SOCORRISTA</t>
  </si>
  <si>
    <t>RPT_107</t>
  </si>
  <si>
    <t>TÉCNICO/A INTEGRACIÓN SOCIAL</t>
  </si>
  <si>
    <t>RPT_108</t>
  </si>
  <si>
    <t>MONITOR/A ( a extinguir por TIS)</t>
  </si>
  <si>
    <t>RPT_109</t>
  </si>
  <si>
    <t>MONITOR/A DEPORTIVO (a extinguir por TAFAD)</t>
  </si>
  <si>
    <t>RPT_110</t>
  </si>
  <si>
    <t>MONITOR/A (a extinguir)</t>
  </si>
  <si>
    <t>Prevectorización automática HET-CD v1.7 desde Puestos RPT_app.xlsx actualizado. Patrón base P07_20 (GESTOR/A TÉCNICO-ADMINISTRATIVO/A). Asignación por perfil gestor técnico-administrativo C1. Grupo original: C2; GR2: -.</t>
  </si>
  <si>
    <t>RPT_111</t>
  </si>
  <si>
    <t>TÉCNICO/A ESPECIALISTA DELINEACIÓN (DELINEANTE)</t>
  </si>
  <si>
    <t>RPT_112</t>
  </si>
  <si>
    <t>TÉCNICO/A ESPECIALISTA PROYECTOS Y OBRAS</t>
  </si>
  <si>
    <t>RPT_113</t>
  </si>
  <si>
    <t>TÉCNICO/A ESPECIALISTA INFORMÁTICA</t>
  </si>
  <si>
    <t>RPT_114</t>
  </si>
  <si>
    <t>TECNICO/A SUPERIOR ADMINISTRACION SISTEMAS</t>
  </si>
  <si>
    <t>RPT_115</t>
  </si>
  <si>
    <t>TRADUCTOR/A VALENCIANO</t>
  </si>
  <si>
    <t>RPT_116</t>
  </si>
  <si>
    <t>AUXILIAR A.G.</t>
  </si>
  <si>
    <t>Prevectorización automática HET-CD v1.7 desde Puestos RPT_app.xlsx actualizado. Patrón base P05_18 (AUXILIAR DE GESTIÓN ADMINISTRATIVA). Asignación por auxiliar de gestión administrativa a extinguir. Grupo original: C2; GR2: -.</t>
  </si>
  <si>
    <t>RPT_117</t>
  </si>
  <si>
    <t>AUXILIAR BIBLIOTECA</t>
  </si>
  <si>
    <t>RPT_118</t>
  </si>
  <si>
    <t>TAQUILLERO/A</t>
  </si>
  <si>
    <t>RPT_119</t>
  </si>
  <si>
    <t>AGENTE MOVILIDAD URBANA</t>
  </si>
  <si>
    <t>Prevectorización automática HET-CD v1.7 desde Puestos RPT_app.xlsx actualizado. Patrón base P04_17 (OFICIAL/A DE SERVICIOS / APOYO OPERATIVO). Asignación por oficial/operación cualificada C2. Grupo original: C2; GR2: -.</t>
  </si>
  <si>
    <t>RPT_120</t>
  </si>
  <si>
    <t>PALISTA</t>
  </si>
  <si>
    <t>RPT_121</t>
  </si>
  <si>
    <t>CONDUCTOR/A CAMIÓN-GRUA</t>
  </si>
  <si>
    <t>RPT_122</t>
  </si>
  <si>
    <t>CONDUCTORA-CONDUCTOR MANTENIMIENTO (ASFALTO)</t>
  </si>
  <si>
    <t>RPT_123</t>
  </si>
  <si>
    <t>TRACTORISTA</t>
  </si>
  <si>
    <t>RPT_124</t>
  </si>
  <si>
    <t>CONDUCTORA-CONDUCTOR MANTENIMIENTO</t>
  </si>
  <si>
    <t>RPT_125</t>
  </si>
  <si>
    <t>CONDUCTORA-CONDUCTOR</t>
  </si>
  <si>
    <t>RPT_126</t>
  </si>
  <si>
    <t>OFICIAL/A MANTENIMIENTO MUSEOS</t>
  </si>
  <si>
    <t>RPT_127</t>
  </si>
  <si>
    <t>OFICIAL/A CEMENTERIO</t>
  </si>
  <si>
    <t>RPT_128</t>
  </si>
  <si>
    <t>OFICIAL/A ASFALTO</t>
  </si>
  <si>
    <t>RPT_129</t>
  </si>
  <si>
    <t>OFICIAL/A SEÑALIZACIÓN Y MOBILIARIO URBANO</t>
  </si>
  <si>
    <t>RPT_130</t>
  </si>
  <si>
    <t>OFICIAL/A ALBAÑILERÍA</t>
  </si>
  <si>
    <t>RPT_131</t>
  </si>
  <si>
    <t>OFICIAL/A ALMACÉN</t>
  </si>
  <si>
    <t>RPT_132</t>
  </si>
  <si>
    <t>OFICIAL/A PINTURA</t>
  </si>
  <si>
    <t>RPT_133</t>
  </si>
  <si>
    <t>OPERARIO/A ESPACIOS ESCÉNICOS</t>
  </si>
  <si>
    <t>RPT_134</t>
  </si>
  <si>
    <t>AUXILIAR MANTENIMIENTO INSTALACIONES DEPORTIVAS</t>
  </si>
  <si>
    <t>RPT_135</t>
  </si>
  <si>
    <t>AUXILIAR TOPOGRAFÍA</t>
  </si>
  <si>
    <t>RPT_136</t>
  </si>
  <si>
    <t>AYUDANTE/A ASFALTO</t>
  </si>
  <si>
    <t>Prevectorización automática HET-CD v1.7 desde Puestos RPT_app.xlsx actualizado. Patrón base P01_14 (OPERARIO/A DE SERVICIOS). Asignación por operación básica OAP/CD 14. Grupo original: OAP; GR2: -.</t>
  </si>
  <si>
    <t>RPT_137</t>
  </si>
  <si>
    <t>AYUDANTE/A ALBAÑILERÍA</t>
  </si>
  <si>
    <t>RPT_138</t>
  </si>
  <si>
    <t>AYUDANTE/A SEÑALIZACIÓN</t>
  </si>
  <si>
    <t>RPT_139</t>
  </si>
  <si>
    <t>AYUDANTE/A LAVADERO</t>
  </si>
  <si>
    <t>RPT_140</t>
  </si>
  <si>
    <t>AYUDANTE/A MONTAJES</t>
  </si>
  <si>
    <t>RPT_141</t>
  </si>
  <si>
    <t>AYUDANTE/A RIEGO</t>
  </si>
  <si>
    <t>RPT_142</t>
  </si>
  <si>
    <t>AYUDANTE/A PINTURA</t>
  </si>
  <si>
    <t>RPT_143</t>
  </si>
  <si>
    <t>AYUDANTE/A CERRAJERÍA</t>
  </si>
  <si>
    <t>RPT_144</t>
  </si>
  <si>
    <t>AYUDANTE/A FONTANERÍA</t>
  </si>
  <si>
    <t>RPT_145</t>
  </si>
  <si>
    <t>AYUDANTE/A JARDINERÍA</t>
  </si>
  <si>
    <t>RPT_146</t>
  </si>
  <si>
    <t>AYUDANTE/A EE.II.MM.</t>
  </si>
  <si>
    <t>Prevectorización automática HET-CD v1.7 desde Puestos RPT_app.xlsx actualizado. Patrón base P01_14 (OPERARIO/A DE SERVICIOS). Asignación por operación básica OAP/CD 14. Grupo original: C2; GR2: -.</t>
  </si>
  <si>
    <t>RPT_147</t>
  </si>
  <si>
    <t>AYUDANTE/A CEMENTERIO</t>
  </si>
  <si>
    <t>RPT_148</t>
  </si>
  <si>
    <t>LIMPIADORA-LIMPIADOR</t>
  </si>
  <si>
    <t>RPT_149</t>
  </si>
  <si>
    <t>OFICIAL/A PODA EN ALTURA</t>
  </si>
  <si>
    <t>RPT_150</t>
  </si>
  <si>
    <t>PALMERERO/A</t>
  </si>
  <si>
    <t>RPT_151</t>
  </si>
  <si>
    <t>PALMERERO/A-JARDINERO/A</t>
  </si>
  <si>
    <t>RPT_152</t>
  </si>
  <si>
    <t>OFICIAL/A ELECTRICIDAD</t>
  </si>
  <si>
    <t>RPT_153</t>
  </si>
  <si>
    <t>OFICIAL/A CARPINTERÍA</t>
  </si>
  <si>
    <t>RPT_154</t>
  </si>
  <si>
    <t>OFICIAL/A CERRAJERÍA</t>
  </si>
  <si>
    <t>RPT_155</t>
  </si>
  <si>
    <t>OFICIAL/A CLIMATIZACIÓN</t>
  </si>
  <si>
    <t>RPT_156</t>
  </si>
  <si>
    <t>OFICIAL/A FONTANERÍA</t>
  </si>
  <si>
    <t>RPT_157</t>
  </si>
  <si>
    <t>OFICIAL/A JARDINERÍA</t>
  </si>
  <si>
    <t>RPT_158</t>
  </si>
  <si>
    <t>OFICIAL/A MECÁNICA</t>
  </si>
  <si>
    <t>RPT_159</t>
  </si>
  <si>
    <t>OFICIAL/A DE COCINA/DESPENSA</t>
  </si>
  <si>
    <t>RPT_160</t>
  </si>
  <si>
    <t>VOLANTE (NO DOCENTE)</t>
  </si>
  <si>
    <t>RPT_161</t>
  </si>
  <si>
    <t>AUXILIAR SERVICIOS LOGÍSTICOS</t>
  </si>
  <si>
    <t>RPT_162</t>
  </si>
  <si>
    <t>AUXILIAR INSTALACIONES DEPORTIVAS</t>
  </si>
  <si>
    <t>RPT_163</t>
  </si>
  <si>
    <t>OPERARIO/A SERVICIOS MÚLTIPLES</t>
  </si>
  <si>
    <t>Prevectorización automática HET-CD v1.7 desde Puestos RPT_app.xlsx actualizado. Patrón base P01_14 (OPERARIO/A DE SERVICIOS). Asignación por puesto operativo básico OAP/CD 14. Grupo original: OAP; GR2: -.</t>
  </si>
  <si>
    <t>RPT_164</t>
  </si>
  <si>
    <t>CONSERJE CEMENTERIO</t>
  </si>
  <si>
    <t>RPT_165</t>
  </si>
  <si>
    <t>ORDENANZA</t>
  </si>
  <si>
    <t>RPT_166</t>
  </si>
  <si>
    <t>PORTERO/A GRUPO ESCOLAR</t>
  </si>
  <si>
    <t>0-3/NA</t>
  </si>
  <si>
    <t>No se valora la titulación general de acceso al grupo/subgrupo, sino la especialización técnica adicional objetivamente requerida por el puesto. Criterio detallado en hoja criterios_vectorizacion_cd.</t>
  </si>
  <si>
    <t>No se valora el conocimiento general del procedimiento administrativo común, salvo aplicación sectorial o especializada. Criterio detallado en hoja criterios_vectorizacion_cd.</t>
  </si>
  <si>
    <t>Debe distinguirse entre requisito del grupo/subgrupo y cualificación específica del puesto. Criterio detallado en hoja criterios_vectorizacion_cd.</t>
  </si>
  <si>
    <t>No se valora el uso ordinario de ofimática o herramientas comunes salvo exigencia técnica superior. Criterio detallado en hoja criterios_vectorizacion_cd.</t>
  </si>
  <si>
    <t>No se valora la redacción formal de la ficha, sino la presencia real de funciones técnicas especializadas. Criterio detallado en hoja criterios_vectorizacion_cd.</t>
  </si>
  <si>
    <t>Debe valorarse la responsabilidad objetiva del puesto, no la responsabilidad genérica de todo empleado público. Criterio detallado en hoja criterios_vectorizacion_cd.</t>
  </si>
  <si>
    <t>No se valora la existencia genérica de efectos administrativos, sino incidencia jurídica directa, relevante o cualificada. Criterio detallado en hoja criterios_vectorizacion_cd.</t>
  </si>
  <si>
    <t>No se valora el mero uso de medios materiales, sino intervención relevante en decisiones, control o gestión económica. Criterio detallado en hoja criterios_vectorizacion_cd.</t>
  </si>
  <si>
    <t>No se valora simplemente el contacto con el público, sino repercusión objetiva sobre el servicio o derechos/intereses ciudadanos. Criterio detallado en hoja criterios_vectorizacion_cd.</t>
  </si>
  <si>
    <t>No se valora la mera pertenencia a una unidad, sino el efecto objetivo en procesos internos o en otros servicios. Criterio detallado en hoja criterios_vectorizacion_cd.</t>
  </si>
  <si>
    <t>Debe distinguirse entre preparar documentación, informar técnicamente, validar, proponer y decidir. Criterio detallado en hoja criterios_vectorizacion_cd.</t>
  </si>
  <si>
    <t>No se valora una comprobación rutinaria menor, sino control o verificación con efecto funcional relevante. Criterio detallado en hoja criterios_vectorizacion_cd.</t>
  </si>
  <si>
    <t>Se valora la exigencia del puesto, no la competencia personal del ocupante. Criterio detallado en hoja criterios_vectorizacion_cd.</t>
  </si>
  <si>
    <t>No se valora la autonomía personal del ocupante, sino la autonomía inherente al puesto. Criterio detallado en hoja criterios_vectorizacion_cd.</t>
  </si>
  <si>
    <t>No se valora la mera recopilación de datos, sino la necesidad objetiva de interpretar y valorar. Criterio detallado en hoja criterios_vectorizacion_cd.</t>
  </si>
  <si>
    <t>No se valoran incidencias excepcionales ajenas al puesto, sino las propias del desempeño ordinario. Criterio detallado en hoja criterios_vectorizacion_cd.</t>
  </si>
  <si>
    <t>No se valora la organización del propio trabajo salvo que exista planificación funcional relevante. Criterio detallado en hoja criterios_vectorizacion_cd.</t>
  </si>
  <si>
    <t>No se valora cualquier habilidad social genérica, sino competencias transversales necesarias para el puesto. Criterio detallado en hoja criterios_vectorizacion_cd.</t>
  </si>
  <si>
    <t>Este subfactor no premia desempeño personal; mide exigencia objetiva de conductas profesionales asociadas a las funciones. Criterio detallado en hoja criterios_vectorizacion_cd.</t>
  </si>
  <si>
    <t>No se valora la mera ayuda entre compañeros ni la experiencia del ocupante, sino posición organizativa formal o funcional del puesto. Criterio detallado en hoja criterios_vectorizacion_cd.</t>
  </si>
  <si>
    <t>Debe distinguirse colaboración en equipo de coordinación funcional real. Criterio detallado en hoja criterios_vectorizacion_cd.</t>
  </si>
  <si>
    <t>No se valora la autoorganización del propio trabajo, sino la organización del trabajo ajeno. Criterio detallado en hoja criterios_vectorizacion_cd.</t>
  </si>
  <si>
    <t>No se valora la colaboración informal, sino supervisión funcional o técnica exigida por el puesto. Criterio detallado en hoja criterios_vectorizacion_cd.</t>
  </si>
  <si>
    <t>No se valora el rendimiento individual, sino la responsabilidad sobre resultados colectivos. Criterio detallado en hoja criterios_vectorizacion_cd.</t>
  </si>
  <si>
    <t>Debe atenderse a la posición real del puesto, no solo a la denominación formal. Criterio detallado en hoja criterios_vectorizacion_cd.</t>
  </si>
  <si>
    <t>Solo se valora cuando el mando operativo forma parte estructural del puesto. Criterio detallado en hoja criterios_vectorizacion_cd.</t>
  </si>
  <si>
    <t>No se valora acumulación ocasional de tareas, sino variedad ordinaria del puesto tipo. Criterio detallado en hoja criterios_vectorizacion_cd.</t>
  </si>
  <si>
    <t>No se valora el volumen de trabajo, sino dificultad estructural del proceso. Criterio detallado en hoja criterios_vectorizacion_cd.</t>
  </si>
  <si>
    <t>No se valora comunicación ocasional, sino dependencia funcional real entre procesos. Criterio detallado en hoja criterios_vectorizacion_cd.</t>
  </si>
  <si>
    <t>No se valora cantidad de expedientes, sino heterogeneidad y variedad de casos. Criterio detallado en hoja criterios_vectorizacion_cd.</t>
  </si>
  <si>
    <t>No se valora que la tarea sea importante, sino la dificultad técnica objetiva para resolverla. Criterio detallado en hoja criterios_vectorizacion_cd.</t>
  </si>
  <si>
    <t>No se valora la iniciativa voluntaria, sino la exigencia objetiva de criterio del puesto. Criterio detallado en hoja criterios_vectorizacion_cd.</t>
  </si>
  <si>
    <t>Este factor debe usarse con prudencia; no premia irregularidades, identifica necesidad de revisión objetiva. Criterio detallado en hoja criterios_vectorizacion_cd.</t>
  </si>
  <si>
    <t>Solo debe valorarse si el territorio incide realmente en la dificultad del puesto, no por mera existencia del término municipal. Criterio detallado en hoja criterios_vectorizacion_cd.</t>
  </si>
  <si>
    <t>No se valora el tamaño del Ayuntamiento en abstracto, sino el ámbito organizativo efectivo del puesto. Criterio detallado en hoja criterios_vectorizacion_cd.</t>
  </si>
  <si>
    <t>No se valora el volumen de usuarios, sino la diversidad y complejidad de sus necesidades. Criterio detallado en hoja criterios_vectorizacion_cd.</t>
  </si>
  <si>
    <t>No se valora la comunicación ocasional, sino la coordinación necesaria para el cumplimiento ordinario de funciones. Criterio detallado en hoja criterios_vectorizacion_cd.</t>
  </si>
  <si>
    <t>Solo se valora si la descentralización o campo es estructural, no por desplazamientos ocasionales. Criterio detallado en hoja criterios_vectorizacion_cd.</t>
  </si>
  <si>
    <t>No se valora clima laboral ni dificultades coyunturales, sino complejidad estructural del entorno organizativo. Criterio detallado en hoja criterios_vectorizacion_cd.</t>
  </si>
  <si>
    <t>Impacto económico CD 2026</t>
  </si>
  <si>
    <t>Calcula el coste anual de cambios de complemento de destino usando la hoja importes_cd_2026. Completar CD final ajustado y dotaciones cuando proceda.</t>
  </si>
  <si>
    <t>cd_final_ajustado</t>
  </si>
  <si>
    <t>dotaciones</t>
  </si>
  <si>
    <t>meses_efecto</t>
  </si>
  <si>
    <t>importe_cd_vigente_anual</t>
  </si>
  <si>
    <t>importe_cd_final_anual</t>
  </si>
  <si>
    <t>diferencial_anual_dotacion</t>
  </si>
  <si>
    <t>impacto_anual_total</t>
  </si>
  <si>
    <t>impacto_periodo</t>
  </si>
  <si>
    <t>resultado</t>
  </si>
  <si>
    <t>PENDIENTE</t>
  </si>
  <si>
    <t>Completar CD final ajustado tras ejecutar evaluación HET-CD.</t>
  </si>
  <si>
    <t>Elemento</t>
  </si>
  <si>
    <t>Valor</t>
  </si>
  <si>
    <t>Significado</t>
  </si>
  <si>
    <t>Regla de uso</t>
  </si>
  <si>
    <t>Subfactores CD</t>
  </si>
  <si>
    <t>0</t>
  </si>
  <si>
    <t>No concurre / no se exige de forma relevante</t>
  </si>
  <si>
    <t>Usar cuando el subfactor es aplicable pero no aparece de forma relevante en el puesto.</t>
  </si>
  <si>
    <t>1</t>
  </si>
  <si>
    <t>Concurre en grado básico o limitado</t>
  </si>
  <si>
    <t>Usar ante exigencia simple, parcial o supervisada.</t>
  </si>
  <si>
    <t>2</t>
  </si>
  <si>
    <t>Concurre en grado medio o cualificado</t>
  </si>
  <si>
    <t>Usar ante autonomía ordinaria, especialización relevante o responsabilidad funcional clara.</t>
  </si>
  <si>
    <t>3</t>
  </si>
  <si>
    <t>Concurre en grado alto, avanzado o especialmente intenso</t>
  </si>
  <si>
    <t>Reservar para exigencias claramente superiores, estratégicas, críticas o de alta complejidad.</t>
  </si>
  <si>
    <t>N.A.</t>
  </si>
  <si>
    <t>No aplicable estructuralmente</t>
  </si>
  <si>
    <t>Usar excepcionalmente cuando el subfactor no tiene sentido para la naturaleza del puesto.</t>
  </si>
  <si>
    <t>Regla de prudencia</t>
  </si>
  <si>
    <t>Duda entre niveles</t>
  </si>
  <si>
    <t>Aplicar nivel inferior salvo evidencia objetiva suficiente</t>
  </si>
  <si>
    <t>Especialmente relevante cuando el valor 2 o 3 puede impulsar revisión al alza.</t>
  </si>
  <si>
    <t>Trazabilidad</t>
  </si>
  <si>
    <t>Valores 2 y 3</t>
  </si>
  <si>
    <t>Conviene registrar evidencia o justificación breve</t>
  </si>
  <si>
    <t>Evidencias: normativa, informes, organigrama, funciones, circuitos, volumen de equipo, sistemas o procesos.</t>
  </si>
  <si>
    <t>Patrones</t>
  </si>
  <si>
    <t>Grupo funcional</t>
  </si>
  <si>
    <t>Operación / Ejecutivo-técnico / Intermedio-gestión / Dirección-coordinación</t>
  </si>
  <si>
    <t>La calibración de patrones se recoge en calibracion_puestos_patron y criterios_grupos_funcionales.</t>
  </si>
  <si>
    <t>codigo</t>
  </si>
  <si>
    <t>factor</t>
  </si>
  <si>
    <t>subvariable</t>
  </si>
  <si>
    <t>pregunta_evaluacion</t>
  </si>
  <si>
    <t>cautela</t>
  </si>
  <si>
    <t>valor_0</t>
  </si>
  <si>
    <t>valor_1</t>
  </si>
  <si>
    <t>valor_2</t>
  </si>
  <si>
    <t>valor_3</t>
  </si>
  <si>
    <t>ejemplo_0</t>
  </si>
  <si>
    <t>ejemplo_1</t>
  </si>
  <si>
    <t>ejemplo_2</t>
  </si>
  <si>
    <t>ejemplo_3</t>
  </si>
  <si>
    <t>evidencias_recomendadas</t>
  </si>
  <si>
    <t>¿Qué nivel de conocimiento técnico específico adicional exige el desempeño ordinario del puesto, más allá del propio del grupo/subgrupo?</t>
  </si>
  <si>
    <t>0-3 / N.A.</t>
  </si>
  <si>
    <t>No se valora la titulación general de acceso al grupo/subgrupo, sino la especialización técnica adicional objetivamente requerida por el puesto.</t>
  </si>
  <si>
    <t>No exige conocimientos técnicos específicos adicionales.</t>
  </si>
  <si>
    <t>Exige conocimientos básicos especializados, adquiribles mediante formación breve, instrucciones internas o uso ordinario de herramientas/procedimientos.</t>
  </si>
  <si>
    <t>Exige conocimientos técnicos especializados para aplicar normativa, procedimientos, herramientas o criterios específicos con autonomía ordinaria.</t>
  </si>
  <si>
    <t>Exige conocimientos técnicos avanzados o altamente especializados para interpretar criterios complejos, emitir juicio cualificado o resolver problemas no estandarizados.</t>
  </si>
  <si>
    <t>Tareas generales sin especialización sectorial.</t>
  </si>
  <si>
    <t>Uso de aplicación interna o procedimiento específico.</t>
  </si>
  <si>
    <t>Tramitación técnica sectorial con normativa propia.</t>
  </si>
  <si>
    <t>Informes técnicos complejos o materia altamente especializada.</t>
  </si>
  <si>
    <t>Normativa sectorial; manuales técnicos; formación exigida; certificaciones; funciones de informe o criterio técnico.</t>
  </si>
  <si>
    <t>¿Qué grado de conocimiento específico de normativa, sector material o régimen procedimental exige el puesto?</t>
  </si>
  <si>
    <t>No se valora el conocimiento general del procedimiento administrativo común, salvo aplicación sectorial o especializada.</t>
  </si>
  <si>
    <t>No exige conocimiento normativo o sectorial específico relevante.</t>
  </si>
  <si>
    <t>Exige conocer normativa básica o procedimientos internos definidos de uso frecuente.</t>
  </si>
  <si>
    <t>Exige aplicar normativa sectorial o procedimientos complejos con autonomía ordinaria.</t>
  </si>
  <si>
    <t>Exige interpretar normativa compleja, resolver dudas relevantes o fijar criterios de aplicación en la unidad o servicio.</t>
  </si>
  <si>
    <t>Tareas sin normativa sectorial propia.</t>
  </si>
  <si>
    <t>Procedimiento interno de un servicio.</t>
  </si>
  <si>
    <t>Aplicación de ordenanzas, contratación, subvenciones, urbanismo, personal u otra normativa sectorial.</t>
  </si>
  <si>
    <t>Criterios jurídicos/técnicos complejos o interpretación normativa.</t>
  </si>
  <si>
    <t>Normativa aplicable; circulares; informes; recursos; criterios de servicio.</t>
  </si>
  <si>
    <t>¿El puesto exige una cualificación específica, habilitación, certificación o requisito adicional distinto del requisito general de acceso?</t>
  </si>
  <si>
    <t>Debe distinguirse entre requisito del grupo/subgrupo y cualificación específica del puesto.</t>
  </si>
  <si>
    <t>No exige cualificación específica adicional.</t>
  </si>
  <si>
    <t>Exige formación o acreditación interna básica vinculada al puesto.</t>
  </si>
  <si>
    <t>Exige cualificación técnica, habilitación, permiso, certificación o formación especializada relevante.</t>
  </si>
  <si>
    <t>Exige habilitación legal, certificación avanzada o cualificación superior crítica para el desempeño.</t>
  </si>
  <si>
    <t>Sin requisito adicional.</t>
  </si>
  <si>
    <t>Curso interno obligatorio.</t>
  </si>
  <si>
    <t>Carné, certificación técnica, cualificación profesional o formación sectorial relevante.</t>
  </si>
  <si>
    <t>Habilitación nacional, certificación avanzada, título específico o requisito legal singular.</t>
  </si>
  <si>
    <t>RPT; fichas de puesto; normativa habilitante; certificados; requisitos de convocatoria.</t>
  </si>
  <si>
    <t>¿Qué nivel de dominio de herramientas, aplicaciones, sistemas técnicos, metodologías o medios instrumentales exige el puesto?</t>
  </si>
  <si>
    <t>No se valora el uso ordinario de ofimática o herramientas comunes salvo exigencia técnica superior.</t>
  </si>
  <si>
    <t>No exige herramientas específicas relevantes.</t>
  </si>
  <si>
    <t>Exige uso básico de aplicaciones o herramientas internas concretas.</t>
  </si>
  <si>
    <t>Exige manejo cualificado de aplicaciones, sistemas o metodologías especializadas necesarias para el puesto.</t>
  </si>
  <si>
    <t>Exige dominio avanzado, configuración, explotación compleja, supervisión técnica o resolución de incidencias especializadas.</t>
  </si>
  <si>
    <t>Ofimática general.</t>
  </si>
  <si>
    <t>Gestor de expedientes o aplicación municipal básica.</t>
  </si>
  <si>
    <t>SIG, contabilidad, nómina, contratación, padrón u otra herramienta especializada.</t>
  </si>
  <si>
    <t>Configuración, explotación avanzada, integración de datos o resolución técnica compleja.</t>
  </si>
  <si>
    <t>Aplicaciones usadas; manuales; permisos de usuario; responsabilidades de configuración o explotación.</t>
  </si>
  <si>
    <t>Verbos técnicos especializados del diccionario</t>
  </si>
  <si>
    <t>¿Las funciones del puesto incorporan verbos de alta carga técnica, analítica, evaluadora, asesora, planificadora o directiva?</t>
  </si>
  <si>
    <t>No se valora la redacción formal de la ficha, sino la presencia real de funciones técnicas especializadas.</t>
  </si>
  <si>
    <t>No concurren verbos técnicos especializados de forma relevante.</t>
  </si>
  <si>
    <t>Concurren algunos verbos técnicos de apoyo o ejecución cualificada.</t>
  </si>
  <si>
    <t>Concurren verbos técnicos relevantes con autonomía ordinaria.</t>
  </si>
  <si>
    <t>Concurren verbos técnicos avanzados o estratégicos que exigen criterio experto o dirección funcional.</t>
  </si>
  <si>
    <t>Ejecutar o atender sin carga técnica relevante.</t>
  </si>
  <si>
    <t>Verificar, apoyar, documentar con cierta especialización.</t>
  </si>
  <si>
    <t>Analizar, informar, evaluar, proponer, revisar técnicamente.</t>
  </si>
  <si>
    <t>Dirigir, planificar, coordinar, decidir, establecer criterios o asesorar cualificadamente.</t>
  </si>
  <si>
    <t>Vector F1-F49; descripción de funciones; diccionario de verbos; informes de funciones.</t>
  </si>
  <si>
    <t>¿Qué intensidad tiene la responsabilidad profesional asumida por el puesto en sus actuaciones ordinarias?</t>
  </si>
  <si>
    <t>Debe valorarse la responsabilidad objetiva del puesto, no la responsabilidad genérica de todo empleado público.</t>
  </si>
  <si>
    <t>No asume responsabilidad profesional relevante más allá de la ejecución ordinaria.</t>
  </si>
  <si>
    <t>Asume responsabilidad básica sobre tareas propias bajo supervisión o revisión.</t>
  </si>
  <si>
    <t>Asume responsabilidad cualificada sobre expedientes, informes, procesos o servicios con autonomía ordinaria.</t>
  </si>
  <si>
    <t>Asume alto nivel de responsabilidad sobre materias complejas, sensibles o con efectos relevantes sobre terceros o la organización.</t>
  </si>
  <si>
    <t>Tareas simples revisables.</t>
  </si>
  <si>
    <t>Tramitación parcial o apoyo supervisado.</t>
  </si>
  <si>
    <t>Gestión autónoma de expedientes o informes ordinarios.</t>
  </si>
  <si>
    <t>Criterio experto, decisiones preparatorias críticas o coordinación de resultados relevantes.</t>
  </si>
  <si>
    <t>Fichas de puesto; circuitos de revisión; informes; responsabilidades asignadas.</t>
  </si>
  <si>
    <t>¿Qué impacto jurídico pueden tener las actuaciones propias del puesto?</t>
  </si>
  <si>
    <t>No se valora la existencia genérica de efectos administrativos, sino incidencia jurídica directa, relevante o cualificada.</t>
  </si>
  <si>
    <t>Las actuaciones no tienen impacto jurídico relevante.</t>
  </si>
  <si>
    <t>Las actuaciones tienen incidencia jurídica limitada o fácilmente revisable.</t>
  </si>
  <si>
    <t>Las actuaciones inciden de forma relevante en derechos, obligaciones, autorizaciones, sanciones, contratos o procedimientos.</t>
  </si>
  <si>
    <t>Las actuaciones condicionan decisiones jurídicas complejas, recursos, responsabilidad patrimonial, procedimientos sensibles o actos de alta trascendencia.</t>
  </si>
  <si>
    <t>Registro o apoyo sin efectos sustantivos.</t>
  </si>
  <si>
    <t>Comprobaciones o trámites con revisión posterior.</t>
  </si>
  <si>
    <t>Informes, propuestas o trámites con efectos jurídicos ordinarios.</t>
  </si>
  <si>
    <t>Expedientes complejos, recursos, sanciones, contratos o responsabilidad patrimonial.</t>
  </si>
  <si>
    <t>Tipos de expediente; actos resultantes; recursos; informes jurídicos/técnicos.</t>
  </si>
  <si>
    <t>¿Qué responsabilidad tiene el puesto sobre recursos económicos, presupuestarios, ingresos, gastos, contratos, subvenciones o bienes?</t>
  </si>
  <si>
    <t>No se valora el mero uso de medios materiales, sino intervención relevante en decisiones, control o gestión económica.</t>
  </si>
  <si>
    <t>No tiene responsabilidad económica relevante.</t>
  </si>
  <si>
    <t>Interviene en tareas económicas auxiliares, registro, comprobación o apoyo.</t>
  </si>
  <si>
    <t>Gestiona, informa, controla o tramita actuaciones con impacto económico ordinario.</t>
  </si>
  <si>
    <t>Interviene cualificadamente en decisiones, control o gestión económica de especial cuantía, complejidad o riesgo.</t>
  </si>
  <si>
    <t>Sin manejo económico.</t>
  </si>
  <si>
    <t>Registro de facturas, tasas o justificantes.</t>
  </si>
  <si>
    <t>Contratos, subvenciones, presupuestos o ingresos ordinarios.</t>
  </si>
  <si>
    <t>Grandes contratos, planificación presupuestaria, control económico crítico o fiscalización técnica.</t>
  </si>
  <si>
    <t>Importes gestionados; presupuesto; contratos; subvenciones; inventario; informes económicos.</t>
  </si>
  <si>
    <t>¿Qué incidencia tiene el puesto en la prestación efectiva de servicios públicos, atención a ciudadanía o colectivos destinatarios?</t>
  </si>
  <si>
    <t>No se valora simplemente el contacto con el público, sino repercusión objetiva sobre el servicio o derechos/intereses ciudadanos.</t>
  </si>
  <si>
    <t>No tiene incidencia directa relevante sobre servicio público o ciudadanía.</t>
  </si>
  <si>
    <t>Tiene incidencia limitada o de apoyo en atención o prestación del servicio.</t>
  </si>
  <si>
    <t>Su actuación condiciona de forma ordinaria la calidad, continuidad o eficacia del servicio.</t>
  </si>
  <si>
    <t>Su actuación incide críticamente en servicios esenciales, atención sensible, colectivos vulnerables o alta repercusión ciudadana.</t>
  </si>
  <si>
    <t>Sin atención o impacto externo.</t>
  </si>
  <si>
    <t>Atención informativa o apoyo puntual.</t>
  </si>
  <si>
    <t>Gestión de prestaciones, licencias, incidencias o servicios de uso ciudadano.</t>
  </si>
  <si>
    <t>Servicios esenciales, emergencias, colectivos vulnerables o asuntos de gran repercusión.</t>
  </si>
  <si>
    <t>Cartas de servicios; reclamaciones; atención; colectivos afectados; continuidad del servicio.</t>
  </si>
  <si>
    <t>¿Qué impacto tiene el puesto sobre el funcionamiento interno, soporte a otras unidades o continuidad organizativa?</t>
  </si>
  <si>
    <t>No se valora la mera pertenencia a una unidad, sino el efecto objetivo en procesos internos o en otros servicios.</t>
  </si>
  <si>
    <t>Impacto limitado al propio puesto.</t>
  </si>
  <si>
    <t>Impacto limitado en tareas o personas próximas.</t>
  </si>
  <si>
    <t>Impacto habitual sobre procesos internos u otras unidades relacionadas.</t>
  </si>
  <si>
    <t>Impacto transversal o crítico sobre funcionamiento, planificación, continuidad o coordinación de varios servicios.</t>
  </si>
  <si>
    <t>Trabajo individual aislado.</t>
  </si>
  <si>
    <t>Apoyo interno a una unidad.</t>
  </si>
  <si>
    <t>Soporte a varios procesos o unidades.</t>
  </si>
  <si>
    <t>Proceso transversal, planificación municipal, sistemas corporativos o coordinación general.</t>
  </si>
  <si>
    <t>Procesos afectados; unidades usuarias; dependencias internas; incidencias organizativas.</t>
  </si>
  <si>
    <t>¿Qué papel tiene el puesto en firma, emisión de informes, propuestas, validaciones o circuitos de conformidad?</t>
  </si>
  <si>
    <t>Debe distinguirse entre preparar documentación, informar técnicamente, validar, proponer y decidir.</t>
  </si>
  <si>
    <t>No participa en informes, propuestas o validaciones relevantes.</t>
  </si>
  <si>
    <t>Prepara documentación o antecedentes para otros puestos.</t>
  </si>
  <si>
    <t>Emite informes, valoraciones, conformidades o propuestas ordinarias con incidencia en la decisión.</t>
  </si>
  <si>
    <t>Formula informes, propuestas o validaciones cualificadas que condicionan de forma relevante la decisión final.</t>
  </si>
  <si>
    <t>Mera carga o archivo de documentación.</t>
  </si>
  <si>
    <t>Borradores o antecedentes.</t>
  </si>
  <si>
    <t>Informe técnico o propuesta ordinaria.</t>
  </si>
  <si>
    <t>Informe determinante, validación crítica o propuesta de alta trascendencia.</t>
  </si>
  <si>
    <t>Firmas; circuitos de aprobación; informes emitidos; propuestas elevadas; validaciones exigidas.</t>
  </si>
  <si>
    <t>¿Qué responsabilidad tiene el puesto en controlar, supervisar o verificar actuaciones propias, de terceros o de procesos?</t>
  </si>
  <si>
    <t>No se valora una comprobación rutinaria menor, sino control o verificación con efecto funcional relevante.</t>
  </si>
  <si>
    <t>No realiza control o verificación relevante.</t>
  </si>
  <si>
    <t>Realiza comprobaciones simples o repetitivas.</t>
  </si>
  <si>
    <t>Verifica actuaciones, expedientes o trabajos con autonomía ordinaria.</t>
  </si>
  <si>
    <t>Controla o supervisa actuaciones complejas, sensibles, de terceros o con consecuencias relevantes.</t>
  </si>
  <si>
    <t>Sin control específico.</t>
  </si>
  <si>
    <t>Check-list o revisión formal simple.</t>
  </si>
  <si>
    <t>Verificación de expediente, obra, prestación, cumplimiento o datos.</t>
  </si>
  <si>
    <t>Supervisión crítica, auditoría, inspección, control de calidad o verificación de terceros.</t>
  </si>
  <si>
    <t>Protocolos de control; informes de revisión; actas; validaciones; inspecciones.</t>
  </si>
  <si>
    <t>¿Qué nivel global de competencias profesionales requiere el puesto para su desempeño ordinario?</t>
  </si>
  <si>
    <t>Se valora la exigencia del puesto, no la competencia personal del ocupante.</t>
  </si>
  <si>
    <t>Competencias básicas de ejecución pautada.</t>
  </si>
  <si>
    <t>Competencias operativas para tareas definidas y resolución simple.</t>
  </si>
  <si>
    <t>Competencias técnicas o funcionales cualificadas para actuar con autonomía ordinaria.</t>
  </si>
  <si>
    <t>Competencias avanzadas o estratégicas para resolver, coordinar o dirigir actuaciones complejas.</t>
  </si>
  <si>
    <t>Ejecución de instrucciones.</t>
  </si>
  <si>
    <t>Gestión de tareas repetibles.</t>
  </si>
  <si>
    <t>Gestión técnica o administrativa autónoma.</t>
  </si>
  <si>
    <t>Dirección, coordinación estratégica, criterio experto o alta especialización.</t>
  </si>
  <si>
    <t>Competencias definidas; funciones; grado de autonomía; resultados esperados.</t>
  </si>
  <si>
    <t>¿Qué grado de autonomía exige el puesto para ejecutar sus funciones ordinarias?</t>
  </si>
  <si>
    <t>No se valora la autonomía personal del ocupante, sino la autonomía inherente al puesto.</t>
  </si>
  <si>
    <t>Ejecuta tareas pautadas con supervisión directa.</t>
  </si>
  <si>
    <t>Ejecuta tareas definidas con cierta autonomía operativa.</t>
  </si>
  <si>
    <t>Organiza y ejecuta su trabajo con autonomía ordinaria dentro de criterios establecidos.</t>
  </si>
  <si>
    <t>Actúa con amplia autonomía técnica o funcional en materias complejas o poco estandarizadas.</t>
  </si>
  <si>
    <t>Instrucciones directas.</t>
  </si>
  <si>
    <t>Tareas repetidas con margen menor.</t>
  </si>
  <si>
    <t>Gestión autónoma del expediente o proceso.</t>
  </si>
  <si>
    <t>Criterio experto y autonomía sobre alternativas complejas.</t>
  </si>
  <si>
    <t>Supervisión requerida; procedimientos; firma/revisión; dependencia jerárquica.</t>
  </si>
  <si>
    <t>¿Qué nivel de análisis, interpretación o aplicación de criterio exige el puesto?</t>
  </si>
  <si>
    <t>No se valora la mera recopilación de datos, sino la necesidad objetiva de interpretar y valorar.</t>
  </si>
  <si>
    <t>No requiere análisis relevante; aplica instrucciones cerradas.</t>
  </si>
  <si>
    <t>Requiere análisis básico de datos o situaciones simples.</t>
  </si>
  <si>
    <t>Requiere análisis ordinario de información, causas, alternativas o consecuencias.</t>
  </si>
  <si>
    <t>Requiere diagnóstico complejo, integración de información diversa o valoración de alternativas con impacto relevante.</t>
  </si>
  <si>
    <t>Tareas mecánicas.</t>
  </si>
  <si>
    <t>Comprobación básica de requisitos.</t>
  </si>
  <si>
    <t>Análisis de expediente, informe o problema habitual.</t>
  </si>
  <si>
    <t>Diagnóstico complejo, informe cualificado o decisión con varias alternativas.</t>
  </si>
  <si>
    <t>Informes; datos analizados; alternativas; criterios técnicos.</t>
  </si>
  <si>
    <t>¿Qué nivel de problemas, incidencias o situaciones no estandarizadas debe resolver el puesto?</t>
  </si>
  <si>
    <t>No se valoran incidencias excepcionales ajenas al puesto, sino las propias del desempeño ordinario.</t>
  </si>
  <si>
    <t>No resuelve incidencias relevantes.</t>
  </si>
  <si>
    <t>Resuelve incidencias simples o repetitivas.</t>
  </si>
  <si>
    <t>Resuelve incidencias ordinarias con análisis de alternativas.</t>
  </si>
  <si>
    <t>Resuelve incidencias complejas, no estandarizadas o con impacto relevante en el servicio.</t>
  </si>
  <si>
    <t>Sin incidencias.</t>
  </si>
  <si>
    <t>Dudas simples de tramitación.</t>
  </si>
  <si>
    <t>Incidencias frecuentes con varias opciones.</t>
  </si>
  <si>
    <t>Problemas complejos, urgentes o sensibles.</t>
  </si>
  <si>
    <t>Incidencias tipo; registros; reclamaciones; necesidad de escalado.</t>
  </si>
  <si>
    <t>¿El puesto exige planificar, programar, priorizar o evaluar actuaciones, recursos o resultados?</t>
  </si>
  <si>
    <t>No se valora la organización del propio trabajo salvo que exista planificación funcional relevante.</t>
  </si>
  <si>
    <t>No exige planificación o evaluación relevante.</t>
  </si>
  <si>
    <t>Exige priorizar tareas propias o programar actuaciones simples.</t>
  </si>
  <si>
    <t>Exige planificar, programar o evaluar actuaciones ordinarias de un proceso, proyecto o equipo.</t>
  </si>
  <si>
    <t>Exige planificación, programación o evaluación compleja, transversal o estratégica.</t>
  </si>
  <si>
    <t>Tareas diarias pautadas.</t>
  </si>
  <si>
    <t>Agenda o planificación simple.</t>
  </si>
  <si>
    <t>Programación de expedientes, campañas o recursos.</t>
  </si>
  <si>
    <t>Planificación estratégica, evaluación de resultados o programación transversal.</t>
  </si>
  <si>
    <t>Planes; calendarios; indicadores; memorias; programación de servicio.</t>
  </si>
  <si>
    <t>¿Qué competencias transversales críticas exige el puesto por comunicación, negociación, atención, gestión emocional o coordinación?</t>
  </si>
  <si>
    <t>No se valora cualquier habilidad social genérica, sino competencias transversales necesarias para el puesto.</t>
  </si>
  <si>
    <t>No exige competencias transversales críticas.</t>
  </si>
  <si>
    <t>Exige comunicación ordinaria o trato funcional simple.</t>
  </si>
  <si>
    <t>Exige comunicación, coordinación o gestión relacional habitual con cierta complejidad.</t>
  </si>
  <si>
    <t>Exige negociación, gestión de conflictos, representación funcional o comunicación crítica.</t>
  </si>
  <si>
    <t>Trabajo sin interacción relevante.</t>
  </si>
  <si>
    <t>Atención o coordinación sencilla.</t>
  </si>
  <si>
    <t>Relación habitual con usuarios, unidades o entidades.</t>
  </si>
  <si>
    <t>Negociación, mediación, comunicación institucional o conflictos sensibles.</t>
  </si>
  <si>
    <t>Interlocutores; reclamaciones; conflictos; órganos de coordinación; atención sensible.</t>
  </si>
  <si>
    <t>¿Existe coherencia entre funciones asignadas, competencias exigidas y conductas observables requeridas por el puesto?</t>
  </si>
  <si>
    <t>Este subfactor no premia desempeño personal; mide exigencia objetiva de conductas profesionales asociadas a las funciones.</t>
  </si>
  <si>
    <t>La función no exige conductas profesionales diferenciadas.</t>
  </si>
  <si>
    <t>Exige conductas básicas de ejecución, orden y cumplimiento.</t>
  </si>
  <si>
    <t>Exige conductas de autonomía, análisis, coordinación o mejora ordinaria.</t>
  </si>
  <si>
    <t>Exige conductas avanzadas de liderazgo, criterio experto, innovación, decisión o representación.</t>
  </si>
  <si>
    <t>Ejecución simple.</t>
  </si>
  <si>
    <t>Cumplimiento, atención y orden.</t>
  </si>
  <si>
    <t>Autonomía, análisis, coordinación, seguimiento.</t>
  </si>
  <si>
    <t>Liderazgo, criterio experto, negociación, innovación o visión estratégica.</t>
  </si>
  <si>
    <t>Mapa de competencias; evaluación de funciones; conductas clave; diccionario de competencias.</t>
  </si>
  <si>
    <t>¿El puesto tiene atribuido mando formal, jefatura o responsabilidad directa sobre personal?</t>
  </si>
  <si>
    <t>No se valora la mera ayuda entre compañeros ni la experiencia del ocupante, sino posición organizativa formal o funcional del puesto.</t>
  </si>
  <si>
    <t>No tiene mando ni responsabilidad sobre personal.</t>
  </si>
  <si>
    <t>Tiene coordinación funcional limitada u ocasional sin jefatura formal.</t>
  </si>
  <si>
    <t>Tiene coordinación funcional estable o supervisión ordinaria de personas/equipo.</t>
  </si>
  <si>
    <t>Tiene jefatura formal o mando directo sobre unidad, equipo o grupo de trabajo.</t>
  </si>
  <si>
    <t>Sin personal a cargo.</t>
  </si>
  <si>
    <t>Apoyo o referente informal.</t>
  </si>
  <si>
    <t>Coordinación estable de equipo.</t>
  </si>
  <si>
    <t>Jefatura formal de unidad, sección, servicio o equipo.</t>
  </si>
  <si>
    <t>RPT; organigrama; asignación de personal; instrucciones de jefatura.</t>
  </si>
  <si>
    <t>¿El puesto coordina de forma estable actuaciones, tareas o personas aunque no exista mando jerárquico pleno?</t>
  </si>
  <si>
    <t>Debe distinguirse colaboración en equipo de coordinación funcional real.</t>
  </si>
  <si>
    <t>No coordina actuaciones o personas de forma relevante.</t>
  </si>
  <si>
    <t>Coordina actividades puntuales o tareas simples.</t>
  </si>
  <si>
    <t>Coordina de forma habitual trabajos, turnos, campañas o procesos de entidad media.</t>
  </si>
  <si>
    <t>Coordina de forma estable equipos, dispositivos, procesos transversales o actuaciones críticas.</t>
  </si>
  <si>
    <t>Participación sin coordinación.</t>
  </si>
  <si>
    <t>Coordinación puntual.</t>
  </si>
  <si>
    <t>Coordinación habitual de tareas/procesos.</t>
  </si>
  <si>
    <t>Coordinación transversal o crítica.</t>
  </si>
  <si>
    <t>Órdenes de servicio; calendarios; turnos; campañas; equipos coordinados.</t>
  </si>
  <si>
    <t>¿Qué responsabilidad tiene el puesto en dirigir, planificar o repartir el trabajo de otras personas?</t>
  </si>
  <si>
    <t>No se valora la autoorganización del propio trabajo, sino la organización del trabajo ajeno.</t>
  </si>
  <si>
    <t>No organiza trabajo ajeno.</t>
  </si>
  <si>
    <t>Distribuye tareas simples u ocasionales.</t>
  </si>
  <si>
    <t>Planifica y controla tareas ordinarias de un equipo o grupo.</t>
  </si>
  <si>
    <t>Organiza, planifica y controla actividad compleja, cargas de trabajo, prioridades o resultados de una unidad/equipo relevante.</t>
  </si>
  <si>
    <t>Sin reparto de tareas.</t>
  </si>
  <si>
    <t>Reparto simple.</t>
  </si>
  <si>
    <t>Planificación ordinaria de equipo.</t>
  </si>
  <si>
    <t>Planificación compleja de unidad/servicio.</t>
  </si>
  <si>
    <t>Cuadrantes; planes de trabajo; cargas; asignación de expedientes; prioridades.</t>
  </si>
  <si>
    <t>¿El puesto revisa, valida, corrige o supervisa técnicamente el trabajo de otras personas?</t>
  </si>
  <si>
    <t>No se valora la colaboración informal, sino supervisión funcional o técnica exigida por el puesto.</t>
  </si>
  <si>
    <t>No supervisa trabajo ajeno.</t>
  </si>
  <si>
    <t>Revisa tareas simples o presta apoyo puntual.</t>
  </si>
  <si>
    <t>Supervisa técnicamente trabajos ordinarios o expedientes de otros puestos.</t>
  </si>
  <si>
    <t>Valida, corrige o fija criterios técnicos sobre trabajos complejos o relevantes de otras personas.</t>
  </si>
  <si>
    <t>Sin supervisión.</t>
  </si>
  <si>
    <t>Ayuda o revisión simple.</t>
  </si>
  <si>
    <t>Supervisión ordinaria de expedientes o tareas.</t>
  </si>
  <si>
    <t>Validación técnica compleja o fijación de criterios.</t>
  </si>
  <si>
    <t>Circuitos de revisión; validaciones; instrucciones técnicas; supervisión de trabajos.</t>
  </si>
  <si>
    <t>¿El puesto responde funcionalmente por el funcionamiento, continuidad o resultados de una unidad, equipo o grupo?</t>
  </si>
  <si>
    <t>No se valora el rendimiento individual, sino la responsabilidad sobre resultados colectivos.</t>
  </si>
  <si>
    <t>No responde por unidad o equipo.</t>
  </si>
  <si>
    <t>Tiene incidencia limitada en resultados de grupo.</t>
  </si>
  <si>
    <t>Responde ordinariamente por resultados, calidad o continuidad de un equipo.</t>
  </si>
  <si>
    <t>Responde de forma relevante por objetivos, planificación o funcionamiento global de una unidad, servicio o área funcional.</t>
  </si>
  <si>
    <t>Sin equipo.</t>
  </si>
  <si>
    <t>Referente puntual.</t>
  </si>
  <si>
    <t>Responsabilidad ordinaria de equipo.</t>
  </si>
  <si>
    <t>Responsabilidad global de unidad o servicio.</t>
  </si>
  <si>
    <t>Organigrama; objetivos; memorias; indicadores; continuidad de servicio.</t>
  </si>
  <si>
    <t>¿Qué posición ocupa el puesto en la cadena real de mando, coordinación o decisión funcional?</t>
  </si>
  <si>
    <t>Debe atenderse a la posición real del puesto, no solo a la denominación formal.</t>
  </si>
  <si>
    <t>No ocupa posición de mando o coordinación.</t>
  </si>
  <si>
    <t>Actúa como enlace o referente funcional limitado.</t>
  </si>
  <si>
    <t>Ocupa posición intermedia con dependencia superior y coordinación de personas/procesos.</t>
  </si>
  <si>
    <t>Ocupa posición superior de dirección, coordinación general o referencia técnica/funcional amplia.</t>
  </si>
  <si>
    <t>Puesto base.</t>
  </si>
  <si>
    <t>Referente de tareas.</t>
  </si>
  <si>
    <t>Jefatura intermedia.</t>
  </si>
  <si>
    <t>Dirección, servicio, área o coordinación superior.</t>
  </si>
  <si>
    <t>Organigrama; dependencia jerárquica; niveles de firma; relación con dirección.</t>
  </si>
  <si>
    <t>¿El puesto ejerce mando operativo en campo, turno, dispositivo, brigada o servicio directo?</t>
  </si>
  <si>
    <t>Solo se valora cuando el mando operativo forma parte estructural del puesto.</t>
  </si>
  <si>
    <t>No ejerce mando operativo.</t>
  </si>
  <si>
    <t>Ejerce mando operativo puntual o limitado.</t>
  </si>
  <si>
    <t>Ejerce mando operativo habitual sobre equipo, turno o dispositivo.</t>
  </si>
  <si>
    <t>Ejerce mando operativo crítico o amplio sobre servicios, dispositivos o equipos en situaciones complejas.</t>
  </si>
  <si>
    <t>Sin campo/turno.</t>
  </si>
  <si>
    <t>Coordinación puntual en campaña.</t>
  </si>
  <si>
    <t>Responsable habitual de brigada/turno.</t>
  </si>
  <si>
    <t>Mando operativo en emergencias, dispositivos amplios o servicios críticos.</t>
  </si>
  <si>
    <t>Cuadrantes; partes; órdenes de servicio; dispositivos; servicios en campo.</t>
  </si>
  <si>
    <t>¿Qué grado de variedad funcional estructural presenta el puesto?</t>
  </si>
  <si>
    <t>No se valora acumulación ocasional de tareas, sino variedad ordinaria del puesto tipo.</t>
  </si>
  <si>
    <t>Funciones homogéneas, simples o repetitivas.</t>
  </si>
  <si>
    <t>Varias tareas relacionadas dentro de una misma función.</t>
  </si>
  <si>
    <t>Funciones diversas dentro de un ámbito técnico o administrativo común.</t>
  </si>
  <si>
    <t>Funciones heterogéneas, transversales o de distinta naturaleza técnica/organizativa.</t>
  </si>
  <si>
    <t>Tarea única o repetitiva.</t>
  </si>
  <si>
    <t>Varias tareas de una misma rutina.</t>
  </si>
  <si>
    <t>Gestión de varias fases o materias relacionadas.</t>
  </si>
  <si>
    <t>Funciones técnicas, organizativas, económicas y/o jurídicas combinadas.</t>
  </si>
  <si>
    <t>Descripción de funciones; procesos; variedad de expedientes; materias tratadas.</t>
  </si>
  <si>
    <t>¿Qué complejidad presentan los procedimientos, plazos, fases, órganos o controles asociados al puesto?</t>
  </si>
  <si>
    <t>No se valora el volumen de trabajo, sino dificultad estructural del proceso.</t>
  </si>
  <si>
    <t>Procesos simples, pautados y repetitivos.</t>
  </si>
  <si>
    <t>Procesos ordinarios con fases definidas.</t>
  </si>
  <si>
    <t>Procesos con varias fases, intervinientes, requisitos, plazos o controles.</t>
  </si>
  <si>
    <t>Procesos complejos, no lineales, con múltiples condicionantes, interdependencias o escenarios.</t>
  </si>
  <si>
    <t>Trámite simple.</t>
  </si>
  <si>
    <t>Expediente ordinario pautado.</t>
  </si>
  <si>
    <t>Procedimiento con informes, plazos y controles.</t>
  </si>
  <si>
    <t>Contratación, urbanismo, subvenciones complejas, proyectos transversales o procesos multiorgánicos.</t>
  </si>
  <si>
    <t>Procedimientos; fases; órganos; plazos; controles; flujogramas.</t>
  </si>
  <si>
    <t>¿Qué grado de interacción funcional tiene el puesto con otras materias, unidades, servicios o procesos?</t>
  </si>
  <si>
    <t>No se valora comunicación ocasional, sino dependencia funcional real entre procesos.</t>
  </si>
  <si>
    <t>Funciones autónomas sin interdependencias relevantes.</t>
  </si>
  <si>
    <t>Coordinación simple con puestos de la misma unidad.</t>
  </si>
  <si>
    <t>Coordinación habitual con otras unidades o servicios relacionados.</t>
  </si>
  <si>
    <t>Alta interdependencia transversal con varias áreas, servicios, administraciones o agentes externos.</t>
  </si>
  <si>
    <t>Trabajo interno aislado.</t>
  </si>
  <si>
    <t>Consulta a compañeros.</t>
  </si>
  <si>
    <t>Trabajo con otra área o servicio.</t>
  </si>
  <si>
    <t>Proceso corporativo o transversal.</t>
  </si>
  <si>
    <t>Unidades afectadas; circuitos; dependencias; comisiones o mesas de trabajo.</t>
  </si>
  <si>
    <t>¿Qué diversidad de procesos, expedientes, materias o casuística debe gestionar el puesto?</t>
  </si>
  <si>
    <t>No se valora cantidad de expedientes, sino heterogeneidad y variedad de casos.</t>
  </si>
  <si>
    <t>Materia o proceso único y homogéneo.</t>
  </si>
  <si>
    <t>Varias casuísticas simples dentro de una misma materia.</t>
  </si>
  <si>
    <t>Diversidad de procesos o materias relacionadas.</t>
  </si>
  <si>
    <t>Alta heterogeneidad de materias, destinatarios, procesos o situaciones.</t>
  </si>
  <si>
    <t>Expediente único.</t>
  </si>
  <si>
    <t>Casuística repetida con variantes menores.</t>
  </si>
  <si>
    <t>Varias líneas de tramitación.</t>
  </si>
  <si>
    <t>Cartera diversa y cambiante de asuntos.</t>
  </si>
  <si>
    <t>Tipos de expedientes; materias; destinatarios; variabilidad de casos.</t>
  </si>
  <si>
    <t>¿Cuál es la dificultad intrínseca de los procesos o materias gestionadas por el puesto?</t>
  </si>
  <si>
    <t>No se valora que la tarea sea importante, sino la dificultad técnica objetiva para resolverla.</t>
  </si>
  <si>
    <t>Dificultad baja; procesos mecánicos o sencillos.</t>
  </si>
  <si>
    <t>Dificultad moderada; requiere comprensión de reglas o procedimientos.</t>
  </si>
  <si>
    <t>Dificultad alta; requiere análisis técnico/jurídico/económico/social cualificado.</t>
  </si>
  <si>
    <t>Dificultad muy alta; requiere resolver problemas complejos, integrar criterios o asumir alta especialización.</t>
  </si>
  <si>
    <t>Tarea mecánica.</t>
  </si>
  <si>
    <t>Trámite con reglas conocidas.</t>
  </si>
  <si>
    <t>Informe o gestión técnica compleja.</t>
  </si>
  <si>
    <t>Caso complejo, conflicto de criterios, alta repercusión o necesidad de experto.</t>
  </si>
  <si>
    <t>Informes; normativa; cuantías; conflictos; evaluación social/técnica; recursos.</t>
  </si>
  <si>
    <t>¿Las funciones exigen adaptación, juicio profesional o configuración de respuestas no rutinarias?</t>
  </si>
  <si>
    <t>No se valora la iniciativa voluntaria, sino la exigencia objetiva de criterio del puesto.</t>
  </si>
  <si>
    <t>Trabajo altamente pautado y rutinario.</t>
  </si>
  <si>
    <t>Trabajo mayoritariamente pautado con pequeñas variaciones.</t>
  </si>
  <si>
    <t>Trabajo con procedimientos definidos pero frecuentes adaptaciones.</t>
  </si>
  <si>
    <t>Trabajo con alta variabilidad, baja estandarización o necesidad de configurar respuestas específicas.</t>
  </si>
  <si>
    <t>Check-list fijo.</t>
  </si>
  <si>
    <t>Variaciones menores.</t>
  </si>
  <si>
    <t>Adaptaciones ordinarias en expedientes.</t>
  </si>
  <si>
    <t>Respuesta específica ante casos no estandarizados.</t>
  </si>
  <si>
    <t>Protocolos; excepciones; incidencias; necesidad de criterio.</t>
  </si>
  <si>
    <t>¿Existe desajuste estructural entre funciones reales del puesto y descripción formal que añada complejidad al análisis o revisión?</t>
  </si>
  <si>
    <t>Este factor debe usarse con prudencia; no premia irregularidades, identifica necesidad de revisión objetiva.</t>
  </si>
  <si>
    <t>No se aprecia desajuste relevante.</t>
  </si>
  <si>
    <t>Existe desajuste menor o fácilmente corregible.</t>
  </si>
  <si>
    <t>Existe desajuste relevante que afecta a funciones, responsabilidades o encuadramiento.</t>
  </si>
  <si>
    <t>Existe desajuste estructural intenso que exige revisión integral del puesto o familia de puestos.</t>
  </si>
  <si>
    <t>Ficha actualizada.</t>
  </si>
  <si>
    <t>Pequeño cambio funcional.</t>
  </si>
  <si>
    <t>Funciones reales superiores o distintas a la ficha.</t>
  </si>
  <si>
    <t>Puesto desbordado, mezcla funcional o cambio estructural no reflejado.</t>
  </si>
  <si>
    <t>Comparación RPT-funciones reales; entrevistas; organigrama; informes de unidad.</t>
  </si>
  <si>
    <t>¿Qué extensión territorial o dispersión espacial tiene el ámbito ordinario de actuación del puesto?</t>
  </si>
  <si>
    <t>Solo debe valorarse si el territorio incide realmente en la dificultad del puesto, no por mera existencia del término municipal.</t>
  </si>
  <si>
    <t>Actuación concentrada en único centro, sede o ámbito homogéneo.</t>
  </si>
  <si>
    <t>Actuación en varios espacios próximos o fácilmente coordinables.</t>
  </si>
  <si>
    <t>Actuación en distintos centros, zonas o ámbitos municipales con cierta dispersión.</t>
  </si>
  <si>
    <t>Actuación territorialmente amplia, dispersa o con condicionantes relevantes de desplazamiento, coordinación o cobertura.</t>
  </si>
  <si>
    <t>Oficina única.</t>
  </si>
  <si>
    <t>Centros próximos.</t>
  </si>
  <si>
    <t>Varios barrios, sedes o instalaciones.</t>
  </si>
  <si>
    <t>Cobertura municipal amplia, campo o dispositivos territoriales complejos.</t>
  </si>
  <si>
    <t>Centros; desplazamientos; ámbito territorial; partes de servicio.</t>
  </si>
  <si>
    <t>¿El puesto actúa sobre una única unidad/centro o sobre varios centros, instalaciones, equipos o servicios?</t>
  </si>
  <si>
    <t>No se valora el tamaño del Ayuntamiento en abstracto, sino el ámbito organizativo efectivo del puesto.</t>
  </si>
  <si>
    <t>Actúa sobre una unidad, centro o servicio homogéneo.</t>
  </si>
  <si>
    <t>Actúa sobre varias personas o tareas dentro de la misma unidad.</t>
  </si>
  <si>
    <t>Actúa sobre varias unidades, centros, instalaciones o servicios relacionados.</t>
  </si>
  <si>
    <t>Actúa transversalmente sobre múltiples unidades, centros, instalaciones, servicios o áreas municipales.</t>
  </si>
  <si>
    <t>Unidad única.</t>
  </si>
  <si>
    <t>Varias tareas internas.</t>
  </si>
  <si>
    <t>Varios centros o instalaciones.</t>
  </si>
  <si>
    <t>Red amplia de centros, servicios o unidades.</t>
  </si>
  <si>
    <t>Centros afectados; equipos; inventario de instalaciones; organigrama.</t>
  </si>
  <si>
    <t>¿Qué diversidad presentan los usuarios, destinatarios, colectivos o agentes afectados por el puesto?</t>
  </si>
  <si>
    <t>No se valora el volumen de usuarios, sino la diversidad y complejidad de sus necesidades.</t>
  </si>
  <si>
    <t>Destinatarios homogéneos o sin relación relevante.</t>
  </si>
  <si>
    <t>Destinatarios poco diversos y demandas ordinarias.</t>
  </si>
  <si>
    <t>Diversidad habitual de destinatarios, perfiles o necesidades.</t>
  </si>
  <si>
    <t>Alta heterogeneidad de colectivos, situaciones sensibles o destinatarios con necesidades complejas.</t>
  </si>
  <si>
    <t>Sin usuarios o destinatario interno único.</t>
  </si>
  <si>
    <t>Usuarios de un trámite simple.</t>
  </si>
  <si>
    <t>Ciudadanía, empresas, unidades o colectivos variados.</t>
  </si>
  <si>
    <t>Colectivos vulnerables, conflictos, múltiples agentes o alta diversidad.</t>
  </si>
  <si>
    <t>Tipos de usuarios; reclamaciones; colectivos; canales de atención; agentes afectados.</t>
  </si>
  <si>
    <t>¿Qué nivel de coordinación interdepartamental o interadministrativa exige el puesto?</t>
  </si>
  <si>
    <t>No se valora la comunicación ocasional, sino la coordinación necesaria para el cumplimiento ordinario de funciones.</t>
  </si>
  <si>
    <t>No exige coordinación interdepartamental o interadministrativa relevante.</t>
  </si>
  <si>
    <t>Exige contactos puntuales con otras unidades.</t>
  </si>
  <si>
    <t>Exige coordinación habitual con una o varias áreas relacionadas.</t>
  </si>
  <si>
    <t>Exige coordinación transversal, permanente o estratégica con múltiples áreas, administraciones o entidades.</t>
  </si>
  <si>
    <t>Sin coordinación externa/interna relevante.</t>
  </si>
  <si>
    <t>Consulta puntual.</t>
  </si>
  <si>
    <t>Coordinación habitual entre servicios.</t>
  </si>
  <si>
    <t>Mesa transversal, convenio, proyecto interadministrativo o coordinación estratégica.</t>
  </si>
  <si>
    <t>Actas; comisiones; convenios; unidades implicadas; proyectos transversales.</t>
  </si>
  <si>
    <t>¿El puesto presta, gestiona o coordina servicios descentralizados, en campo, turnos, brigadas o dispositivos fuera de sede única?</t>
  </si>
  <si>
    <t>Solo se valora si la descentralización o campo es estructural, no por desplazamientos ocasionales.</t>
  </si>
  <si>
    <t>No presta ni gestiona servicios descentralizados o en campo.</t>
  </si>
  <si>
    <t>Intervención ocasional o limitada en campo/centros.</t>
  </si>
  <si>
    <t>Prestación o gestión habitual en campo, centros o servicios descentralizados.</t>
  </si>
  <si>
    <t>Gestión o coordinación compleja de servicios descentralizados, campo, turnos, brigadas o dispositivos.</t>
  </si>
  <si>
    <t>Oficina central.</t>
  </si>
  <si>
    <t>Visita puntual.</t>
  </si>
  <si>
    <t>Servicio habitual en instalaciones, vía pública o centros.</t>
  </si>
  <si>
    <t>Dispositivo amplio, brigadas, emergencias o servicios descentralizados complejos.</t>
  </si>
  <si>
    <t>Cuadrantes; partes de campo; centros; equipos; dispositivos; órdenes de servicio.</t>
  </si>
  <si>
    <t>¿El puesto se desempeña en un entorno organizativo simple o con múltiples condicionantes, dependencias o tensiones operativas?</t>
  </si>
  <si>
    <t>No se valora clima laboral ni dificultades coyunturales, sino complejidad estructural del entorno organizativo.</t>
  </si>
  <si>
    <t>Entorno organizativo simple, estable y homogéneo.</t>
  </si>
  <si>
    <t>Entorno con algunas dependencias o condicionantes ordinarios.</t>
  </si>
  <si>
    <t>Entorno con múltiples dependencias, prioridades o condicionantes organizativos.</t>
  </si>
  <si>
    <t>Entorno altamente complejo, transversal, cambiante o con fuertes exigencias de coordinación, priorización y adaptación.</t>
  </si>
  <si>
    <t>Unidad estable.</t>
  </si>
  <si>
    <t>Dependencias ordinarias.</t>
  </si>
  <si>
    <t>Varias prioridades o dependencias.</t>
  </si>
  <si>
    <t>Entorno transversal, cambiante o de alta presión organizativa.</t>
  </si>
  <si>
    <t>Organigrama; prioridades; dependencias; proyectos; cambios; incidencias recurrentes.</t>
  </si>
  <si>
    <t>responsabilidad_profesional</t>
  </si>
  <si>
    <t>competencia_especializacion</t>
  </si>
  <si>
    <t>complejidad_funcional</t>
  </si>
  <si>
    <t>complejidad_territorial</t>
  </si>
  <si>
    <t>rango_cd_orientativo</t>
  </si>
  <si>
    <t>criterio_de_uso</t>
  </si>
  <si>
    <t>Puestos base orientados a ejecución directa de instrucciones y tareas operativas.</t>
  </si>
  <si>
    <t>Sin mando o coordinación informal muy limitada.</t>
  </si>
  <si>
    <t>Responsabilidad básica sobre el propio trabajo, normalmente supervisada.</t>
  </si>
  <si>
    <t>Competencias básicas o de oficio; especialización baja o de usuario.</t>
  </si>
  <si>
    <t>Tareas mecánicas o poco complejas, con baja necesidad de análisis.</t>
  </si>
  <si>
    <t>Normalmente baja; solo se valora si existe prestación territorial/campo real.</t>
  </si>
  <si>
    <t>14-21</t>
  </si>
  <si>
    <t>Usar para patrones operativos o auxiliares sin autonomía técnica cualificada ni mando estructural.</t>
  </si>
  <si>
    <t>Puestos base técnicos o administrativos con aplicación de conocimientos específicos.</t>
  </si>
  <si>
    <t>Sin mando formal; puede existir colaboración, asesoramiento o coordinación puntual.</t>
  </si>
  <si>
    <t>Responsabilidad parcial o cualificada sobre expedientes/tareas con supervisión parcial.</t>
  </si>
  <si>
    <t>Especialización técnica media/alta según materia, normativa o herramienta.</t>
  </si>
  <si>
    <t>Complejidad media; puede exigir resolución de problemas y análisis en su ámbito.</t>
  </si>
  <si>
    <t>Baja/media; depende de transversalidad, usuarios o campo.</t>
  </si>
  <si>
    <t>24-25</t>
  </si>
  <si>
    <t>Usar para técnicos sin jefatura formal y gestores con autonomía funcional ordinaria.</t>
  </si>
  <si>
    <t>Puestos con supervisión, coordinación estable o gestión de equipos/procesos.</t>
  </si>
  <si>
    <t>Mando o coordinación intermedia; supervisan y gestionan equipos/procesos.</t>
  </si>
  <si>
    <t>Responsabilidad media/alta por implementación, cumplimiento y resultados del área o proceso.</t>
  </si>
  <si>
    <t>Competencia técnica media/alta, combinada con gestión.</t>
  </si>
  <si>
    <t>Complejidad alta; gestionan procesos complejos, recursos o problemas relevantes.</t>
  </si>
  <si>
    <t>Media; aumenta si hay coordinación transversal o centros/servicios diversos.</t>
  </si>
  <si>
    <t>21-26</t>
  </si>
  <si>
    <t>Usar para jefaturas de operación, jefaturas de gestión, secciones y perfiles equivalentes.</t>
  </si>
  <si>
    <t>Puestos de dirección, coordinación superior, liderazgo o decisión estratégica.</t>
  </si>
  <si>
    <t>Mando superior o coordinación estratégica sobre organización, servicio o área.</t>
  </si>
  <si>
    <t>Máximo nivel de responsabilidad; efectos sobre terceros, organización y dirección.</t>
  </si>
  <si>
    <t>Especialización media/alta; enfoque estratégico o experto.</t>
  </si>
  <si>
    <t>Complejidad elevada, asociada a resolución continua de problemas complejos y decisiones transversales.</t>
  </si>
  <si>
    <t>Media/alta; normalmente existe impacto organizativo transversal.</t>
  </si>
  <si>
    <t>26-30</t>
  </si>
  <si>
    <t>Usar para jefaturas de servicio, coordinaciones de área, habilitación nacional y puestos directivos/equivalentes.</t>
  </si>
  <si>
    <t>nombre_patron_revisado</t>
  </si>
  <si>
    <t>ambito_funcional_fuente</t>
  </si>
  <si>
    <t>perfil_competencial_fuente</t>
  </si>
  <si>
    <t>grupo_original</t>
  </si>
  <si>
    <t>grupo_alternativo</t>
  </si>
  <si>
    <t>patron_base</t>
  </si>
  <si>
    <t>nombre_patron_base</t>
  </si>
  <si>
    <t>cd_patron_base</t>
  </si>
  <si>
    <t>confianza_prevaloracion</t>
  </si>
  <si>
    <t>criterio_asignacion</t>
  </si>
  <si>
    <t>revision_manual</t>
  </si>
  <si>
    <t>PUESTOS DE DIRECCIÓN Y COORDINACIÓN</t>
  </si>
  <si>
    <t>JEFE/A DE SERVICIO</t>
  </si>
  <si>
    <t>MEDIA</t>
  </si>
  <si>
    <t>Asignación directa: habilitación nacional/función directiva superior.</t>
  </si>
  <si>
    <t>Asignación por máxima jefatura policial y CD 30.</t>
  </si>
  <si>
    <t>Asignación directa: coordinación superior de área.</t>
  </si>
  <si>
    <t>Asignación directa: jefatura de servicio o dirección técnica superior.</t>
  </si>
  <si>
    <t>JEFE/A DE SECCIÓN/SECCIÓN TÉCNICA</t>
  </si>
  <si>
    <t>Asignación directa: jefatura de sección/sección técnica de nivel alto.</t>
  </si>
  <si>
    <t>Asignación por jefatura/sección o puesto directivo con CD 26.</t>
  </si>
  <si>
    <t>PUESTOS EJECUTIVOS Y TÉCNICOS</t>
  </si>
  <si>
    <t>TÉC. SUPERIOR DE ADMINISTRACIÓN</t>
  </si>
  <si>
    <t>Asignación por perfil técnico superior A1.</t>
  </si>
  <si>
    <t>TÉC. MEDIO DE ADMINISTRACIÓN</t>
  </si>
  <si>
    <t>Asignación por perfil técnico medio A2.</t>
  </si>
  <si>
    <t>MANDOS INTERMMEDIOS Y DE GESTIÓN</t>
  </si>
  <si>
    <t>Asignación por jefatura de gestión/coordinación intermedia superior.</t>
  </si>
  <si>
    <t>Asignación por jefatura/coordinación operativa.</t>
  </si>
  <si>
    <t>PUESTOS DE OPERACIÓN</t>
  </si>
  <si>
    <t>GESTOR TÉCNICO/ADMINISTRATIVO</t>
  </si>
  <si>
    <t>Asignación por perfil gestor técnico-administrativo C1.</t>
  </si>
  <si>
    <t>Asignación por perfil gestor técnico-administrativo con mayor CD.</t>
  </si>
  <si>
    <t>AUXILIAR GESTIÓN ADMINISTRATIVA (a extinguir)</t>
  </si>
  <si>
    <t>Asignación por auxiliar de gestión administrativa a extinguir.</t>
  </si>
  <si>
    <t>OFICIAL/A SERVICIOS</t>
  </si>
  <si>
    <t>Asignación por oficial/operación cualificada C2.</t>
  </si>
  <si>
    <t>Asignación por operación básica OAP/CD 14.</t>
  </si>
  <si>
    <t>OPERARIO/A SERVICIOS</t>
  </si>
  <si>
    <t>Asignación por puesto operativo básico OAP/CD 14.</t>
  </si>
  <si>
    <t>ambito_funcional</t>
  </si>
  <si>
    <t>perfil_competencial</t>
  </si>
  <si>
    <t>puesto_actual</t>
  </si>
  <si>
    <t>GR</t>
  </si>
  <si>
    <t>GR2</t>
  </si>
  <si>
    <t>CD</t>
  </si>
  <si>
    <t>grupo_subgrupo_normalizado</t>
  </si>
  <si>
    <t>Resumen de vectorización preliminar de puestos tipo RPT</t>
  </si>
  <si>
    <t>Fuente</t>
  </si>
  <si>
    <t>Puestos RPT_app.xlsx</t>
  </si>
  <si>
    <t>Fecha / versión</t>
  </si>
  <si>
    <t>HET-CD v1.7 preliminar</t>
  </si>
  <si>
    <t>Puestos incorporados</t>
  </si>
  <si>
    <t>Criterio general</t>
  </si>
  <si>
    <t>Se ha actualizado puestos_vector con la última hoja Puestos tipo_RPT. La asignación mantiene carácter preliminar y debe revisarse manualmente antes de informe definitivo.</t>
  </si>
  <si>
    <t>Distribución por patrón base</t>
  </si>
  <si>
    <t>Distribución por grupo funcional</t>
  </si>
  <si>
    <t>Patrón</t>
  </si>
  <si>
    <t>Nombre patrón</t>
  </si>
  <si>
    <t>Nº puestos</t>
  </si>
  <si>
    <t>Actualización HET-CD v1.5</t>
  </si>
  <si>
    <t>Objeto</t>
  </si>
  <si>
    <t>Incorporar los puestos tipo de la RPT como universo de evaluación y comparables internos.</t>
  </si>
  <si>
    <t>Hojas creadas/actualizadas</t>
  </si>
  <si>
    <t>puestos_vector; puestos_vector_preliminar; puestos_rpt_fuente; resumen_vectorizacion_rpt; 00_actualizacion_v1_5</t>
  </si>
  <si>
    <t>Naturaleza de la vectorización</t>
  </si>
  <si>
    <t>Preliminar. Los puestos se han asociado a un patrón base para poder iniciar evaluación masiva y cálculo de arrastre.</t>
  </si>
  <si>
    <t>No debe usarse como resultado definitivo sin revisión manual de F1-F49 y CD1_1-CD6_6 conforme a criterios_vectorizacion_cd.</t>
  </si>
  <si>
    <t>Uso recomendado</t>
  </si>
  <si>
    <t>1) Revisar puestos_vector_preliminar. 2) Ajustar factores singulares. 3) Usar puestos_vector definitivo en app. 4) Ejecutar análisis masivo e informes.</t>
  </si>
  <si>
    <t>año</t>
  </si>
  <si>
    <t>nivel_cd</t>
  </si>
  <si>
    <t>cd_mensual</t>
  </si>
  <si>
    <t>cd_anual</t>
  </si>
  <si>
    <t>fuente</t>
  </si>
  <si>
    <t>Tabla oficial de retribuciones del personal funcionario 2026 aportada por RRHH (RDL 14/2025)</t>
  </si>
  <si>
    <t>Complemento de destino: importes anuales con 14 percepciones.</t>
  </si>
  <si>
    <t>cd_origen</t>
  </si>
  <si>
    <t>cd_destino</t>
  </si>
  <si>
    <t>importe_origen_anual</t>
  </si>
  <si>
    <t>importe_destino_anual</t>
  </si>
  <si>
    <t>diferencial_anual</t>
  </si>
  <si>
    <t>Versión</t>
  </si>
  <si>
    <t>v1.6</t>
  </si>
  <si>
    <t>Fecha</t>
  </si>
  <si>
    <t>2026-05-06</t>
  </si>
  <si>
    <t>Añade tabla de importes oficiales de complemento de destino 2026 y cálculo de impacto económico por puesto tipo.</t>
  </si>
  <si>
    <t>Hojas añadidas/actualizadas</t>
  </si>
  <si>
    <t>importes_cd_2026; diferenciales_cd_2026; impacto_economico.</t>
  </si>
  <si>
    <t>Criterio</t>
  </si>
  <si>
    <t>El coste se calcula exclusivamente sobre complemento de destino anual: importe CD final - importe CD vigente, multiplicado por dotaciones y meses de efecto.</t>
  </si>
  <si>
    <t>Tabla de retribuciones del personal funcionario 2026 aportada por RRHH; referencia visible: Real Decreto-ley 14/2025.</t>
  </si>
  <si>
    <t>La hoja impacto_economico requiere completar el CD final ajustado y, en su caso, el número real de dotaciones afectadas.</t>
  </si>
  <si>
    <t>Actualización</t>
  </si>
  <si>
    <t>HET-CD v1.7</t>
  </si>
  <si>
    <t>Actualización de puestos_vector con la última versión de Puestos RPT_app.xlsx.</t>
  </si>
  <si>
    <t>Hoja Puestos tipo_RPT del archivo Puestos RPT_app.xlsx</t>
  </si>
  <si>
    <t>Alcance</t>
  </si>
  <si>
    <t>Se han actualizado puestos_vector, puestos_vector_preliminar, puestos_rpt_fuente, resumen_vectorizacion_rpt e impacto_economico.</t>
  </si>
  <si>
    <t>Asignación preliminar de patrón base por ámbito funcional, perfil competencial, grupo/subgrupo y CD vigente.</t>
  </si>
  <si>
    <t>Todos los puestos continúan marcados como revisión manual = SÍ; la vectorización es base de trabajo para análisis masivo y arrastre, no valoración definitiva.</t>
  </si>
  <si>
    <t>Campo</t>
  </si>
  <si>
    <t>Detalle</t>
  </si>
  <si>
    <t>v1.8</t>
  </si>
  <si>
    <t>Control de patrones activos para cálculo HET-CD</t>
  </si>
  <si>
    <t>Cambio principal</t>
  </si>
  <si>
    <t>Añadidas columnas activo_calculo, tipo_patron, alerta_vector_patron y criterio_estado_patron en patrones_vector.</t>
  </si>
  <si>
    <t>Regla aplicada</t>
  </si>
  <si>
    <t>Los patrones con factores CD informados pero sin vector funcional F1-F49 se conservan, pero quedan desactivados para el cálculo.</t>
  </si>
  <si>
    <t>Patrones desactivados</t>
  </si>
  <si>
    <t>P02_15 CD15 OFICIAL/A DE SERVICIOS; P03_16 CD16 OFICIAL/A DE SERVICIOS; P05_18 CD18 AUXILIAR DE GESTIÓN ADMINISTRATIVA; P06_19 CD19 GESTOR/A TÉCNICO-ADMINISTRATIVO/A; P11_23 CD23 JEFATURA DE GESTIÓN</t>
  </si>
  <si>
    <t>Patrones activos</t>
  </si>
  <si>
    <t>14</t>
  </si>
  <si>
    <t>5</t>
  </si>
  <si>
    <t>Cautela metodológica</t>
  </si>
  <si>
    <t>Los puestos patrón activos se consideran la referencia de comparación. Los patrones no validados no deben intervenir en K1 ni en recomendaciones de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</si>
</sst>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numFmts>
  <fonts count="21" x14ac:knownFonts="1">
    <font>
      <sz val="11"/>
      <color theme="1"/>
      <name val="Aptos Narrow"/>
    </font>
    <font>
      <i/>
      <sz val="7"/>
      <color rgb="FF44546A"/>
      <name val="Calibri"/>
    </font>
    <font>
      <b/>
      <i/>
      <sz val="7"/>
      <color rgb="FF44546A"/>
      <name val="Calibri"/>
    </font>
    <font>
      <b/>
      <i/>
      <sz val="7"/>
      <color rgb="FF000000"/>
      <name val="Calibri"/>
    </font>
    <font>
      <b/>
      <sz val="7"/>
      <color rgb="FF000000"/>
      <name val="Calibri"/>
    </font>
    <font>
      <sz val="7"/>
      <color rgb="FF000000"/>
      <name val="Calibri"/>
    </font>
    <font>
      <sz val="6"/>
      <color rgb="FF44546A"/>
      <name val="Calibri"/>
    </font>
    <font>
      <b/>
      <sz val="6"/>
      <color rgb="FF44546A"/>
      <name val="Calibri"/>
    </font>
    <font>
      <sz val="8"/>
      <color rgb="FF44546A"/>
      <name val="Calibri"/>
    </font>
    <font>
      <b/>
      <sz val="14"/>
      <color rgb="FFFFFFFF"/>
      <name val="Aptos Narrow"/>
    </font>
    <font>
      <b/>
      <sz val="11"/>
      <color rgb="FFFFFFFF"/>
      <name val="Aptos Narrow"/>
    </font>
    <font>
      <b/>
      <sz val="11"/>
      <color theme="1"/>
      <name val="Aptos Narrow"/>
    </font>
    <font>
      <sz val="11"/>
      <color rgb="FFD8EFFF"/>
      <name val="Aptos Narrow"/>
    </font>
    <font>
      <sz val="10"/>
      <color rgb="FF0B101D"/>
      <name val="Aptos Narrow"/>
    </font>
    <font>
      <sz val="16"/>
      <color rgb="FFD8EFFF"/>
      <name val="Aptos Narrow"/>
    </font>
    <font>
      <sz val="10"/>
      <color rgb="FF0B101D"/>
      <name val="Aptos Narrow"/>
    </font>
    <font>
      <b/>
      <sz val="11"/>
      <color rgb="FFD8EFFF"/>
      <name val="Aptos Narrow"/>
    </font>
    <font>
      <sz val="11"/>
      <color rgb="FF0B101D"/>
      <name val="Aptos Narrow"/>
    </font>
    <font>
      <b/>
      <sz val="14"/>
      <color rgb="FFD8EFFF"/>
      <name val="Aptos Narrow"/>
    </font>
    <font>
      <sz val="11"/>
      <color rgb="FFD7F3FF"/>
      <name val="Aptos Narrow"/>
    </font>
    <font>
      <sz val="16"/>
      <color rgb="FFD7F3FF"/>
      <name val="Aptos Narrow"/>
    </font>
  </fonts>
  <fills count="19">
    <fill>
      <patternFill patternType="none"/>
    </fill>
    <fill>
      <patternFill patternType="gray125"/>
    </fill>
    <fill>
      <patternFill patternType="solid">
        <fgColor rgb="FFD9D9D9"/>
      </patternFill>
    </fill>
    <fill>
      <patternFill patternType="solid">
        <fgColor theme="0" tint="-0.14999847407452621"/>
        <bgColor indexed="65"/>
      </patternFill>
    </fill>
    <fill>
      <patternFill patternType="solid">
        <fgColor rgb="FFBFBFBF"/>
      </patternFill>
    </fill>
    <fill>
      <patternFill patternType="solid">
        <fgColor rgb="FFF2F2F2"/>
      </patternFill>
    </fill>
    <fill>
      <patternFill patternType="solid">
        <fgColor rgb="FFFFFFFF"/>
      </patternFill>
    </fill>
    <fill>
      <patternFill patternType="solid">
        <fgColor rgb="FF0B1029"/>
      </patternFill>
    </fill>
    <fill>
      <patternFill patternType="solid">
        <fgColor rgb="FF006089"/>
      </patternFill>
    </fill>
    <fill>
      <patternFill patternType="solid">
        <fgColor rgb="FF006089"/>
      </patternFill>
    </fill>
    <fill>
      <patternFill patternType="solid">
        <fgColor rgb="FF0B3A53"/>
      </patternFill>
    </fill>
    <fill>
      <patternFill patternType="solid">
        <fgColor rgb="FF006089"/>
      </patternFill>
    </fill>
    <fill>
      <patternFill patternType="solid">
        <fgColor rgb="FF0B101D"/>
      </patternFill>
    </fill>
    <fill>
      <patternFill patternType="solid">
        <fgColor rgb="FFEAF2F8"/>
      </patternFill>
    </fill>
    <fill>
      <patternFill patternType="solid">
        <fgColor rgb="FF0B101D"/>
      </patternFill>
    </fill>
    <fill>
      <patternFill patternType="solid">
        <fgColor rgb="FFEAF4F9"/>
      </patternFill>
    </fill>
    <fill>
      <patternFill patternType="solid">
        <fgColor rgb="FF006089"/>
      </patternFill>
    </fill>
    <fill>
      <patternFill patternType="solid">
        <fgColor rgb="FF0F3A5B"/>
      </patternFill>
    </fill>
    <fill>
      <patternFill patternType="solid">
        <fgColor rgb="FF0B101D"/>
      </patternFill>
    </fill>
  </fills>
  <borders count="14">
    <border>
      <left/>
      <right/>
      <top/>
      <bottom/>
      <diagonal/>
    </border>
    <border>
      <left/>
      <right/>
      <top/>
      <bottom style="medium">
        <color rgb="FF7F7F7F"/>
      </bottom>
      <diagonal/>
    </border>
    <border>
      <left/>
      <right/>
      <top/>
      <bottom style="medium">
        <color rgb="FF44546A"/>
      </bottom>
      <diagonal/>
    </border>
    <border>
      <left/>
      <right style="medium">
        <color rgb="FF44546A"/>
      </right>
      <top/>
      <bottom style="medium">
        <color rgb="FF44546A"/>
      </bottom>
      <diagonal/>
    </border>
    <border>
      <left style="medium">
        <color rgb="FF44546A"/>
      </left>
      <right/>
      <top style="medium">
        <color rgb="FF44546A"/>
      </top>
      <bottom style="medium">
        <color rgb="FF44546A"/>
      </bottom>
      <diagonal/>
    </border>
    <border>
      <left style="medium">
        <color rgb="FF44546A"/>
      </left>
      <right/>
      <top/>
      <bottom/>
      <diagonal/>
    </border>
    <border>
      <left style="medium">
        <color rgb="FF44546A"/>
      </left>
      <right style="medium">
        <color rgb="FF44546A"/>
      </right>
      <top/>
      <bottom/>
      <diagonal/>
    </border>
    <border>
      <left/>
      <right style="medium">
        <color rgb="FF44546A"/>
      </right>
      <top/>
      <bottom/>
      <diagonal/>
    </border>
    <border>
      <left style="medium">
        <color rgb="FF44546A"/>
      </left>
      <right style="medium">
        <color rgb="FF44546A"/>
      </right>
      <top/>
      <bottom style="medium">
        <color rgb="FF44546A"/>
      </bottom>
      <diagonal/>
    </border>
    <border>
      <left style="medium">
        <color rgb="FF44546A"/>
      </left>
      <right style="medium">
        <color rgb="FF44546A"/>
      </right>
      <top style="medium">
        <color rgb="FF44546A"/>
      </top>
      <bottom style="medium">
        <color rgb="FF44546A"/>
      </bottom>
      <diagonal/>
    </border>
    <border>
      <left style="medium">
        <color rgb="FF44546A"/>
      </left>
      <right/>
      <top/>
      <bottom style="medium">
        <color rgb="FF44546A"/>
      </bottom>
      <diagonal/>
    </border>
    <border>
      <left style="medium">
        <color rgb="FF44546A"/>
      </left>
      <right/>
      <top style="medium">
        <color rgb="FF44546A"/>
      </top>
      <bottom/>
      <diagonal/>
    </border>
    <border>
      <left/>
      <right/>
      <top style="medium">
        <color rgb="FF44546A"/>
      </top>
      <bottom/>
      <diagonal/>
    </border>
    <border>
      <left/>
      <right style="medium">
        <color rgb="FF44546A"/>
      </right>
      <top style="medium">
        <color rgb="FF44546A"/>
      </top>
      <bottom/>
      <diagonal/>
    </border>
  </borders>
  <cellStyleXfs count="1">
    <xf numFmtId="0" fontId="0" fillId="0" borderId="0"/>
  </cellStyleXfs>
  <cellXfs count="106">
    <xf numFmtId="0" fontId="0" fillId="0" borderId="0" xfId="0"/>
    <xf numFmtId="0" fontId="0" fillId="0" borderId="0" xfId="0" applyAlignment="1">
      <alignment horizontal="center"/>
    </xf>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wrapText="1"/>
    </xf>
    <xf numFmtId="0" fontId="4" fillId="2" borderId="6" xfId="0" applyFont="1" applyFill="1" applyBorder="1" applyAlignment="1">
      <alignment horizontal="center" vertical="center"/>
    </xf>
    <xf numFmtId="0" fontId="4" fillId="0" borderId="7" xfId="0" applyFont="1" applyBorder="1" applyAlignment="1">
      <alignment horizontal="center" vertical="center" wrapText="1"/>
    </xf>
    <xf numFmtId="0" fontId="5" fillId="0" borderId="7" xfId="0" applyFont="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wrapText="1"/>
    </xf>
    <xf numFmtId="0" fontId="6" fillId="0" borderId="0" xfId="0" applyFont="1" applyAlignment="1">
      <alignment horizontal="center" vertical="center" wrapText="1"/>
    </xf>
    <xf numFmtId="0" fontId="6" fillId="0" borderId="7" xfId="0" applyFont="1" applyBorder="1" applyAlignment="1">
      <alignment horizontal="center" vertical="center"/>
    </xf>
    <xf numFmtId="0" fontId="6" fillId="4" borderId="7" xfId="0" applyFont="1" applyFill="1" applyBorder="1" applyAlignment="1">
      <alignment horizontal="center" vertical="center"/>
    </xf>
    <xf numFmtId="0" fontId="7" fillId="0" borderId="6" xfId="0" applyFont="1" applyBorder="1" applyAlignment="1">
      <alignment horizontal="center" vertical="center" wrapText="1"/>
    </xf>
    <xf numFmtId="0" fontId="4" fillId="5" borderId="7"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6" fillId="5" borderId="0" xfId="0" applyFont="1" applyFill="1" applyAlignment="1">
      <alignment horizontal="center" vertical="center"/>
    </xf>
    <xf numFmtId="0" fontId="6" fillId="5" borderId="7" xfId="0" applyFont="1" applyFill="1" applyBorder="1" applyAlignment="1">
      <alignment horizontal="center" vertical="center" wrapText="1"/>
    </xf>
    <xf numFmtId="0" fontId="6" fillId="5" borderId="0" xfId="0" applyFont="1" applyFill="1" applyAlignment="1">
      <alignment horizontal="center" vertical="center" wrapText="1"/>
    </xf>
    <xf numFmtId="0" fontId="6" fillId="5" borderId="7" xfId="0" applyFont="1" applyFill="1" applyBorder="1" applyAlignment="1">
      <alignment horizontal="center" vertical="center"/>
    </xf>
    <xf numFmtId="0" fontId="6" fillId="4" borderId="0" xfId="0" applyFont="1" applyFill="1" applyAlignment="1">
      <alignment horizontal="center" vertical="center"/>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0" fontId="7" fillId="0" borderId="7" xfId="0" applyFont="1" applyBorder="1" applyAlignment="1">
      <alignment horizontal="center" vertical="center" wrapText="1"/>
    </xf>
    <xf numFmtId="1" fontId="7" fillId="0" borderId="7" xfId="0" applyNumberFormat="1" applyFont="1" applyBorder="1" applyAlignment="1">
      <alignment horizontal="center" vertical="center" wrapText="1"/>
    </xf>
    <xf numFmtId="0" fontId="6" fillId="6" borderId="0" xfId="0" applyFont="1" applyFill="1" applyAlignment="1">
      <alignment horizontal="center" vertical="center"/>
    </xf>
    <xf numFmtId="0" fontId="6" fillId="4" borderId="7"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4" fillId="2" borderId="8" xfId="0" applyFont="1" applyFill="1" applyBorder="1" applyAlignment="1">
      <alignment horizontal="center" vertical="center"/>
    </xf>
    <xf numFmtId="0" fontId="4"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4" borderId="2" xfId="0" applyFont="1" applyFill="1" applyBorder="1" applyAlignment="1">
      <alignment horizontal="center" vertical="center"/>
    </xf>
    <xf numFmtId="0" fontId="6" fillId="6" borderId="2" xfId="0" applyFont="1" applyFill="1" applyBorder="1" applyAlignment="1">
      <alignment horizontal="center" vertical="center"/>
    </xf>
    <xf numFmtId="0" fontId="6" fillId="0" borderId="2" xfId="0" applyFont="1" applyBorder="1" applyAlignment="1">
      <alignment horizontal="center" vertical="center"/>
    </xf>
    <xf numFmtId="0" fontId="6" fillId="6" borderId="3"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xf>
    <xf numFmtId="0" fontId="7" fillId="0" borderId="3" xfId="0" applyFont="1" applyBorder="1" applyAlignment="1">
      <alignment horizontal="center" vertical="center" wrapText="1"/>
    </xf>
    <xf numFmtId="1" fontId="7" fillId="0" borderId="3" xfId="0" applyNumberFormat="1" applyFont="1" applyBorder="1" applyAlignment="1">
      <alignment horizontal="center" vertical="center" wrapText="1"/>
    </xf>
    <xf numFmtId="0" fontId="0" fillId="0" borderId="0" xfId="0" applyAlignment="1">
      <alignment horizontal="left"/>
    </xf>
    <xf numFmtId="0" fontId="5" fillId="0" borderId="6" xfId="0" applyFont="1" applyBorder="1" applyAlignment="1">
      <alignment horizontal="left" vertical="center" wrapText="1"/>
    </xf>
    <xf numFmtId="0" fontId="5" fillId="5" borderId="6" xfId="0" applyFont="1" applyFill="1" applyBorder="1" applyAlignment="1">
      <alignment horizontal="left" vertical="center" wrapText="1"/>
    </xf>
    <xf numFmtId="0" fontId="5" fillId="0" borderId="8" xfId="0" applyFont="1" applyBorder="1" applyAlignment="1">
      <alignment horizontal="left" vertical="center" wrapText="1"/>
    </xf>
    <xf numFmtId="0" fontId="2" fillId="2" borderId="4"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0" borderId="2" xfId="0" applyFont="1" applyBorder="1" applyAlignment="1">
      <alignment horizontal="left" vertical="center" wrapText="1"/>
    </xf>
    <xf numFmtId="0" fontId="3" fillId="2" borderId="11" xfId="0" applyFont="1" applyFill="1" applyBorder="1" applyAlignment="1">
      <alignment horizontal="left" vertical="center" wrapText="1"/>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2" fillId="3" borderId="9" xfId="0" applyFont="1" applyFill="1" applyBorder="1" applyAlignment="1">
      <alignment vertical="center" wrapText="1"/>
    </xf>
    <xf numFmtId="0" fontId="2" fillId="0" borderId="10" xfId="0" applyFont="1" applyBorder="1" applyAlignment="1">
      <alignment vertical="center" wrapText="1"/>
    </xf>
    <xf numFmtId="0" fontId="2" fillId="0" borderId="2" xfId="0" applyFont="1" applyBorder="1" applyAlignment="1">
      <alignment vertical="center" wrapText="1"/>
    </xf>
    <xf numFmtId="0" fontId="8" fillId="0" borderId="5" xfId="0" applyFont="1" applyBorder="1" applyAlignment="1">
      <alignment horizontal="center" vertical="center"/>
    </xf>
    <xf numFmtId="0" fontId="8" fillId="0" borderId="0" xfId="0" applyFont="1" applyAlignment="1">
      <alignment horizontal="center" vertical="center"/>
    </xf>
    <xf numFmtId="0" fontId="8" fillId="0" borderId="7" xfId="0" applyFont="1" applyBorder="1" applyAlignment="1">
      <alignment horizontal="center" vertical="center"/>
    </xf>
    <xf numFmtId="0" fontId="8" fillId="0" borderId="0" xfId="0" applyFont="1" applyAlignment="1">
      <alignment horizontal="center" vertical="center" wrapText="1"/>
    </xf>
    <xf numFmtId="0" fontId="8" fillId="0" borderId="10"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10" fillId="8" borderId="0" xfId="0" applyFont="1" applyFill="1"/>
    <xf numFmtId="0" fontId="9" fillId="7" borderId="0" xfId="0" applyFont="1" applyFill="1" applyAlignment="1">
      <alignment wrapText="1"/>
    </xf>
    <xf numFmtId="0" fontId="10" fillId="7" borderId="0" xfId="0" applyFont="1" applyFill="1" applyAlignment="1">
      <alignment horizontal="center" wrapText="1"/>
    </xf>
    <xf numFmtId="0" fontId="0" fillId="0" borderId="0" xfId="0" applyAlignment="1">
      <alignment wrapText="1"/>
    </xf>
    <xf numFmtId="0" fontId="10" fillId="7" borderId="0" xfId="0" applyFont="1" applyFill="1" applyAlignment="1">
      <alignment horizontal="center"/>
    </xf>
    <xf numFmtId="2" fontId="0" fillId="0" borderId="0" xfId="0" applyNumberFormat="1" applyAlignment="1">
      <alignment wrapText="1"/>
    </xf>
    <xf numFmtId="0" fontId="10" fillId="9" borderId="0" xfId="0" applyFont="1" applyFill="1" applyAlignment="1">
      <alignment horizontal="center" vertical="center" wrapText="1"/>
    </xf>
    <xf numFmtId="0" fontId="11" fillId="0" borderId="0" xfId="0" applyFont="1" applyAlignment="1">
      <alignment wrapText="1"/>
    </xf>
    <xf numFmtId="0" fontId="10" fillId="10" borderId="0" xfId="0" applyFont="1" applyFill="1" applyAlignment="1">
      <alignment horizontal="center" vertical="center" wrapText="1"/>
    </xf>
    <xf numFmtId="0" fontId="10" fillId="11" borderId="0" xfId="0" applyFont="1" applyFill="1" applyAlignment="1">
      <alignment horizontal="center" vertical="center" wrapText="1"/>
    </xf>
    <xf numFmtId="0" fontId="10" fillId="11" borderId="0" xfId="0" applyFont="1" applyFill="1" applyAlignment="1">
      <alignment horizontal="center" vertical="top" wrapText="1"/>
    </xf>
    <xf numFmtId="0" fontId="0" fillId="0" borderId="0" xfId="0" applyAlignment="1">
      <alignment vertical="top" wrapText="1"/>
    </xf>
    <xf numFmtId="0" fontId="0" fillId="0" borderId="0" xfId="0" applyAlignment="1">
      <alignment vertical="top"/>
    </xf>
    <xf numFmtId="0" fontId="13" fillId="0" borderId="0" xfId="0" applyFont="1" applyAlignment="1">
      <alignment vertical="top" wrapText="1"/>
    </xf>
    <xf numFmtId="0" fontId="15" fillId="13" borderId="0" xfId="0" applyFont="1" applyFill="1" applyAlignment="1">
      <alignment vertical="top" wrapText="1"/>
    </xf>
    <xf numFmtId="0" fontId="16" fillId="14" borderId="0" xfId="0" applyFont="1" applyFill="1" applyAlignment="1">
      <alignment horizontal="center" vertical="center"/>
    </xf>
    <xf numFmtId="0" fontId="17" fillId="0" borderId="0" xfId="0" applyFont="1" applyAlignment="1">
      <alignment vertical="top"/>
    </xf>
    <xf numFmtId="4" fontId="17" fillId="0" borderId="0" xfId="0" applyNumberFormat="1" applyFont="1" applyAlignment="1">
      <alignment vertical="top"/>
    </xf>
    <xf numFmtId="0" fontId="16" fillId="14" borderId="0" xfId="0" applyFont="1" applyFill="1" applyAlignment="1">
      <alignment horizontal="center" vertical="center" wrapText="1"/>
    </xf>
    <xf numFmtId="0" fontId="17" fillId="0" borderId="0" xfId="0" applyFont="1" applyAlignment="1">
      <alignment vertical="top" wrapText="1"/>
    </xf>
    <xf numFmtId="4" fontId="17" fillId="0" borderId="0" xfId="0" applyNumberFormat="1" applyFont="1" applyAlignment="1">
      <alignment vertical="top" wrapText="1"/>
    </xf>
    <xf numFmtId="0" fontId="17" fillId="15" borderId="0" xfId="0" applyFont="1" applyFill="1" applyAlignment="1">
      <alignment wrapText="1"/>
    </xf>
    <xf numFmtId="4" fontId="17" fillId="15" borderId="0" xfId="0" applyNumberFormat="1" applyFont="1" applyFill="1" applyAlignment="1">
      <alignment wrapText="1"/>
    </xf>
    <xf numFmtId="0" fontId="10" fillId="16" borderId="0" xfId="0" applyFont="1" applyFill="1" applyAlignment="1">
      <alignment horizontal="center" vertical="center" wrapText="1"/>
    </xf>
    <xf numFmtId="0" fontId="19" fillId="17" borderId="0" xfId="0" applyFont="1" applyFill="1" applyAlignment="1">
      <alignment horizontal="center" vertical="center" wrapText="1"/>
    </xf>
    <xf numFmtId="0" fontId="19" fillId="17" borderId="0" xfId="0" applyFont="1" applyFill="1"/>
    <xf numFmtId="1" fontId="13" fillId="0" borderId="0" xfId="0" applyNumberFormat="1" applyFont="1" applyAlignment="1">
      <alignment vertical="top" wrapText="1"/>
    </xf>
    <xf numFmtId="1" fontId="0" fillId="0" borderId="0" xfId="0" applyNumberFormat="1" applyAlignment="1">
      <alignment wrapText="1"/>
    </xf>
    <xf numFmtId="164" fontId="0" fillId="0" borderId="0" xfId="0" applyNumberFormat="1" applyAlignment="1">
      <alignment wrapText="1"/>
    </xf>
    <xf numFmtId="0" fontId="16" fillId="18" borderId="0" xfId="0" applyFont="1" applyFill="1" applyAlignment="1">
      <alignment wrapText="1"/>
    </xf>
    <xf numFmtId="0" fontId="18" fillId="14" borderId="0" xfId="0" applyFont="1" applyFill="1" applyAlignment="1">
      <alignment horizontal="left" wrapText="1"/>
    </xf>
    <xf numFmtId="164" fontId="18" fillId="14" borderId="0" xfId="0" applyNumberFormat="1" applyFont="1" applyFill="1" applyAlignment="1">
      <alignment horizontal="left" wrapText="1"/>
    </xf>
    <xf numFmtId="0" fontId="18" fillId="14" borderId="0" xfId="0" applyFont="1" applyFill="1" applyAlignment="1">
      <alignment horizontal="left"/>
    </xf>
    <xf numFmtId="0" fontId="17" fillId="15" borderId="0" xfId="0" applyFont="1" applyFill="1"/>
    <xf numFmtId="0" fontId="20" fillId="17" borderId="0" xfId="0" applyFont="1" applyFill="1" applyAlignment="1">
      <alignment horizontal="center" vertical="center" wrapText="1"/>
    </xf>
    <xf numFmtId="0" fontId="19" fillId="17" borderId="0" xfId="0" applyFont="1" applyFill="1" applyAlignment="1">
      <alignment horizontal="center" vertical="center" wrapText="1"/>
    </xf>
    <xf numFmtId="0" fontId="14" fillId="12" borderId="0" xfId="0" applyFont="1" applyFill="1" applyAlignment="1">
      <alignment horizontal="center" vertical="center" wrapText="1"/>
    </xf>
    <xf numFmtId="0" fontId="12" fillId="12" borderId="0" xfId="0" applyFont="1" applyFill="1" applyAlignment="1">
      <alignment horizontal="center" vertical="center" wrapText="1"/>
    </xf>
  </cellXfs>
  <cellStyles count="1">
    <cellStyle name="Normal" xfId="0" builtinId="0"/>
  </cellStyles>
  <dxfs count="7">
    <dxf>
      <fill>
        <patternFill>
          <bgColor rgb="FFFFF3CD"/>
        </patternFill>
      </fill>
    </dxf>
    <dxf>
      <fill>
        <patternFill>
          <bgColor rgb="FFF8D7DA"/>
        </patternFill>
      </fill>
    </dxf>
    <dxf>
      <fill>
        <patternFill>
          <bgColor rgb="FFE7F5E1"/>
        </patternFill>
      </fill>
    </dxf>
    <dxf>
      <fill>
        <patternFill>
          <bgColor rgb="FFEAF2F8"/>
        </patternFill>
      </fill>
    </dxf>
    <dxf>
      <fill>
        <patternFill>
          <bgColor rgb="FFDDF2D1"/>
        </patternFill>
      </fill>
    </dxf>
    <dxf>
      <fill>
        <patternFill>
          <bgColor theme="0" tint="-0.34998626667073579"/>
        </patternFill>
      </fill>
    </dxf>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PatronesVectorTable" displayName="PatronesVectorTable" ref="A1:CO20">
  <tableColumns count="93">
    <tableColumn id="1" xr3:uid="{00000000-0010-0000-0000-000001000000}" name="patron_id"/>
    <tableColumn id="2" xr3:uid="{00000000-0010-0000-0000-000002000000}" name="nombre_patron"/>
    <tableColumn id="3" xr3:uid="{00000000-0010-0000-0000-000003000000}" name="cd_referencia"/>
    <tableColumn id="4" xr3:uid="{00000000-0010-0000-0000-000004000000}" name="grupo_subgrupo_aplicable"/>
    <tableColumn id="5" xr3:uid="{00000000-0010-0000-0000-000005000000}" name="F1"/>
    <tableColumn id="6" xr3:uid="{00000000-0010-0000-0000-000006000000}" name="F2"/>
    <tableColumn id="7" xr3:uid="{00000000-0010-0000-0000-000007000000}" name="F3"/>
    <tableColumn id="8" xr3:uid="{00000000-0010-0000-0000-000008000000}" name="F4"/>
    <tableColumn id="9" xr3:uid="{00000000-0010-0000-0000-000009000000}" name="F5"/>
    <tableColumn id="10" xr3:uid="{00000000-0010-0000-0000-00000A000000}" name="F6"/>
    <tableColumn id="11" xr3:uid="{00000000-0010-0000-0000-00000B000000}" name="F7"/>
    <tableColumn id="12" xr3:uid="{00000000-0010-0000-0000-00000C000000}" name="F8"/>
    <tableColumn id="13" xr3:uid="{00000000-0010-0000-0000-00000D000000}" name="F9"/>
    <tableColumn id="14" xr3:uid="{00000000-0010-0000-0000-00000E000000}" name="F10"/>
    <tableColumn id="15" xr3:uid="{00000000-0010-0000-0000-00000F000000}" name="F11"/>
    <tableColumn id="16" xr3:uid="{00000000-0010-0000-0000-000010000000}" name="F12"/>
    <tableColumn id="17" xr3:uid="{00000000-0010-0000-0000-000011000000}" name="F13"/>
    <tableColumn id="18" xr3:uid="{00000000-0010-0000-0000-000012000000}" name="F14"/>
    <tableColumn id="19" xr3:uid="{00000000-0010-0000-0000-000013000000}" name="F15"/>
    <tableColumn id="20" xr3:uid="{00000000-0010-0000-0000-000014000000}" name="F16"/>
    <tableColumn id="21" xr3:uid="{00000000-0010-0000-0000-000015000000}" name="F17"/>
    <tableColumn id="22" xr3:uid="{00000000-0010-0000-0000-000016000000}" name="F18"/>
    <tableColumn id="23" xr3:uid="{00000000-0010-0000-0000-000017000000}" name="F19"/>
    <tableColumn id="24" xr3:uid="{00000000-0010-0000-0000-000018000000}" name="F20"/>
    <tableColumn id="25" xr3:uid="{00000000-0010-0000-0000-000019000000}" name="F21"/>
    <tableColumn id="26" xr3:uid="{00000000-0010-0000-0000-00001A000000}" name="F22"/>
    <tableColumn id="27" xr3:uid="{00000000-0010-0000-0000-00001B000000}" name="F23"/>
    <tableColumn id="28" xr3:uid="{00000000-0010-0000-0000-00001C000000}" name="F24"/>
    <tableColumn id="29" xr3:uid="{00000000-0010-0000-0000-00001D000000}" name="F25"/>
    <tableColumn id="30" xr3:uid="{00000000-0010-0000-0000-00001E000000}" name="F26"/>
    <tableColumn id="31" xr3:uid="{00000000-0010-0000-0000-00001F000000}" name="F27"/>
    <tableColumn id="32" xr3:uid="{00000000-0010-0000-0000-000020000000}" name="F28"/>
    <tableColumn id="33" xr3:uid="{00000000-0010-0000-0000-000021000000}" name="F29"/>
    <tableColumn id="34" xr3:uid="{00000000-0010-0000-0000-000022000000}" name="F30"/>
    <tableColumn id="35" xr3:uid="{00000000-0010-0000-0000-000023000000}" name="F31"/>
    <tableColumn id="36" xr3:uid="{00000000-0010-0000-0000-000024000000}" name="F32"/>
    <tableColumn id="37" xr3:uid="{00000000-0010-0000-0000-000025000000}" name="F33"/>
    <tableColumn id="38" xr3:uid="{00000000-0010-0000-0000-000026000000}" name="F34"/>
    <tableColumn id="39" xr3:uid="{00000000-0010-0000-0000-000027000000}" name="F35"/>
    <tableColumn id="40" xr3:uid="{00000000-0010-0000-0000-000028000000}" name="F36"/>
    <tableColumn id="41" xr3:uid="{00000000-0010-0000-0000-000029000000}" name="F37"/>
    <tableColumn id="42" xr3:uid="{00000000-0010-0000-0000-00002A000000}" name="F38"/>
    <tableColumn id="43" xr3:uid="{00000000-0010-0000-0000-00002B000000}" name="F39"/>
    <tableColumn id="44" xr3:uid="{00000000-0010-0000-0000-00002C000000}" name="F40"/>
    <tableColumn id="45" xr3:uid="{00000000-0010-0000-0000-00002D000000}" name="F41"/>
    <tableColumn id="46" xr3:uid="{00000000-0010-0000-0000-00002E000000}" name="F42"/>
    <tableColumn id="47" xr3:uid="{00000000-0010-0000-0000-00002F000000}" name="F43"/>
    <tableColumn id="48" xr3:uid="{00000000-0010-0000-0000-000030000000}" name="F44"/>
    <tableColumn id="49" xr3:uid="{00000000-0010-0000-0000-000031000000}" name="F45"/>
    <tableColumn id="50" xr3:uid="{00000000-0010-0000-0000-000032000000}" name="F46"/>
    <tableColumn id="51" xr3:uid="{00000000-0010-0000-0000-000033000000}" name="F47"/>
    <tableColumn id="52" xr3:uid="{00000000-0010-0000-0000-000034000000}" name="F48"/>
    <tableColumn id="53" xr3:uid="{00000000-0010-0000-0000-000035000000}" name="F49"/>
    <tableColumn id="54" xr3:uid="{00000000-0010-0000-0000-000036000000}" name="CD1_1"/>
    <tableColumn id="55" xr3:uid="{00000000-0010-0000-0000-000037000000}" name="CD1_2"/>
    <tableColumn id="56" xr3:uid="{00000000-0010-0000-0000-000038000000}" name="CD1_3"/>
    <tableColumn id="57" xr3:uid="{00000000-0010-0000-0000-000039000000}" name="CD1_4"/>
    <tableColumn id="58" xr3:uid="{00000000-0010-0000-0000-00003A000000}" name="CD1_5"/>
    <tableColumn id="59" xr3:uid="{00000000-0010-0000-0000-00003B000000}" name="CD2_1"/>
    <tableColumn id="60" xr3:uid="{00000000-0010-0000-0000-00003C000000}" name="CD2_2"/>
    <tableColumn id="61" xr3:uid="{00000000-0010-0000-0000-00003D000000}" name="CD2_3"/>
    <tableColumn id="62" xr3:uid="{00000000-0010-0000-0000-00003E000000}" name="CD2_4"/>
    <tableColumn id="63" xr3:uid="{00000000-0010-0000-0000-00003F000000}" name="CD2_5"/>
    <tableColumn id="64" xr3:uid="{00000000-0010-0000-0000-000040000000}" name="CD2_6"/>
    <tableColumn id="65" xr3:uid="{00000000-0010-0000-0000-000041000000}" name="CD2_7"/>
    <tableColumn id="66" xr3:uid="{00000000-0010-0000-0000-000042000000}" name="CD3_1"/>
    <tableColumn id="67" xr3:uid="{00000000-0010-0000-0000-000043000000}" name="CD3_2"/>
    <tableColumn id="68" xr3:uid="{00000000-0010-0000-0000-000044000000}" name="CD3_3"/>
    <tableColumn id="69" xr3:uid="{00000000-0010-0000-0000-000045000000}" name="CD3_4"/>
    <tableColumn id="70" xr3:uid="{00000000-0010-0000-0000-000046000000}" name="CD3_5"/>
    <tableColumn id="71" xr3:uid="{00000000-0010-0000-0000-000047000000}" name="CD3_6"/>
    <tableColumn id="72" xr3:uid="{00000000-0010-0000-0000-000048000000}" name="CD3_7"/>
    <tableColumn id="73" xr3:uid="{00000000-0010-0000-0000-000049000000}" name="CD4_1"/>
    <tableColumn id="74" xr3:uid="{00000000-0010-0000-0000-00004A000000}" name="CD4_2"/>
    <tableColumn id="75" xr3:uid="{00000000-0010-0000-0000-00004B000000}" name="CD4_3"/>
    <tableColumn id="76" xr3:uid="{00000000-0010-0000-0000-00004C000000}" name="CD4_4"/>
    <tableColumn id="77" xr3:uid="{00000000-0010-0000-0000-00004D000000}" name="CD4_5"/>
    <tableColumn id="78" xr3:uid="{00000000-0010-0000-0000-00004E000000}" name="CD4_6"/>
    <tableColumn id="79" xr3:uid="{00000000-0010-0000-0000-00004F000000}" name="CD4_7"/>
    <tableColumn id="80" xr3:uid="{00000000-0010-0000-0000-000050000000}" name="CD5_1"/>
    <tableColumn id="81" xr3:uid="{00000000-0010-0000-0000-000051000000}" name="CD5_2"/>
    <tableColumn id="82" xr3:uid="{00000000-0010-0000-0000-000052000000}" name="CD5_3"/>
    <tableColumn id="83" xr3:uid="{00000000-0010-0000-0000-000053000000}" name="CD5_4"/>
    <tableColumn id="84" xr3:uid="{00000000-0010-0000-0000-000054000000}" name="CD5_5"/>
    <tableColumn id="85" xr3:uid="{00000000-0010-0000-0000-000055000000}" name="CD5_6"/>
    <tableColumn id="86" xr3:uid="{00000000-0010-0000-0000-000056000000}" name="CD5_7"/>
    <tableColumn id="87" xr3:uid="{00000000-0010-0000-0000-000057000000}" name="CD6_1"/>
    <tableColumn id="88" xr3:uid="{00000000-0010-0000-0000-000058000000}" name="CD6_2"/>
    <tableColumn id="89" xr3:uid="{00000000-0010-0000-0000-000059000000}" name="CD6_3"/>
    <tableColumn id="90" xr3:uid="{00000000-0010-0000-0000-00005A000000}" name="CD6_4"/>
    <tableColumn id="91" xr3:uid="{00000000-0010-0000-0000-00005B000000}" name="CD6_5"/>
    <tableColumn id="92" xr3:uid="{00000000-0010-0000-0000-00005C000000}" name="CD6_6"/>
    <tableColumn id="93" xr3:uid="{00000000-0010-0000-0000-00005D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uestosVectorTable" displayName="PuestosVectorTable" ref="A1:CO51">
  <tableColumns count="93">
    <tableColumn id="1" xr3:uid="{00000000-0010-0000-0100-000001000000}" name="id_het"/>
    <tableColumn id="2" xr3:uid="{00000000-0010-0000-0100-000002000000}" name="denominacion_normalizada"/>
    <tableColumn id="3" xr3:uid="{00000000-0010-0000-0100-000003000000}" name="grupo_subgrupo"/>
    <tableColumn id="4" xr3:uid="{00000000-0010-0000-0100-000004000000}" name="cd_vigente"/>
    <tableColumn id="5" xr3:uid="{00000000-0010-0000-0100-000005000000}" name="F1"/>
    <tableColumn id="6" xr3:uid="{00000000-0010-0000-0100-000006000000}" name="F2"/>
    <tableColumn id="7" xr3:uid="{00000000-0010-0000-0100-000007000000}" name="F3"/>
    <tableColumn id="8" xr3:uid="{00000000-0010-0000-0100-000008000000}" name="F4"/>
    <tableColumn id="9" xr3:uid="{00000000-0010-0000-0100-000009000000}" name="F5"/>
    <tableColumn id="10" xr3:uid="{00000000-0010-0000-0100-00000A000000}" name="F6"/>
    <tableColumn id="11" xr3:uid="{00000000-0010-0000-0100-00000B000000}" name="F7"/>
    <tableColumn id="12" xr3:uid="{00000000-0010-0000-0100-00000C000000}" name="F8"/>
    <tableColumn id="13" xr3:uid="{00000000-0010-0000-0100-00000D000000}" name="F9"/>
    <tableColumn id="14" xr3:uid="{00000000-0010-0000-0100-00000E000000}" name="F10"/>
    <tableColumn id="15" xr3:uid="{00000000-0010-0000-0100-00000F000000}" name="F11"/>
    <tableColumn id="16" xr3:uid="{00000000-0010-0000-0100-000010000000}" name="F12"/>
    <tableColumn id="17" xr3:uid="{00000000-0010-0000-0100-000011000000}" name="F13"/>
    <tableColumn id="18" xr3:uid="{00000000-0010-0000-0100-000012000000}" name="F14"/>
    <tableColumn id="19" xr3:uid="{00000000-0010-0000-0100-000013000000}" name="F15"/>
    <tableColumn id="20" xr3:uid="{00000000-0010-0000-0100-000014000000}" name="F16"/>
    <tableColumn id="21" xr3:uid="{00000000-0010-0000-0100-000015000000}" name="F17"/>
    <tableColumn id="22" xr3:uid="{00000000-0010-0000-0100-000016000000}" name="F18"/>
    <tableColumn id="23" xr3:uid="{00000000-0010-0000-0100-000017000000}" name="F19"/>
    <tableColumn id="24" xr3:uid="{00000000-0010-0000-0100-000018000000}" name="F20"/>
    <tableColumn id="25" xr3:uid="{00000000-0010-0000-0100-000019000000}" name="F21"/>
    <tableColumn id="26" xr3:uid="{00000000-0010-0000-0100-00001A000000}" name="F22"/>
    <tableColumn id="27" xr3:uid="{00000000-0010-0000-0100-00001B000000}" name="F23"/>
    <tableColumn id="28" xr3:uid="{00000000-0010-0000-0100-00001C000000}" name="F24"/>
    <tableColumn id="29" xr3:uid="{00000000-0010-0000-0100-00001D000000}" name="F25"/>
    <tableColumn id="30" xr3:uid="{00000000-0010-0000-0100-00001E000000}" name="F26"/>
    <tableColumn id="31" xr3:uid="{00000000-0010-0000-0100-00001F000000}" name="F27"/>
    <tableColumn id="32" xr3:uid="{00000000-0010-0000-0100-000020000000}" name="F28"/>
    <tableColumn id="33" xr3:uid="{00000000-0010-0000-0100-000021000000}" name="F29"/>
    <tableColumn id="34" xr3:uid="{00000000-0010-0000-0100-000022000000}" name="F30"/>
    <tableColumn id="35" xr3:uid="{00000000-0010-0000-0100-000023000000}" name="F31"/>
    <tableColumn id="36" xr3:uid="{00000000-0010-0000-0100-000024000000}" name="F32"/>
    <tableColumn id="37" xr3:uid="{00000000-0010-0000-0100-000025000000}" name="F33"/>
    <tableColumn id="38" xr3:uid="{00000000-0010-0000-0100-000026000000}" name="F34"/>
    <tableColumn id="39" xr3:uid="{00000000-0010-0000-0100-000027000000}" name="F35"/>
    <tableColumn id="40" xr3:uid="{00000000-0010-0000-0100-000028000000}" name="F36"/>
    <tableColumn id="41" xr3:uid="{00000000-0010-0000-0100-000029000000}" name="F37"/>
    <tableColumn id="42" xr3:uid="{00000000-0010-0000-0100-00002A000000}" name="F38"/>
    <tableColumn id="43" xr3:uid="{00000000-0010-0000-0100-00002B000000}" name="F39"/>
    <tableColumn id="44" xr3:uid="{00000000-0010-0000-0100-00002C000000}" name="F40"/>
    <tableColumn id="45" xr3:uid="{00000000-0010-0000-0100-00002D000000}" name="F41"/>
    <tableColumn id="46" xr3:uid="{00000000-0010-0000-0100-00002E000000}" name="F42"/>
    <tableColumn id="47" xr3:uid="{00000000-0010-0000-0100-00002F000000}" name="F43"/>
    <tableColumn id="48" xr3:uid="{00000000-0010-0000-0100-000030000000}" name="F44"/>
    <tableColumn id="49" xr3:uid="{00000000-0010-0000-0100-000031000000}" name="F45"/>
    <tableColumn id="50" xr3:uid="{00000000-0010-0000-0100-000032000000}" name="F46"/>
    <tableColumn id="51" xr3:uid="{00000000-0010-0000-0100-000033000000}" name="F47"/>
    <tableColumn id="52" xr3:uid="{00000000-0010-0000-0100-000034000000}" name="F48"/>
    <tableColumn id="53" xr3:uid="{00000000-0010-0000-0100-000035000000}" name="F49"/>
    <tableColumn id="54" xr3:uid="{00000000-0010-0000-0100-000036000000}" name="CD1_1"/>
    <tableColumn id="55" xr3:uid="{00000000-0010-0000-0100-000037000000}" name="CD1_2"/>
    <tableColumn id="56" xr3:uid="{00000000-0010-0000-0100-000038000000}" name="CD1_3"/>
    <tableColumn id="57" xr3:uid="{00000000-0010-0000-0100-000039000000}" name="CD1_4"/>
    <tableColumn id="58" xr3:uid="{00000000-0010-0000-0100-00003A000000}" name="CD1_5"/>
    <tableColumn id="59" xr3:uid="{00000000-0010-0000-0100-00003B000000}" name="CD2_1"/>
    <tableColumn id="60" xr3:uid="{00000000-0010-0000-0100-00003C000000}" name="CD2_2"/>
    <tableColumn id="61" xr3:uid="{00000000-0010-0000-0100-00003D000000}" name="CD2_3"/>
    <tableColumn id="62" xr3:uid="{00000000-0010-0000-0100-00003E000000}" name="CD2_4"/>
    <tableColumn id="63" xr3:uid="{00000000-0010-0000-0100-00003F000000}" name="CD2_5"/>
    <tableColumn id="64" xr3:uid="{00000000-0010-0000-0100-000040000000}" name="CD2_6"/>
    <tableColumn id="65" xr3:uid="{00000000-0010-0000-0100-000041000000}" name="CD2_7"/>
    <tableColumn id="66" xr3:uid="{00000000-0010-0000-0100-000042000000}" name="CD3_1"/>
    <tableColumn id="67" xr3:uid="{00000000-0010-0000-0100-000043000000}" name="CD3_2"/>
    <tableColumn id="68" xr3:uid="{00000000-0010-0000-0100-000044000000}" name="CD3_3"/>
    <tableColumn id="69" xr3:uid="{00000000-0010-0000-0100-000045000000}" name="CD3_4"/>
    <tableColumn id="70" xr3:uid="{00000000-0010-0000-0100-000046000000}" name="CD3_5"/>
    <tableColumn id="71" xr3:uid="{00000000-0010-0000-0100-000047000000}" name="CD3_6"/>
    <tableColumn id="72" xr3:uid="{00000000-0010-0000-0100-000048000000}" name="CD3_7"/>
    <tableColumn id="73" xr3:uid="{00000000-0010-0000-0100-000049000000}" name="CD4_1"/>
    <tableColumn id="74" xr3:uid="{00000000-0010-0000-0100-00004A000000}" name="CD4_2"/>
    <tableColumn id="75" xr3:uid="{00000000-0010-0000-0100-00004B000000}" name="CD4_3"/>
    <tableColumn id="76" xr3:uid="{00000000-0010-0000-0100-00004C000000}" name="CD4_4"/>
    <tableColumn id="77" xr3:uid="{00000000-0010-0000-0100-00004D000000}" name="CD4_5"/>
    <tableColumn id="78" xr3:uid="{00000000-0010-0000-0100-00004E000000}" name="CD4_6"/>
    <tableColumn id="79" xr3:uid="{00000000-0010-0000-0100-00004F000000}" name="CD4_7"/>
    <tableColumn id="80" xr3:uid="{00000000-0010-0000-0100-000050000000}" name="CD5_1"/>
    <tableColumn id="81" xr3:uid="{00000000-0010-0000-0100-000051000000}" name="CD5_2"/>
    <tableColumn id="82" xr3:uid="{00000000-0010-0000-0100-000052000000}" name="CD5_3"/>
    <tableColumn id="83" xr3:uid="{00000000-0010-0000-0100-000053000000}" name="CD5_4"/>
    <tableColumn id="84" xr3:uid="{00000000-0010-0000-0100-000054000000}" name="CD5_5"/>
    <tableColumn id="85" xr3:uid="{00000000-0010-0000-0100-000055000000}" name="CD5_6"/>
    <tableColumn id="86" xr3:uid="{00000000-0010-0000-0100-000056000000}" name="CD5_7"/>
    <tableColumn id="87" xr3:uid="{00000000-0010-0000-0100-000057000000}" name="CD6_1"/>
    <tableColumn id="88" xr3:uid="{00000000-0010-0000-0100-000058000000}" name="CD6_2"/>
    <tableColumn id="89" xr3:uid="{00000000-0010-0000-0100-000059000000}" name="CD6_3"/>
    <tableColumn id="90" xr3:uid="{00000000-0010-0000-0100-00005A000000}" name="CD6_4"/>
    <tableColumn id="91" xr3:uid="{00000000-0010-0000-0100-00005B000000}" name="CD6_5"/>
    <tableColumn id="92" xr3:uid="{00000000-0010-0000-0100-00005C000000}" name="CD6_6"/>
    <tableColumn id="93" xr3:uid="{00000000-0010-0000-0100-00005D000000}" name="observacion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DiccionarioColumnasTable" displayName="DiccionarioColumnasTable" ref="A1:G89">
  <tableColumns count="7">
    <tableColumn id="1" xr3:uid="{00000000-0010-0000-0300-000001000000}" name="codigo_columna"/>
    <tableColumn id="2" xr3:uid="{00000000-0010-0000-0300-000002000000}" name="bloque"/>
    <tableColumn id="3" xr3:uid="{00000000-0010-0000-0300-000003000000}" name="factor_madre"/>
    <tableColumn id="4" xr3:uid="{00000000-0010-0000-0300-000004000000}" name="denominacion"/>
    <tableColumn id="5" xr3:uid="{00000000-0010-0000-0300-000005000000}" name="escala"/>
    <tableColumn id="6" xr3:uid="{00000000-0010-0000-0300-000006000000}" name="peso"/>
    <tableColumn id="7" xr3:uid="{00000000-0010-0000-0300-000007000000}" name="observac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ImpactoEconomicoCD2026" displayName="ImpactoEconomicoCD2026" ref="A4:N170">
  <tableColumns count="14">
    <tableColumn id="1" xr3:uid="{00000000-0010-0000-0400-000001000000}" name="id_het"/>
    <tableColumn id="2" xr3:uid="{00000000-0010-0000-0400-000002000000}" name="denominacion_normalizada"/>
    <tableColumn id="3" xr3:uid="{00000000-0010-0000-0400-000003000000}" name="grupo_subgrupo"/>
    <tableColumn id="4" xr3:uid="{00000000-0010-0000-0400-000004000000}" name="cd_vigente"/>
    <tableColumn id="5" xr3:uid="{00000000-0010-0000-0400-000005000000}" name="cd_final_ajustado"/>
    <tableColumn id="6" xr3:uid="{00000000-0010-0000-0400-000006000000}" name="dotaciones"/>
    <tableColumn id="7" xr3:uid="{00000000-0010-0000-0400-000007000000}" name="meses_efecto"/>
    <tableColumn id="8" xr3:uid="{00000000-0010-0000-0400-000008000000}" name="importe_cd_vigente_anual"/>
    <tableColumn id="9" xr3:uid="{00000000-0010-0000-0400-000009000000}" name="importe_cd_final_anual"/>
    <tableColumn id="10" xr3:uid="{00000000-0010-0000-0400-00000A000000}" name="diferencial_anual_dotacion"/>
    <tableColumn id="11" xr3:uid="{00000000-0010-0000-0400-00000B000000}" name="impacto_anual_total"/>
    <tableColumn id="12" xr3:uid="{00000000-0010-0000-0400-00000C000000}" name="impacto_periodo"/>
    <tableColumn id="13" xr3:uid="{00000000-0010-0000-0400-00000D000000}" name="resultado"/>
    <tableColumn id="14" xr3:uid="{00000000-0010-0000-0400-00000E000000}" name="observacion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5000000}" name="PesosModeloTable" displayName="PesosModeloTable" ref="A1:C11">
  <tableColumns count="3">
    <tableColumn id="1" xr3:uid="{00000000-0010-0000-0500-000001000000}" name="parametro"/>
    <tableColumn id="2" xr3:uid="{00000000-0010-0000-0500-000002000000}" name="valor"/>
    <tableColumn id="3" xr3:uid="{00000000-0010-0000-0500-000003000000}" name="descripc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RangosCDTable" displayName="RangosCDTable" ref="A1:D7">
  <tableColumns count="4">
    <tableColumn id="1" xr3:uid="{00000000-0010-0000-0600-000001000000}" name="grupo_subgrupo"/>
    <tableColumn id="2" xr3:uid="{00000000-0010-0000-0600-000002000000}" name="cd_min"/>
    <tableColumn id="3" xr3:uid="{00000000-0010-0000-0600-000003000000}" name="cd_max"/>
    <tableColumn id="4" xr3:uid="{00000000-0010-0000-0600-000004000000}" name="observacion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PuestosVectorPreliminar" displayName="PuestosVectorPreliminar" ref="A1:DA167">
  <tableColumns count="105">
    <tableColumn id="1" xr3:uid="{00000000-0010-0000-0700-000001000000}" name="id_het"/>
    <tableColumn id="2" xr3:uid="{00000000-0010-0000-0700-000002000000}" name="ambito_funcional_fuente"/>
    <tableColumn id="3" xr3:uid="{00000000-0010-0000-0700-000003000000}" name="perfil_competencial_fuente"/>
    <tableColumn id="4" xr3:uid="{00000000-0010-0000-0700-000004000000}" name="denominacion_normalizada"/>
    <tableColumn id="5" xr3:uid="{00000000-0010-0000-0700-000005000000}" name="grupo_subgrupo"/>
    <tableColumn id="6" xr3:uid="{00000000-0010-0000-0700-000006000000}" name="grupo_original"/>
    <tableColumn id="7" xr3:uid="{00000000-0010-0000-0700-000007000000}" name="grupo_alternativo"/>
    <tableColumn id="8" xr3:uid="{00000000-0010-0000-0700-000008000000}" name="cd_vigente"/>
    <tableColumn id="9" xr3:uid="{00000000-0010-0000-0700-000009000000}" name="patron_base"/>
    <tableColumn id="10" xr3:uid="{00000000-0010-0000-0700-00000A000000}" name="nombre_patron_base"/>
    <tableColumn id="11" xr3:uid="{00000000-0010-0000-0700-00000B000000}" name="cd_patron_base"/>
    <tableColumn id="12" xr3:uid="{00000000-0010-0000-0700-00000C000000}" name="grupo_funcional"/>
    <tableColumn id="13" xr3:uid="{00000000-0010-0000-0700-00000D000000}" name="gradacion_interna"/>
    <tableColumn id="14" xr3:uid="{00000000-0010-0000-0700-00000E000000}" name="confianza_prevaloracion"/>
    <tableColumn id="15" xr3:uid="{00000000-0010-0000-0700-00000F000000}" name="criterio_asignacion"/>
    <tableColumn id="16" xr3:uid="{00000000-0010-0000-0700-000010000000}" name="revision_manual"/>
    <tableColumn id="17" xr3:uid="{00000000-0010-0000-0700-000011000000}" name="observaciones"/>
    <tableColumn id="18" xr3:uid="{00000000-0010-0000-0700-000012000000}" name="F1"/>
    <tableColumn id="19" xr3:uid="{00000000-0010-0000-0700-000013000000}" name="F2"/>
    <tableColumn id="20" xr3:uid="{00000000-0010-0000-0700-000014000000}" name="F3"/>
    <tableColumn id="21" xr3:uid="{00000000-0010-0000-0700-000015000000}" name="F4"/>
    <tableColumn id="22" xr3:uid="{00000000-0010-0000-0700-000016000000}" name="F5"/>
    <tableColumn id="23" xr3:uid="{00000000-0010-0000-0700-000017000000}" name="F6"/>
    <tableColumn id="24" xr3:uid="{00000000-0010-0000-0700-000018000000}" name="F7"/>
    <tableColumn id="25" xr3:uid="{00000000-0010-0000-0700-000019000000}" name="F8"/>
    <tableColumn id="26" xr3:uid="{00000000-0010-0000-0700-00001A000000}" name="F9"/>
    <tableColumn id="27" xr3:uid="{00000000-0010-0000-0700-00001B000000}" name="F10"/>
    <tableColumn id="28" xr3:uid="{00000000-0010-0000-0700-00001C000000}" name="F11"/>
    <tableColumn id="29" xr3:uid="{00000000-0010-0000-0700-00001D000000}" name="F12"/>
    <tableColumn id="30" xr3:uid="{00000000-0010-0000-0700-00001E000000}" name="F13"/>
    <tableColumn id="31" xr3:uid="{00000000-0010-0000-0700-00001F000000}" name="F14"/>
    <tableColumn id="32" xr3:uid="{00000000-0010-0000-0700-000020000000}" name="F15"/>
    <tableColumn id="33" xr3:uid="{00000000-0010-0000-0700-000021000000}" name="F16"/>
    <tableColumn id="34" xr3:uid="{00000000-0010-0000-0700-000022000000}" name="F17"/>
    <tableColumn id="35" xr3:uid="{00000000-0010-0000-0700-000023000000}" name="F18"/>
    <tableColumn id="36" xr3:uid="{00000000-0010-0000-0700-000024000000}" name="F19"/>
    <tableColumn id="37" xr3:uid="{00000000-0010-0000-0700-000025000000}" name="F20"/>
    <tableColumn id="38" xr3:uid="{00000000-0010-0000-0700-000026000000}" name="F21"/>
    <tableColumn id="39" xr3:uid="{00000000-0010-0000-0700-000027000000}" name="F22"/>
    <tableColumn id="40" xr3:uid="{00000000-0010-0000-0700-000028000000}" name="F23"/>
    <tableColumn id="41" xr3:uid="{00000000-0010-0000-0700-000029000000}" name="F24"/>
    <tableColumn id="42" xr3:uid="{00000000-0010-0000-0700-00002A000000}" name="F25"/>
    <tableColumn id="43" xr3:uid="{00000000-0010-0000-0700-00002B000000}" name="F26"/>
    <tableColumn id="44" xr3:uid="{00000000-0010-0000-0700-00002C000000}" name="F27"/>
    <tableColumn id="45" xr3:uid="{00000000-0010-0000-0700-00002D000000}" name="F28"/>
    <tableColumn id="46" xr3:uid="{00000000-0010-0000-0700-00002E000000}" name="F29"/>
    <tableColumn id="47" xr3:uid="{00000000-0010-0000-0700-00002F000000}" name="F30"/>
    <tableColumn id="48" xr3:uid="{00000000-0010-0000-0700-000030000000}" name="F31"/>
    <tableColumn id="49" xr3:uid="{00000000-0010-0000-0700-000031000000}" name="F32"/>
    <tableColumn id="50" xr3:uid="{00000000-0010-0000-0700-000032000000}" name="F33"/>
    <tableColumn id="51" xr3:uid="{00000000-0010-0000-0700-000033000000}" name="F34"/>
    <tableColumn id="52" xr3:uid="{00000000-0010-0000-0700-000034000000}" name="F35"/>
    <tableColumn id="53" xr3:uid="{00000000-0010-0000-0700-000035000000}" name="F36"/>
    <tableColumn id="54" xr3:uid="{00000000-0010-0000-0700-000036000000}" name="F37"/>
    <tableColumn id="55" xr3:uid="{00000000-0010-0000-0700-000037000000}" name="F38"/>
    <tableColumn id="56" xr3:uid="{00000000-0010-0000-0700-000038000000}" name="F39"/>
    <tableColumn id="57" xr3:uid="{00000000-0010-0000-0700-000039000000}" name="F40"/>
    <tableColumn id="58" xr3:uid="{00000000-0010-0000-0700-00003A000000}" name="F41"/>
    <tableColumn id="59" xr3:uid="{00000000-0010-0000-0700-00003B000000}" name="F42"/>
    <tableColumn id="60" xr3:uid="{00000000-0010-0000-0700-00003C000000}" name="F43"/>
    <tableColumn id="61" xr3:uid="{00000000-0010-0000-0700-00003D000000}" name="F44"/>
    <tableColumn id="62" xr3:uid="{00000000-0010-0000-0700-00003E000000}" name="F45"/>
    <tableColumn id="63" xr3:uid="{00000000-0010-0000-0700-00003F000000}" name="F46"/>
    <tableColumn id="64" xr3:uid="{00000000-0010-0000-0700-000040000000}" name="F47"/>
    <tableColumn id="65" xr3:uid="{00000000-0010-0000-0700-000041000000}" name="F48"/>
    <tableColumn id="66" xr3:uid="{00000000-0010-0000-0700-000042000000}" name="F49"/>
    <tableColumn id="67" xr3:uid="{00000000-0010-0000-0700-000043000000}" name="CD1_1"/>
    <tableColumn id="68" xr3:uid="{00000000-0010-0000-0700-000044000000}" name="CD1_2"/>
    <tableColumn id="69" xr3:uid="{00000000-0010-0000-0700-000045000000}" name="CD1_3"/>
    <tableColumn id="70" xr3:uid="{00000000-0010-0000-0700-000046000000}" name="CD1_4"/>
    <tableColumn id="71" xr3:uid="{00000000-0010-0000-0700-000047000000}" name="CD1_5"/>
    <tableColumn id="72" xr3:uid="{00000000-0010-0000-0700-000048000000}" name="CD2_1"/>
    <tableColumn id="73" xr3:uid="{00000000-0010-0000-0700-000049000000}" name="CD2_2"/>
    <tableColumn id="74" xr3:uid="{00000000-0010-0000-0700-00004A000000}" name="CD2_3"/>
    <tableColumn id="75" xr3:uid="{00000000-0010-0000-0700-00004B000000}" name="CD2_4"/>
    <tableColumn id="76" xr3:uid="{00000000-0010-0000-0700-00004C000000}" name="CD2_5"/>
    <tableColumn id="77" xr3:uid="{00000000-0010-0000-0700-00004D000000}" name="CD2_6"/>
    <tableColumn id="78" xr3:uid="{00000000-0010-0000-0700-00004E000000}" name="CD2_7"/>
    <tableColumn id="79" xr3:uid="{00000000-0010-0000-0700-00004F000000}" name="CD3_1"/>
    <tableColumn id="80" xr3:uid="{00000000-0010-0000-0700-000050000000}" name="CD3_2"/>
    <tableColumn id="81" xr3:uid="{00000000-0010-0000-0700-000051000000}" name="CD3_3"/>
    <tableColumn id="82" xr3:uid="{00000000-0010-0000-0700-000052000000}" name="CD3_4"/>
    <tableColumn id="83" xr3:uid="{00000000-0010-0000-0700-000053000000}" name="CD3_5"/>
    <tableColumn id="84" xr3:uid="{00000000-0010-0000-0700-000054000000}" name="CD3_6"/>
    <tableColumn id="85" xr3:uid="{00000000-0010-0000-0700-000055000000}" name="CD3_7"/>
    <tableColumn id="86" xr3:uid="{00000000-0010-0000-0700-000056000000}" name="CD4_1"/>
    <tableColumn id="87" xr3:uid="{00000000-0010-0000-0700-000057000000}" name="CD4_2"/>
    <tableColumn id="88" xr3:uid="{00000000-0010-0000-0700-000058000000}" name="CD4_3"/>
    <tableColumn id="89" xr3:uid="{00000000-0010-0000-0700-000059000000}" name="CD4_4"/>
    <tableColumn id="90" xr3:uid="{00000000-0010-0000-0700-00005A000000}" name="CD4_5"/>
    <tableColumn id="91" xr3:uid="{00000000-0010-0000-0700-00005B000000}" name="CD4_6"/>
    <tableColumn id="92" xr3:uid="{00000000-0010-0000-0700-00005C000000}" name="CD4_7"/>
    <tableColumn id="93" xr3:uid="{00000000-0010-0000-0700-00005D000000}" name="CD5_1"/>
    <tableColumn id="94" xr3:uid="{00000000-0010-0000-0700-00005E000000}" name="CD5_2"/>
    <tableColumn id="95" xr3:uid="{00000000-0010-0000-0700-00005F000000}" name="CD5_3"/>
    <tableColumn id="96" xr3:uid="{00000000-0010-0000-0700-000060000000}" name="CD5_4"/>
    <tableColumn id="97" xr3:uid="{00000000-0010-0000-0700-000061000000}" name="CD5_5"/>
    <tableColumn id="98" xr3:uid="{00000000-0010-0000-0700-000062000000}" name="CD5_6"/>
    <tableColumn id="99" xr3:uid="{00000000-0010-0000-0700-000063000000}" name="CD5_7"/>
    <tableColumn id="100" xr3:uid="{00000000-0010-0000-0700-000064000000}" name="CD6_1"/>
    <tableColumn id="101" xr3:uid="{00000000-0010-0000-0700-000065000000}" name="CD6_2"/>
    <tableColumn id="102" xr3:uid="{00000000-0010-0000-0700-000066000000}" name="CD6_3"/>
    <tableColumn id="103" xr3:uid="{00000000-0010-0000-0700-000067000000}" name="CD6_4"/>
    <tableColumn id="104" xr3:uid="{00000000-0010-0000-0700-000068000000}" name="CD6_5"/>
    <tableColumn id="105" xr3:uid="{00000000-0010-0000-0700-000069000000}" name="CD6_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8000000}" name="PuestosRPTFuente" displayName="PuestosRPTFuente" ref="A1:J167">
  <tableColumns count="10">
    <tableColumn id="1" xr3:uid="{00000000-0010-0000-0800-000001000000}" name="id_het"/>
    <tableColumn id="2" xr3:uid="{00000000-0010-0000-0800-000002000000}" name="ambito_funcional"/>
    <tableColumn id="3" xr3:uid="{00000000-0010-0000-0800-000003000000}" name="perfil_competencial"/>
    <tableColumn id="4" xr3:uid="{00000000-0010-0000-0800-000004000000}" name="puesto_actual"/>
    <tableColumn id="5" xr3:uid="{00000000-0010-0000-0800-000005000000}" name="GR"/>
    <tableColumn id="6" xr3:uid="{00000000-0010-0000-0800-000006000000}" name="GR2"/>
    <tableColumn id="7" xr3:uid="{00000000-0010-0000-0800-000007000000}" name="CD"/>
    <tableColumn id="8" xr3:uid="{00000000-0010-0000-0800-000008000000}" name="grupo_subgrupo_normalizado"/>
    <tableColumn id="9" xr3:uid="{00000000-0010-0000-0800-000009000000}" name="patron_base"/>
    <tableColumn id="10" xr3:uid="{00000000-0010-0000-0800-00000A000000}" name="observacion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9000000}" name="ImportesCD2026" displayName="ImportesCD2026" ref="A1:G181">
  <tableColumns count="7">
    <tableColumn id="1" xr3:uid="{00000000-0010-0000-0900-000001000000}" name="año"/>
    <tableColumn id="2" xr3:uid="{00000000-0010-0000-0900-000002000000}" name="grupo_subgrupo"/>
    <tableColumn id="3" xr3:uid="{00000000-0010-0000-0900-000003000000}" name="nivel_cd"/>
    <tableColumn id="4" xr3:uid="{00000000-0010-0000-0900-000004000000}" name="cd_mensual"/>
    <tableColumn id="5" xr3:uid="{00000000-0010-0000-0900-000005000000}" name="cd_anual"/>
    <tableColumn id="6" xr3:uid="{00000000-0010-0000-0900-000006000000}" name="fuente"/>
    <tableColumn id="7" xr3:uid="{00000000-0010-0000-0900-000007000000}" name="observacion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DiferencialesCD2026" displayName="DiferencialesCD2026" ref="A1:G5401">
  <tableColumns count="7">
    <tableColumn id="1" xr3:uid="{00000000-0010-0000-0A00-000001000000}" name="año"/>
    <tableColumn id="2" xr3:uid="{00000000-0010-0000-0A00-000002000000}" name="grupo_subgrupo"/>
    <tableColumn id="3" xr3:uid="{00000000-0010-0000-0A00-000003000000}" name="cd_origen"/>
    <tableColumn id="4" xr3:uid="{00000000-0010-0000-0A00-000004000000}" name="cd_destino"/>
    <tableColumn id="5" xr3:uid="{00000000-0010-0000-0A00-000005000000}" name="importe_origen_anual"/>
    <tableColumn id="6" xr3:uid="{00000000-0010-0000-0A00-000006000000}" name="importe_destino_anual"/>
    <tableColumn id="7" xr3:uid="{00000000-0010-0000-0A00-000007000000}" name="diferencial_anual"/>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E53"/>
  <sheetViews>
    <sheetView topLeftCell="F1" workbookViewId="0">
      <selection activeCell="K11" sqref="K11"/>
    </sheetView>
  </sheetViews>
  <sheetFormatPr baseColWidth="10" defaultRowHeight="14.4" x14ac:dyDescent="0.3"/>
  <cols>
    <col min="5" max="5" width="94.109375" style="40" customWidth="1"/>
    <col min="6" max="24" width="7.6640625" customWidth="1"/>
    <col min="26" max="26" width="14.33203125" customWidth="1"/>
    <col min="27" max="27" width="10.88671875" style="1" customWidth="1"/>
    <col min="29" max="29" width="10.88671875" style="1" customWidth="1"/>
    <col min="31" max="31" width="12.21875" customWidth="1"/>
  </cols>
  <sheetData>
    <row r="3" spans="2:31" ht="9.6" customHeight="1" x14ac:dyDescent="0.3">
      <c r="B3" s="2"/>
      <c r="C3" s="3"/>
      <c r="D3" s="3"/>
      <c r="E3" s="46"/>
      <c r="F3" s="48" t="s">
        <v>0</v>
      </c>
      <c r="G3" s="49" t="s">
        <v>1</v>
      </c>
      <c r="H3" s="49" t="s">
        <v>2</v>
      </c>
      <c r="I3" s="49" t="s">
        <v>3</v>
      </c>
      <c r="J3" s="49" t="s">
        <v>4</v>
      </c>
      <c r="K3" s="49" t="s">
        <v>5</v>
      </c>
      <c r="L3" s="49" t="s">
        <v>6</v>
      </c>
      <c r="M3" s="50" t="s">
        <v>7</v>
      </c>
      <c r="N3" s="49" t="s">
        <v>8</v>
      </c>
      <c r="O3" s="49" t="s">
        <v>9</v>
      </c>
      <c r="P3" s="51" t="s">
        <v>10</v>
      </c>
      <c r="Q3" s="52" t="s">
        <v>11</v>
      </c>
      <c r="R3" s="49" t="s">
        <v>12</v>
      </c>
      <c r="S3" s="52" t="s">
        <v>13</v>
      </c>
      <c r="T3" s="49" t="s">
        <v>14</v>
      </c>
      <c r="U3" s="49" t="s">
        <v>15</v>
      </c>
      <c r="V3" s="49" t="s">
        <v>16</v>
      </c>
      <c r="W3" s="49" t="s">
        <v>17</v>
      </c>
      <c r="X3" s="52" t="s">
        <v>18</v>
      </c>
      <c r="Y3" s="59"/>
      <c r="Z3" s="60"/>
      <c r="AA3" s="60"/>
      <c r="AB3" s="60"/>
      <c r="AC3"/>
    </row>
    <row r="4" spans="2:31" ht="19.2" x14ac:dyDescent="0.3">
      <c r="B4" s="4" t="s">
        <v>19</v>
      </c>
      <c r="C4" s="5" t="s">
        <v>20</v>
      </c>
      <c r="D4" s="5" t="s">
        <v>21</v>
      </c>
      <c r="E4" s="47" t="s">
        <v>22</v>
      </c>
      <c r="F4" s="53">
        <v>14</v>
      </c>
      <c r="G4" s="54">
        <v>15</v>
      </c>
      <c r="H4" s="54">
        <v>16</v>
      </c>
      <c r="I4" s="54">
        <v>17</v>
      </c>
      <c r="J4" s="54">
        <v>18</v>
      </c>
      <c r="K4" s="54">
        <v>19</v>
      </c>
      <c r="L4" s="54">
        <v>20</v>
      </c>
      <c r="M4" s="55">
        <v>21</v>
      </c>
      <c r="N4" s="54">
        <v>21</v>
      </c>
      <c r="O4" s="54">
        <v>22</v>
      </c>
      <c r="P4" s="56">
        <v>23</v>
      </c>
      <c r="Q4" s="57">
        <v>26</v>
      </c>
      <c r="R4" s="54">
        <v>24</v>
      </c>
      <c r="S4" s="57">
        <v>25</v>
      </c>
      <c r="T4" s="54">
        <v>26</v>
      </c>
      <c r="U4" s="54">
        <v>27</v>
      </c>
      <c r="V4" s="54">
        <v>28</v>
      </c>
      <c r="W4" s="54">
        <v>29</v>
      </c>
      <c r="X4" s="57">
        <v>30</v>
      </c>
      <c r="Y4" s="58" t="s">
        <v>23</v>
      </c>
      <c r="Z4" s="58" t="s">
        <v>24</v>
      </c>
      <c r="AA4" s="58" t="s">
        <v>25</v>
      </c>
      <c r="AB4" s="58" t="s">
        <v>26</v>
      </c>
      <c r="AC4"/>
    </row>
    <row r="5" spans="2:31" ht="19.2" customHeight="1" x14ac:dyDescent="0.3">
      <c r="B5" s="6" t="s">
        <v>27</v>
      </c>
      <c r="C5" s="7" t="s">
        <v>28</v>
      </c>
      <c r="D5" s="8" t="s">
        <v>29</v>
      </c>
      <c r="E5" s="41" t="s">
        <v>30</v>
      </c>
      <c r="F5" s="9">
        <v>0</v>
      </c>
      <c r="G5" s="9">
        <v>0</v>
      </c>
      <c r="H5" s="9">
        <v>0</v>
      </c>
      <c r="I5" s="9">
        <v>0</v>
      </c>
      <c r="J5" s="9">
        <v>0</v>
      </c>
      <c r="K5" s="9">
        <v>0</v>
      </c>
      <c r="L5" s="9">
        <v>0</v>
      </c>
      <c r="M5" s="10">
        <v>0</v>
      </c>
      <c r="N5" s="9">
        <v>0</v>
      </c>
      <c r="O5" s="9">
        <v>0</v>
      </c>
      <c r="P5" s="11">
        <v>0</v>
      </c>
      <c r="Q5" s="12">
        <v>0</v>
      </c>
      <c r="R5" s="9">
        <v>0</v>
      </c>
      <c r="S5" s="12">
        <v>0</v>
      </c>
      <c r="T5" s="9">
        <v>0</v>
      </c>
      <c r="U5" s="9">
        <v>0</v>
      </c>
      <c r="V5" s="9">
        <v>0</v>
      </c>
      <c r="W5" s="9">
        <v>0</v>
      </c>
      <c r="X5" s="13">
        <v>1</v>
      </c>
      <c r="Y5" s="14">
        <f>COUNTIF(F5:X5,"&gt;0")</f>
        <v>1</v>
      </c>
      <c r="Z5" s="14">
        <f>AVERAGEIF(F5:X5,"&gt;0", $F$4:$X$4)</f>
        <v>30</v>
      </c>
      <c r="AA5" s="22">
        <f t="array" ref="AA5">MAX(IF(F5:X5 &gt; 0, $F$4:$X$4)) - MIN(IF(F5:X5 &gt; 0, $F$4:$X$4))</f>
        <v>0</v>
      </c>
      <c r="AB5" s="14" t="s">
        <v>31</v>
      </c>
      <c r="AC5"/>
      <c r="AD5">
        <f t="shared" ref="AD5:AD53" si="0">LOG10(13/SUM(F5:X5))+1</f>
        <v>2.1139433523068369</v>
      </c>
    </row>
    <row r="6" spans="2:31" ht="19.2" customHeight="1" x14ac:dyDescent="0.3">
      <c r="B6" s="6" t="s">
        <v>32</v>
      </c>
      <c r="C6" s="15" t="s">
        <v>33</v>
      </c>
      <c r="D6" s="16" t="s">
        <v>34</v>
      </c>
      <c r="E6" s="42" t="s">
        <v>35</v>
      </c>
      <c r="F6" s="17">
        <v>0</v>
      </c>
      <c r="G6" s="17">
        <v>0</v>
      </c>
      <c r="H6" s="17">
        <v>0</v>
      </c>
      <c r="I6" s="17">
        <v>0</v>
      </c>
      <c r="J6" s="17">
        <v>0</v>
      </c>
      <c r="K6" s="17">
        <v>0</v>
      </c>
      <c r="L6" s="17">
        <v>0</v>
      </c>
      <c r="M6" s="18">
        <v>0</v>
      </c>
      <c r="N6" s="17">
        <v>0</v>
      </c>
      <c r="O6" s="17">
        <v>0</v>
      </c>
      <c r="P6" s="19">
        <v>0</v>
      </c>
      <c r="Q6" s="20">
        <v>0</v>
      </c>
      <c r="R6" s="17">
        <v>0</v>
      </c>
      <c r="S6" s="20">
        <v>0</v>
      </c>
      <c r="T6" s="17">
        <v>0</v>
      </c>
      <c r="U6" s="17">
        <v>0</v>
      </c>
      <c r="V6" s="17">
        <v>0</v>
      </c>
      <c r="W6" s="21">
        <v>1</v>
      </c>
      <c r="X6" s="13">
        <v>1</v>
      </c>
      <c r="Y6" s="22">
        <f t="shared" ref="Y6:Y53" si="1">COUNTIF(F6:X6,"&gt;0")</f>
        <v>2</v>
      </c>
      <c r="Z6" s="23">
        <f>AVERAGEIF(F6:X6,"&gt;0", $F$4:$X$4)</f>
        <v>29.5</v>
      </c>
      <c r="AA6" s="22">
        <f t="array" ref="AA6">MAX(IF(F6:X6 &gt; 0, $F$4:$X$4)) - MIN(IF(F6:X6 &gt; 0, $F$4:$X$4))</f>
        <v>1</v>
      </c>
      <c r="AB6" s="22" t="s">
        <v>31</v>
      </c>
      <c r="AC6"/>
      <c r="AD6">
        <f t="shared" si="0"/>
        <v>1.8129133566428557</v>
      </c>
      <c r="AE6">
        <f t="shared" ref="AE6:AE53" si="2">AC6*AD6</f>
        <v>0</v>
      </c>
    </row>
    <row r="7" spans="2:31" ht="19.2" customHeight="1" x14ac:dyDescent="0.3">
      <c r="B7" s="6" t="s">
        <v>36</v>
      </c>
      <c r="C7" s="7" t="s">
        <v>37</v>
      </c>
      <c r="D7" s="8" t="s">
        <v>29</v>
      </c>
      <c r="E7" s="41" t="s">
        <v>38</v>
      </c>
      <c r="F7" s="9">
        <v>0</v>
      </c>
      <c r="G7" s="9">
        <v>0</v>
      </c>
      <c r="H7" s="9">
        <v>0</v>
      </c>
      <c r="I7" s="9">
        <v>0</v>
      </c>
      <c r="J7" s="9">
        <v>0</v>
      </c>
      <c r="K7" s="9">
        <v>0</v>
      </c>
      <c r="L7" s="9">
        <v>0</v>
      </c>
      <c r="M7" s="10">
        <v>0</v>
      </c>
      <c r="N7" s="9">
        <v>0</v>
      </c>
      <c r="O7" s="9">
        <v>0</v>
      </c>
      <c r="P7" s="11">
        <v>0</v>
      </c>
      <c r="Q7" s="12">
        <v>0</v>
      </c>
      <c r="R7" s="9">
        <v>0</v>
      </c>
      <c r="S7" s="12">
        <v>0</v>
      </c>
      <c r="T7" s="9">
        <v>0</v>
      </c>
      <c r="U7" s="9">
        <v>0</v>
      </c>
      <c r="V7" s="9">
        <v>0</v>
      </c>
      <c r="W7" s="21">
        <v>1</v>
      </c>
      <c r="X7" s="13">
        <v>1</v>
      </c>
      <c r="Y7" s="24">
        <f t="shared" si="1"/>
        <v>2</v>
      </c>
      <c r="Z7" s="25">
        <f t="shared" ref="Z7:Z53" si="3">AVERAGEIF(F7:X7, "&gt;0", $F$4:$X$4)</f>
        <v>29.5</v>
      </c>
      <c r="AA7" s="24">
        <f t="array" ref="AA7">MAX(IF(F7:X7 &gt; 0, $F$4:$X$4)) - MIN(IF(F7:X7 &gt; 0, $F$4:$X$4))</f>
        <v>1</v>
      </c>
      <c r="AB7" s="24" t="s">
        <v>39</v>
      </c>
      <c r="AC7"/>
      <c r="AD7">
        <f t="shared" si="0"/>
        <v>1.8129133566428557</v>
      </c>
      <c r="AE7">
        <f t="shared" si="2"/>
        <v>0</v>
      </c>
    </row>
    <row r="8" spans="2:31" ht="19.2" customHeight="1" x14ac:dyDescent="0.3">
      <c r="B8" s="6" t="s">
        <v>40</v>
      </c>
      <c r="C8" s="15" t="s">
        <v>41</v>
      </c>
      <c r="D8" s="16" t="s">
        <v>29</v>
      </c>
      <c r="E8" s="42" t="s">
        <v>42</v>
      </c>
      <c r="F8" s="17">
        <v>0</v>
      </c>
      <c r="G8" s="17">
        <v>0</v>
      </c>
      <c r="H8" s="17">
        <v>0</v>
      </c>
      <c r="I8" s="17">
        <v>0</v>
      </c>
      <c r="J8" s="17">
        <v>0</v>
      </c>
      <c r="K8" s="17">
        <v>0</v>
      </c>
      <c r="L8" s="17">
        <v>0</v>
      </c>
      <c r="M8" s="18">
        <v>0</v>
      </c>
      <c r="N8" s="17">
        <v>0</v>
      </c>
      <c r="O8" s="17">
        <v>0</v>
      </c>
      <c r="P8" s="19">
        <v>0</v>
      </c>
      <c r="Q8" s="20">
        <v>0</v>
      </c>
      <c r="R8" s="17">
        <v>0</v>
      </c>
      <c r="S8" s="20">
        <v>0</v>
      </c>
      <c r="T8" s="17">
        <v>0</v>
      </c>
      <c r="U8" s="17">
        <v>0</v>
      </c>
      <c r="V8" s="17">
        <v>0</v>
      </c>
      <c r="W8" s="21">
        <v>1</v>
      </c>
      <c r="X8" s="13">
        <v>1</v>
      </c>
      <c r="Y8" s="22">
        <f t="shared" si="1"/>
        <v>2</v>
      </c>
      <c r="Z8" s="23">
        <f t="shared" si="3"/>
        <v>29.5</v>
      </c>
      <c r="AA8" s="22">
        <f t="array" ref="AA8">MAX(IF(F8:X8 &gt; 0, $F$4:$X$4)) - MIN(IF(F8:X8 &gt; 0, $F$4:$X$4))</f>
        <v>1</v>
      </c>
      <c r="AB8" s="22" t="s">
        <v>39</v>
      </c>
      <c r="AC8"/>
      <c r="AD8">
        <f t="shared" si="0"/>
        <v>1.8129133566428557</v>
      </c>
      <c r="AE8">
        <f t="shared" si="2"/>
        <v>0</v>
      </c>
    </row>
    <row r="9" spans="2:31" ht="19.2" customHeight="1" x14ac:dyDescent="0.3">
      <c r="B9" s="6" t="s">
        <v>43</v>
      </c>
      <c r="C9" s="7" t="s">
        <v>44</v>
      </c>
      <c r="D9" s="8" t="s">
        <v>29</v>
      </c>
      <c r="E9" s="41" t="s">
        <v>45</v>
      </c>
      <c r="F9" s="9">
        <v>0</v>
      </c>
      <c r="G9" s="9">
        <v>0</v>
      </c>
      <c r="H9" s="9">
        <v>0</v>
      </c>
      <c r="I9" s="9">
        <v>0</v>
      </c>
      <c r="J9" s="9">
        <v>0</v>
      </c>
      <c r="K9" s="9">
        <v>0</v>
      </c>
      <c r="L9" s="9">
        <v>0</v>
      </c>
      <c r="M9" s="10">
        <v>0</v>
      </c>
      <c r="N9" s="9">
        <v>0</v>
      </c>
      <c r="O9" s="9">
        <v>0</v>
      </c>
      <c r="P9" s="11">
        <v>0</v>
      </c>
      <c r="Q9" s="12">
        <v>0</v>
      </c>
      <c r="R9" s="9">
        <v>0</v>
      </c>
      <c r="S9" s="12">
        <v>0</v>
      </c>
      <c r="T9" s="9">
        <v>0</v>
      </c>
      <c r="U9" s="9">
        <v>0</v>
      </c>
      <c r="V9" s="21">
        <v>1</v>
      </c>
      <c r="W9" s="21">
        <v>1</v>
      </c>
      <c r="X9" s="13">
        <v>1</v>
      </c>
      <c r="Y9" s="24">
        <f t="shared" si="1"/>
        <v>3</v>
      </c>
      <c r="Z9" s="25">
        <f t="shared" si="3"/>
        <v>29</v>
      </c>
      <c r="AA9" s="24">
        <f t="array" ref="AA9">MAX(IF(F9:X9 &gt; 0, $F$4:$X$4)) - MIN(IF(F9:X9 &gt; 0, $F$4:$X$4))</f>
        <v>2</v>
      </c>
      <c r="AB9" s="24" t="s">
        <v>31</v>
      </c>
      <c r="AC9"/>
      <c r="AD9">
        <f t="shared" si="0"/>
        <v>1.6368220975871743</v>
      </c>
      <c r="AE9">
        <f t="shared" si="2"/>
        <v>0</v>
      </c>
    </row>
    <row r="10" spans="2:31" ht="19.2" customHeight="1" x14ac:dyDescent="0.3">
      <c r="B10" s="6" t="s">
        <v>46</v>
      </c>
      <c r="C10" s="15" t="s">
        <v>47</v>
      </c>
      <c r="D10" s="16" t="s">
        <v>48</v>
      </c>
      <c r="E10" s="42" t="s">
        <v>49</v>
      </c>
      <c r="F10" s="17">
        <v>0</v>
      </c>
      <c r="G10" s="17">
        <v>0</v>
      </c>
      <c r="H10" s="17">
        <v>0</v>
      </c>
      <c r="I10" s="17">
        <v>0</v>
      </c>
      <c r="J10" s="17">
        <v>0</v>
      </c>
      <c r="K10" s="17">
        <v>0</v>
      </c>
      <c r="L10" s="17">
        <v>0</v>
      </c>
      <c r="M10" s="18">
        <v>0</v>
      </c>
      <c r="N10" s="17">
        <v>0</v>
      </c>
      <c r="O10" s="17">
        <v>0</v>
      </c>
      <c r="P10" s="19">
        <v>0</v>
      </c>
      <c r="Q10" s="20">
        <v>0</v>
      </c>
      <c r="R10" s="17">
        <v>0</v>
      </c>
      <c r="S10" s="20">
        <v>0</v>
      </c>
      <c r="T10" s="21">
        <v>1</v>
      </c>
      <c r="U10" s="21">
        <v>1</v>
      </c>
      <c r="V10" s="21">
        <v>1</v>
      </c>
      <c r="W10" s="21">
        <v>1</v>
      </c>
      <c r="X10" s="13">
        <v>1</v>
      </c>
      <c r="Y10" s="22">
        <f t="shared" si="1"/>
        <v>5</v>
      </c>
      <c r="Z10" s="23">
        <f t="shared" si="3"/>
        <v>28</v>
      </c>
      <c r="AA10" s="22">
        <f t="array" ref="AA10">MAX(IF(F10:X10 &gt; 0, $F$4:$X$4)) - MIN(IF(F10:X10 &gt; 0, $F$4:$X$4))</f>
        <v>4</v>
      </c>
      <c r="AB10" s="22" t="s">
        <v>31</v>
      </c>
      <c r="AC10"/>
      <c r="AD10">
        <f t="shared" si="0"/>
        <v>1.414973347970818</v>
      </c>
      <c r="AE10">
        <f t="shared" si="2"/>
        <v>0</v>
      </c>
    </row>
    <row r="11" spans="2:31" ht="19.2" customHeight="1" x14ac:dyDescent="0.3">
      <c r="B11" s="6" t="s">
        <v>50</v>
      </c>
      <c r="C11" s="7" t="s">
        <v>51</v>
      </c>
      <c r="D11" s="8" t="s">
        <v>29</v>
      </c>
      <c r="E11" s="41" t="s">
        <v>52</v>
      </c>
      <c r="F11" s="9">
        <v>0</v>
      </c>
      <c r="G11" s="9">
        <v>0</v>
      </c>
      <c r="H11" s="9">
        <v>0</v>
      </c>
      <c r="I11" s="9">
        <v>0</v>
      </c>
      <c r="J11" s="9">
        <v>0</v>
      </c>
      <c r="K11" s="9">
        <v>0</v>
      </c>
      <c r="L11" s="9">
        <v>0</v>
      </c>
      <c r="M11" s="10">
        <v>0</v>
      </c>
      <c r="N11" s="9">
        <v>0</v>
      </c>
      <c r="O11" s="9">
        <v>0</v>
      </c>
      <c r="P11" s="11">
        <v>0</v>
      </c>
      <c r="Q11" s="12">
        <v>0</v>
      </c>
      <c r="R11" s="9">
        <v>0</v>
      </c>
      <c r="S11" s="12">
        <v>0</v>
      </c>
      <c r="T11" s="9">
        <v>0</v>
      </c>
      <c r="U11" s="9">
        <v>0</v>
      </c>
      <c r="V11" s="21">
        <v>1</v>
      </c>
      <c r="W11" s="21">
        <v>1</v>
      </c>
      <c r="X11" s="13">
        <v>1</v>
      </c>
      <c r="Y11" s="24">
        <f t="shared" si="1"/>
        <v>3</v>
      </c>
      <c r="Z11" s="25">
        <f t="shared" si="3"/>
        <v>29</v>
      </c>
      <c r="AA11" s="24">
        <f t="array" ref="AA11">MAX(IF(F11:X11 &gt; 0, $F$4:$X$4)) - MIN(IF(F11:X11 &gt; 0, $F$4:$X$4))</f>
        <v>2</v>
      </c>
      <c r="AB11" s="24" t="s">
        <v>31</v>
      </c>
      <c r="AC11"/>
      <c r="AD11">
        <f t="shared" si="0"/>
        <v>1.6368220975871743</v>
      </c>
      <c r="AE11">
        <f t="shared" si="2"/>
        <v>0</v>
      </c>
    </row>
    <row r="12" spans="2:31" ht="19.2" customHeight="1" x14ac:dyDescent="0.3">
      <c r="B12" s="6" t="s">
        <v>53</v>
      </c>
      <c r="C12" s="15" t="s">
        <v>54</v>
      </c>
      <c r="D12" s="16" t="s">
        <v>29</v>
      </c>
      <c r="E12" s="42" t="s">
        <v>55</v>
      </c>
      <c r="F12" s="17">
        <v>0</v>
      </c>
      <c r="G12" s="17">
        <v>0</v>
      </c>
      <c r="H12" s="17">
        <v>0</v>
      </c>
      <c r="I12" s="17">
        <v>0</v>
      </c>
      <c r="J12" s="17">
        <v>0</v>
      </c>
      <c r="K12" s="17">
        <v>0</v>
      </c>
      <c r="L12" s="17">
        <v>0</v>
      </c>
      <c r="M12" s="18">
        <v>0</v>
      </c>
      <c r="N12" s="17">
        <v>0</v>
      </c>
      <c r="O12" s="17">
        <v>0</v>
      </c>
      <c r="P12" s="19">
        <v>0</v>
      </c>
      <c r="Q12" s="20">
        <v>0</v>
      </c>
      <c r="R12" s="17">
        <v>0</v>
      </c>
      <c r="S12" s="20">
        <v>0</v>
      </c>
      <c r="T12" s="17">
        <v>0</v>
      </c>
      <c r="U12" s="17">
        <v>0</v>
      </c>
      <c r="V12" s="21">
        <v>1</v>
      </c>
      <c r="W12" s="21">
        <v>1</v>
      </c>
      <c r="X12" s="13">
        <v>1</v>
      </c>
      <c r="Y12" s="22">
        <f t="shared" si="1"/>
        <v>3</v>
      </c>
      <c r="Z12" s="23">
        <f t="shared" si="3"/>
        <v>29</v>
      </c>
      <c r="AA12" s="22">
        <f t="array" ref="AA12">MAX(IF(F12:X12 &gt; 0, $F$4:$X$4)) - MIN(IF(F12:X12 &gt; 0, $F$4:$X$4))</f>
        <v>2</v>
      </c>
      <c r="AB12" s="22" t="s">
        <v>39</v>
      </c>
      <c r="AC12"/>
      <c r="AD12">
        <f t="shared" si="0"/>
        <v>1.6368220975871743</v>
      </c>
      <c r="AE12">
        <f t="shared" si="2"/>
        <v>0</v>
      </c>
    </row>
    <row r="13" spans="2:31" ht="19.2" customHeight="1" x14ac:dyDescent="0.3">
      <c r="B13" s="6" t="s">
        <v>56</v>
      </c>
      <c r="C13" s="7" t="s">
        <v>57</v>
      </c>
      <c r="D13" s="8" t="s">
        <v>58</v>
      </c>
      <c r="E13" s="41" t="s">
        <v>59</v>
      </c>
      <c r="F13" s="9">
        <v>0</v>
      </c>
      <c r="G13" s="9">
        <v>0</v>
      </c>
      <c r="H13" s="9">
        <v>0</v>
      </c>
      <c r="I13" s="9">
        <v>0</v>
      </c>
      <c r="J13" s="9">
        <v>0</v>
      </c>
      <c r="K13" s="9">
        <v>0</v>
      </c>
      <c r="L13" s="9">
        <v>0</v>
      </c>
      <c r="M13" s="10">
        <v>0</v>
      </c>
      <c r="N13" s="9">
        <v>0</v>
      </c>
      <c r="O13" s="9">
        <v>0</v>
      </c>
      <c r="P13" s="11">
        <v>0</v>
      </c>
      <c r="Q13" s="12">
        <v>0</v>
      </c>
      <c r="R13" s="9">
        <v>0</v>
      </c>
      <c r="S13" s="12">
        <v>0</v>
      </c>
      <c r="T13" s="9">
        <v>0</v>
      </c>
      <c r="U13" s="9">
        <v>0</v>
      </c>
      <c r="V13" s="21">
        <v>1</v>
      </c>
      <c r="W13" s="21">
        <v>1</v>
      </c>
      <c r="X13" s="13">
        <v>1</v>
      </c>
      <c r="Y13" s="24">
        <f t="shared" si="1"/>
        <v>3</v>
      </c>
      <c r="Z13" s="25">
        <f t="shared" si="3"/>
        <v>29</v>
      </c>
      <c r="AA13" s="24">
        <f t="array" ref="AA13">MAX(IF(F13:X13 &gt; 0, $F$4:$X$4)) - MIN(IF(F13:X13 &gt; 0, $F$4:$X$4))</f>
        <v>2</v>
      </c>
      <c r="AB13" s="24" t="s">
        <v>39</v>
      </c>
      <c r="AC13"/>
      <c r="AD13">
        <f t="shared" si="0"/>
        <v>1.6368220975871743</v>
      </c>
      <c r="AE13">
        <f t="shared" si="2"/>
        <v>0</v>
      </c>
    </row>
    <row r="14" spans="2:31" ht="19.2" customHeight="1" x14ac:dyDescent="0.3">
      <c r="B14" s="6" t="s">
        <v>60</v>
      </c>
      <c r="C14" s="15" t="s">
        <v>61</v>
      </c>
      <c r="D14" s="16" t="s">
        <v>34</v>
      </c>
      <c r="E14" s="42" t="s">
        <v>62</v>
      </c>
      <c r="F14" s="17">
        <v>0</v>
      </c>
      <c r="G14" s="17">
        <v>0</v>
      </c>
      <c r="H14" s="17">
        <v>0</v>
      </c>
      <c r="I14" s="17">
        <v>0</v>
      </c>
      <c r="J14" s="17">
        <v>0</v>
      </c>
      <c r="K14" s="17">
        <v>0</v>
      </c>
      <c r="L14" s="17">
        <v>0</v>
      </c>
      <c r="M14" s="18">
        <v>0</v>
      </c>
      <c r="N14" s="17">
        <v>0</v>
      </c>
      <c r="O14" s="17">
        <v>0</v>
      </c>
      <c r="P14" s="19">
        <v>0</v>
      </c>
      <c r="Q14" s="20">
        <v>0</v>
      </c>
      <c r="R14" s="17">
        <v>0</v>
      </c>
      <c r="S14" s="20">
        <v>0</v>
      </c>
      <c r="T14" s="21">
        <v>1</v>
      </c>
      <c r="U14" s="21">
        <v>1</v>
      </c>
      <c r="V14" s="21">
        <v>1</v>
      </c>
      <c r="W14" s="21">
        <v>1</v>
      </c>
      <c r="X14" s="13">
        <v>1</v>
      </c>
      <c r="Y14" s="22">
        <f t="shared" si="1"/>
        <v>5</v>
      </c>
      <c r="Z14" s="23">
        <f t="shared" si="3"/>
        <v>28</v>
      </c>
      <c r="AA14" s="22">
        <f t="array" ref="AA14">MAX(IF(F14:X14 &gt; 0, $F$4:$X$4)) - MIN(IF(F14:X14 &gt; 0, $F$4:$X$4))</f>
        <v>4</v>
      </c>
      <c r="AB14" s="22" t="s">
        <v>31</v>
      </c>
      <c r="AC14"/>
      <c r="AD14">
        <f t="shared" si="0"/>
        <v>1.414973347970818</v>
      </c>
      <c r="AE14">
        <f t="shared" si="2"/>
        <v>0</v>
      </c>
    </row>
    <row r="15" spans="2:31" ht="19.2" customHeight="1" x14ac:dyDescent="0.3">
      <c r="B15" s="6" t="s">
        <v>63</v>
      </c>
      <c r="C15" s="7" t="s">
        <v>64</v>
      </c>
      <c r="D15" s="8" t="s">
        <v>58</v>
      </c>
      <c r="E15" s="41" t="s">
        <v>65</v>
      </c>
      <c r="F15" s="9">
        <v>0</v>
      </c>
      <c r="G15" s="9">
        <v>0</v>
      </c>
      <c r="H15" s="9">
        <v>0</v>
      </c>
      <c r="I15" s="9">
        <v>0</v>
      </c>
      <c r="J15" s="9">
        <v>0</v>
      </c>
      <c r="K15" s="9">
        <v>0</v>
      </c>
      <c r="L15" s="9">
        <v>0</v>
      </c>
      <c r="M15" s="10">
        <v>0</v>
      </c>
      <c r="N15" s="9">
        <v>0</v>
      </c>
      <c r="O15" s="9">
        <v>0</v>
      </c>
      <c r="P15" s="11">
        <v>0</v>
      </c>
      <c r="Q15" s="13">
        <v>1</v>
      </c>
      <c r="R15" s="9">
        <v>0</v>
      </c>
      <c r="S15" s="12">
        <v>0</v>
      </c>
      <c r="T15" s="21">
        <v>1</v>
      </c>
      <c r="U15" s="21">
        <v>1</v>
      </c>
      <c r="V15" s="21">
        <v>1</v>
      </c>
      <c r="W15" s="21">
        <v>1</v>
      </c>
      <c r="X15" s="13">
        <v>1</v>
      </c>
      <c r="Y15" s="24">
        <f t="shared" si="1"/>
        <v>6</v>
      </c>
      <c r="Z15" s="25">
        <f t="shared" si="3"/>
        <v>27.666666666666668</v>
      </c>
      <c r="AA15" s="24">
        <f t="array" ref="AA15">MAX(IF(F15:X15 &gt; 0, $F$4:$X$4)) - MIN(IF(F15:X15 &gt; 0, $F$4:$X$4))</f>
        <v>4</v>
      </c>
      <c r="AB15" s="24" t="s">
        <v>66</v>
      </c>
      <c r="AC15"/>
      <c r="AD15">
        <f t="shared" si="0"/>
        <v>1.3357921019231931</v>
      </c>
      <c r="AE15">
        <f t="shared" si="2"/>
        <v>0</v>
      </c>
    </row>
    <row r="16" spans="2:31" ht="19.2" customHeight="1" x14ac:dyDescent="0.3">
      <c r="B16" s="6" t="s">
        <v>67</v>
      </c>
      <c r="C16" s="15" t="s">
        <v>68</v>
      </c>
      <c r="D16" s="16" t="s">
        <v>29</v>
      </c>
      <c r="E16" s="42" t="s">
        <v>69</v>
      </c>
      <c r="F16" s="17">
        <v>0</v>
      </c>
      <c r="G16" s="17">
        <v>0</v>
      </c>
      <c r="H16" s="17">
        <v>0</v>
      </c>
      <c r="I16" s="17">
        <v>0</v>
      </c>
      <c r="J16" s="17">
        <v>0</v>
      </c>
      <c r="K16" s="17">
        <v>0</v>
      </c>
      <c r="L16" s="17">
        <v>0</v>
      </c>
      <c r="M16" s="18">
        <v>0</v>
      </c>
      <c r="N16" s="17">
        <v>0</v>
      </c>
      <c r="O16" s="17">
        <v>0</v>
      </c>
      <c r="P16" s="19">
        <v>0</v>
      </c>
      <c r="Q16" s="20">
        <v>0</v>
      </c>
      <c r="R16" s="17">
        <v>0</v>
      </c>
      <c r="S16" s="20">
        <v>0</v>
      </c>
      <c r="T16" s="17">
        <v>0</v>
      </c>
      <c r="U16" s="17">
        <v>0</v>
      </c>
      <c r="V16" s="21">
        <v>1</v>
      </c>
      <c r="W16" s="21">
        <v>1</v>
      </c>
      <c r="X16" s="13">
        <v>1</v>
      </c>
      <c r="Y16" s="22">
        <f t="shared" si="1"/>
        <v>3</v>
      </c>
      <c r="Z16" s="23">
        <f t="shared" si="3"/>
        <v>29</v>
      </c>
      <c r="AA16" s="22">
        <f t="array" ref="AA16">MAX(IF(F16:X16 &gt; 0, $F$4:$X$4)) - MIN(IF(F16:X16 &gt; 0, $F$4:$X$4))</f>
        <v>2</v>
      </c>
      <c r="AB16" s="22" t="s">
        <v>31</v>
      </c>
      <c r="AC16"/>
      <c r="AD16">
        <f t="shared" si="0"/>
        <v>1.6368220975871743</v>
      </c>
      <c r="AE16">
        <f t="shared" si="2"/>
        <v>0</v>
      </c>
    </row>
    <row r="17" spans="2:31" ht="19.2" customHeight="1" x14ac:dyDescent="0.3">
      <c r="B17" s="6" t="s">
        <v>70</v>
      </c>
      <c r="C17" s="7" t="s">
        <v>71</v>
      </c>
      <c r="D17" s="8" t="s">
        <v>48</v>
      </c>
      <c r="E17" s="41" t="s">
        <v>72</v>
      </c>
      <c r="F17" s="9">
        <v>0</v>
      </c>
      <c r="G17" s="9">
        <v>0</v>
      </c>
      <c r="H17" s="9">
        <v>0</v>
      </c>
      <c r="I17" s="9">
        <v>0</v>
      </c>
      <c r="J17" s="9">
        <v>0</v>
      </c>
      <c r="K17" s="9">
        <v>0</v>
      </c>
      <c r="L17" s="9">
        <v>0</v>
      </c>
      <c r="M17" s="10">
        <v>0</v>
      </c>
      <c r="N17" s="9">
        <v>0</v>
      </c>
      <c r="O17" s="9">
        <v>0</v>
      </c>
      <c r="P17" s="11">
        <v>0</v>
      </c>
      <c r="Q17" s="12">
        <v>0</v>
      </c>
      <c r="R17" s="9">
        <v>0</v>
      </c>
      <c r="S17" s="12">
        <v>0</v>
      </c>
      <c r="T17" s="21">
        <v>1</v>
      </c>
      <c r="U17" s="21">
        <v>1</v>
      </c>
      <c r="V17" s="21">
        <v>1</v>
      </c>
      <c r="W17" s="21">
        <v>1</v>
      </c>
      <c r="X17" s="13">
        <v>1</v>
      </c>
      <c r="Y17" s="24">
        <f t="shared" si="1"/>
        <v>5</v>
      </c>
      <c r="Z17" s="25">
        <f t="shared" si="3"/>
        <v>28</v>
      </c>
      <c r="AA17" s="24">
        <f t="array" ref="AA17">MAX(IF(F17:X17 &gt; 0, $F$4:$X$4)) - MIN(IF(F17:X17 &gt; 0, $F$4:$X$4))</f>
        <v>4</v>
      </c>
      <c r="AB17" s="24" t="s">
        <v>39</v>
      </c>
      <c r="AC17"/>
      <c r="AD17">
        <f t="shared" si="0"/>
        <v>1.414973347970818</v>
      </c>
      <c r="AE17">
        <f t="shared" si="2"/>
        <v>0</v>
      </c>
    </row>
    <row r="18" spans="2:31" ht="19.2" customHeight="1" x14ac:dyDescent="0.3">
      <c r="B18" s="6" t="s">
        <v>73</v>
      </c>
      <c r="C18" s="15" t="s">
        <v>74</v>
      </c>
      <c r="D18" s="16" t="s">
        <v>34</v>
      </c>
      <c r="E18" s="42" t="s">
        <v>75</v>
      </c>
      <c r="F18" s="17">
        <v>0</v>
      </c>
      <c r="G18" s="17">
        <v>0</v>
      </c>
      <c r="H18" s="17">
        <v>0</v>
      </c>
      <c r="I18" s="17">
        <v>0</v>
      </c>
      <c r="J18" s="17">
        <v>0</v>
      </c>
      <c r="K18" s="17">
        <v>0</v>
      </c>
      <c r="L18" s="17">
        <v>0</v>
      </c>
      <c r="M18" s="18">
        <v>0</v>
      </c>
      <c r="N18" s="17">
        <v>0</v>
      </c>
      <c r="O18" s="17">
        <v>0</v>
      </c>
      <c r="P18" s="19">
        <v>0</v>
      </c>
      <c r="Q18" s="13">
        <v>1</v>
      </c>
      <c r="R18" s="17">
        <v>0</v>
      </c>
      <c r="S18" s="20">
        <v>0</v>
      </c>
      <c r="T18" s="21">
        <v>1</v>
      </c>
      <c r="U18" s="21">
        <v>1</v>
      </c>
      <c r="V18" s="21">
        <v>1</v>
      </c>
      <c r="W18" s="21">
        <v>1</v>
      </c>
      <c r="X18" s="13">
        <v>1</v>
      </c>
      <c r="Y18" s="22">
        <f t="shared" si="1"/>
        <v>6</v>
      </c>
      <c r="Z18" s="23">
        <f t="shared" si="3"/>
        <v>27.666666666666668</v>
      </c>
      <c r="AA18" s="22">
        <f t="array" ref="AA18">MAX(IF(F18:X18 &gt; 0, $F$4:$X$4)) - MIN(IF(F18:X18 &gt; 0, $F$4:$X$4))</f>
        <v>4</v>
      </c>
      <c r="AB18" s="22" t="s">
        <v>66</v>
      </c>
      <c r="AC18"/>
      <c r="AD18">
        <f t="shared" si="0"/>
        <v>1.3357921019231931</v>
      </c>
      <c r="AE18">
        <f t="shared" si="2"/>
        <v>0</v>
      </c>
    </row>
    <row r="19" spans="2:31" ht="19.2" customHeight="1" x14ac:dyDescent="0.3">
      <c r="B19" s="6" t="s">
        <v>76</v>
      </c>
      <c r="C19" s="7" t="s">
        <v>77</v>
      </c>
      <c r="D19" s="8" t="s">
        <v>58</v>
      </c>
      <c r="E19" s="41" t="s">
        <v>78</v>
      </c>
      <c r="F19" s="9">
        <v>0</v>
      </c>
      <c r="G19" s="9">
        <v>0</v>
      </c>
      <c r="H19" s="9">
        <v>0</v>
      </c>
      <c r="I19" s="9">
        <v>0</v>
      </c>
      <c r="J19" s="9">
        <v>0</v>
      </c>
      <c r="K19" s="9">
        <v>0</v>
      </c>
      <c r="L19" s="9">
        <v>0</v>
      </c>
      <c r="M19" s="10">
        <v>0</v>
      </c>
      <c r="N19" s="9">
        <v>0</v>
      </c>
      <c r="O19" s="9">
        <v>0</v>
      </c>
      <c r="P19" s="11">
        <v>0</v>
      </c>
      <c r="Q19" s="12">
        <v>0</v>
      </c>
      <c r="R19" s="9">
        <v>0</v>
      </c>
      <c r="S19" s="12">
        <v>0</v>
      </c>
      <c r="T19" s="9">
        <v>0</v>
      </c>
      <c r="U19" s="9">
        <v>0</v>
      </c>
      <c r="V19" s="21">
        <v>1</v>
      </c>
      <c r="W19" s="26">
        <v>0</v>
      </c>
      <c r="X19" s="12">
        <v>0</v>
      </c>
      <c r="Y19" s="24">
        <f t="shared" si="1"/>
        <v>1</v>
      </c>
      <c r="Z19" s="25">
        <f t="shared" si="3"/>
        <v>28</v>
      </c>
      <c r="AA19" s="24">
        <f t="array" ref="AA19">MAX(IF(F19:X19 &gt; 0, $F$4:$X$4)) - MIN(IF(F19:X19 &gt; 0, $F$4:$X$4))</f>
        <v>0</v>
      </c>
      <c r="AB19" s="24" t="s">
        <v>79</v>
      </c>
      <c r="AC19"/>
      <c r="AD19">
        <f t="shared" si="0"/>
        <v>2.1139433523068369</v>
      </c>
      <c r="AE19">
        <f t="shared" si="2"/>
        <v>0</v>
      </c>
    </row>
    <row r="20" spans="2:31" ht="19.2" customHeight="1" x14ac:dyDescent="0.3">
      <c r="B20" s="6" t="s">
        <v>80</v>
      </c>
      <c r="C20" s="15" t="s">
        <v>81</v>
      </c>
      <c r="D20" s="16" t="s">
        <v>34</v>
      </c>
      <c r="E20" s="42" t="s">
        <v>82</v>
      </c>
      <c r="F20" s="17">
        <v>0</v>
      </c>
      <c r="G20" s="17">
        <v>0</v>
      </c>
      <c r="H20" s="17">
        <v>0</v>
      </c>
      <c r="I20" s="17">
        <v>0</v>
      </c>
      <c r="J20" s="17">
        <v>0</v>
      </c>
      <c r="K20" s="17">
        <v>0</v>
      </c>
      <c r="L20" s="17">
        <v>0</v>
      </c>
      <c r="M20" s="18">
        <v>0</v>
      </c>
      <c r="N20" s="17">
        <v>0</v>
      </c>
      <c r="O20" s="17">
        <v>0</v>
      </c>
      <c r="P20" s="19">
        <v>0</v>
      </c>
      <c r="Q20" s="13">
        <v>1</v>
      </c>
      <c r="R20" s="17">
        <v>0</v>
      </c>
      <c r="S20" s="20">
        <v>0</v>
      </c>
      <c r="T20" s="17">
        <v>0</v>
      </c>
      <c r="U20" s="17">
        <v>0</v>
      </c>
      <c r="V20" s="17">
        <v>0</v>
      </c>
      <c r="W20" s="17">
        <v>0</v>
      </c>
      <c r="X20" s="20">
        <v>0</v>
      </c>
      <c r="Y20" s="22">
        <f t="shared" si="1"/>
        <v>1</v>
      </c>
      <c r="Z20" s="23">
        <f t="shared" si="3"/>
        <v>26</v>
      </c>
      <c r="AA20" s="22">
        <f t="array" ref="AA20">MAX(IF(F20:X20 &gt; 0, $F$4:$X$4)) - MIN(IF(F20:X20 &gt; 0, $F$4:$X$4))</f>
        <v>0</v>
      </c>
      <c r="AB20" s="22" t="s">
        <v>79</v>
      </c>
      <c r="AC20"/>
      <c r="AD20">
        <f t="shared" si="0"/>
        <v>2.1139433523068369</v>
      </c>
      <c r="AE20">
        <f t="shared" si="2"/>
        <v>0</v>
      </c>
    </row>
    <row r="21" spans="2:31" ht="19.2" customHeight="1" x14ac:dyDescent="0.3">
      <c r="B21" s="6" t="s">
        <v>83</v>
      </c>
      <c r="C21" s="7" t="s">
        <v>84</v>
      </c>
      <c r="D21" s="8" t="s">
        <v>48</v>
      </c>
      <c r="E21" s="41" t="s">
        <v>85</v>
      </c>
      <c r="F21" s="9">
        <v>0</v>
      </c>
      <c r="G21" s="9">
        <v>0</v>
      </c>
      <c r="H21" s="9">
        <v>0</v>
      </c>
      <c r="I21" s="9">
        <v>0</v>
      </c>
      <c r="J21" s="9">
        <v>0</v>
      </c>
      <c r="K21" s="9">
        <v>0</v>
      </c>
      <c r="L21" s="9">
        <v>0</v>
      </c>
      <c r="M21" s="10">
        <v>0</v>
      </c>
      <c r="N21" s="9">
        <v>0</v>
      </c>
      <c r="O21" s="9">
        <v>0</v>
      </c>
      <c r="P21" s="11">
        <v>0</v>
      </c>
      <c r="Q21" s="13">
        <v>1</v>
      </c>
      <c r="R21" s="9">
        <v>0</v>
      </c>
      <c r="S21" s="12">
        <v>0</v>
      </c>
      <c r="T21" s="9">
        <v>0</v>
      </c>
      <c r="U21" s="9">
        <v>0</v>
      </c>
      <c r="V21" s="9">
        <v>0</v>
      </c>
      <c r="W21" s="9">
        <v>0</v>
      </c>
      <c r="X21" s="12">
        <v>0</v>
      </c>
      <c r="Y21" s="24">
        <f t="shared" si="1"/>
        <v>1</v>
      </c>
      <c r="Z21" s="25">
        <f t="shared" si="3"/>
        <v>26</v>
      </c>
      <c r="AA21" s="24">
        <f t="array" ref="AA21">MAX(IF(F21:X21 &gt; 0, $F$4:$X$4)) - MIN(IF(F21:X21 &gt; 0, $F$4:$X$4))</f>
        <v>0</v>
      </c>
      <c r="AB21" s="24" t="s">
        <v>79</v>
      </c>
      <c r="AC21"/>
      <c r="AD21">
        <f t="shared" si="0"/>
        <v>2.1139433523068369</v>
      </c>
      <c r="AE21">
        <f t="shared" si="2"/>
        <v>0</v>
      </c>
    </row>
    <row r="22" spans="2:31" ht="19.2" customHeight="1" x14ac:dyDescent="0.3">
      <c r="B22" s="6" t="s">
        <v>86</v>
      </c>
      <c r="C22" s="15" t="s">
        <v>87</v>
      </c>
      <c r="D22" s="16" t="s">
        <v>34</v>
      </c>
      <c r="E22" s="42" t="s">
        <v>88</v>
      </c>
      <c r="F22" s="17">
        <v>0</v>
      </c>
      <c r="G22" s="17">
        <v>0</v>
      </c>
      <c r="H22" s="17">
        <v>0</v>
      </c>
      <c r="I22" s="17">
        <v>0</v>
      </c>
      <c r="J22" s="17">
        <v>0</v>
      </c>
      <c r="K22" s="17">
        <v>0</v>
      </c>
      <c r="L22" s="17">
        <v>0</v>
      </c>
      <c r="M22" s="18">
        <v>0</v>
      </c>
      <c r="N22" s="17">
        <v>0</v>
      </c>
      <c r="O22" s="17">
        <v>0</v>
      </c>
      <c r="P22" s="19">
        <v>0</v>
      </c>
      <c r="Q22" s="13">
        <v>1</v>
      </c>
      <c r="R22" s="17">
        <v>0</v>
      </c>
      <c r="S22" s="20">
        <v>0</v>
      </c>
      <c r="T22" s="17">
        <v>0</v>
      </c>
      <c r="U22" s="17">
        <v>0</v>
      </c>
      <c r="V22" s="17">
        <v>0</v>
      </c>
      <c r="W22" s="17">
        <v>0</v>
      </c>
      <c r="X22" s="20">
        <v>0</v>
      </c>
      <c r="Y22" s="22">
        <f t="shared" si="1"/>
        <v>1</v>
      </c>
      <c r="Z22" s="23">
        <f t="shared" si="3"/>
        <v>26</v>
      </c>
      <c r="AA22" s="22">
        <f t="array" ref="AA22">MAX(IF(F22:X22 &gt; 0, $F$4:$X$4)) - MIN(IF(F22:X22 &gt; 0, $F$4:$X$4))</f>
        <v>0</v>
      </c>
      <c r="AB22" s="22" t="s">
        <v>79</v>
      </c>
      <c r="AC22"/>
      <c r="AD22">
        <f t="shared" si="0"/>
        <v>2.1139433523068369</v>
      </c>
      <c r="AE22">
        <f t="shared" si="2"/>
        <v>0</v>
      </c>
    </row>
    <row r="23" spans="2:31" ht="19.2" customHeight="1" x14ac:dyDescent="0.3">
      <c r="B23" s="6" t="s">
        <v>89</v>
      </c>
      <c r="C23" s="7" t="s">
        <v>90</v>
      </c>
      <c r="D23" s="8" t="s">
        <v>58</v>
      </c>
      <c r="E23" s="41" t="s">
        <v>91</v>
      </c>
      <c r="F23" s="9">
        <v>0</v>
      </c>
      <c r="G23" s="9">
        <v>0</v>
      </c>
      <c r="H23" s="9">
        <v>0</v>
      </c>
      <c r="I23" s="9">
        <v>0</v>
      </c>
      <c r="J23" s="9">
        <v>0</v>
      </c>
      <c r="K23" s="9">
        <v>0</v>
      </c>
      <c r="L23" s="9">
        <v>0</v>
      </c>
      <c r="M23" s="10">
        <v>0</v>
      </c>
      <c r="N23" s="9">
        <v>0</v>
      </c>
      <c r="O23" s="9">
        <v>0</v>
      </c>
      <c r="P23" s="11">
        <v>0</v>
      </c>
      <c r="Q23" s="13">
        <v>1</v>
      </c>
      <c r="R23" s="9">
        <v>0</v>
      </c>
      <c r="S23" s="12">
        <v>0</v>
      </c>
      <c r="T23" s="21">
        <v>1</v>
      </c>
      <c r="U23" s="21">
        <v>1</v>
      </c>
      <c r="V23" s="21">
        <v>1</v>
      </c>
      <c r="W23" s="9">
        <v>0</v>
      </c>
      <c r="X23" s="12">
        <v>0</v>
      </c>
      <c r="Y23" s="24">
        <f t="shared" si="1"/>
        <v>4</v>
      </c>
      <c r="Z23" s="25">
        <f t="shared" si="3"/>
        <v>26.75</v>
      </c>
      <c r="AA23" s="24">
        <f t="array" ref="AA23">MAX(IF(F23:X23 &gt; 0, $F$4:$X$4)) - MIN(IF(F23:X23 &gt; 0, $F$4:$X$4))</f>
        <v>2</v>
      </c>
      <c r="AB23" s="24" t="s">
        <v>66</v>
      </c>
      <c r="AC23"/>
      <c r="AD23">
        <f t="shared" si="0"/>
        <v>1.5118833609788744</v>
      </c>
      <c r="AE23">
        <f t="shared" si="2"/>
        <v>0</v>
      </c>
    </row>
    <row r="24" spans="2:31" ht="19.2" customHeight="1" x14ac:dyDescent="0.3">
      <c r="B24" s="6" t="s">
        <v>92</v>
      </c>
      <c r="C24" s="15" t="s">
        <v>93</v>
      </c>
      <c r="D24" s="16" t="s">
        <v>58</v>
      </c>
      <c r="E24" s="42" t="s">
        <v>94</v>
      </c>
      <c r="F24" s="17">
        <v>0</v>
      </c>
      <c r="G24" s="17">
        <v>0</v>
      </c>
      <c r="H24" s="17">
        <v>0</v>
      </c>
      <c r="I24" s="17">
        <v>0</v>
      </c>
      <c r="J24" s="17">
        <v>0</v>
      </c>
      <c r="K24" s="17">
        <v>0</v>
      </c>
      <c r="L24" s="17">
        <v>0</v>
      </c>
      <c r="M24" s="18">
        <v>0</v>
      </c>
      <c r="N24" s="19">
        <v>0</v>
      </c>
      <c r="O24" s="21">
        <v>1</v>
      </c>
      <c r="P24" s="19">
        <v>0</v>
      </c>
      <c r="Q24" s="13">
        <v>1</v>
      </c>
      <c r="R24" s="17">
        <v>0</v>
      </c>
      <c r="S24" s="20">
        <v>0</v>
      </c>
      <c r="T24" s="21">
        <v>1</v>
      </c>
      <c r="U24" s="21">
        <v>1</v>
      </c>
      <c r="V24" s="17">
        <v>0</v>
      </c>
      <c r="W24" s="17">
        <v>0</v>
      </c>
      <c r="X24" s="20">
        <v>0</v>
      </c>
      <c r="Y24" s="22">
        <f t="shared" si="1"/>
        <v>4</v>
      </c>
      <c r="Z24" s="23">
        <f t="shared" si="3"/>
        <v>25.25</v>
      </c>
      <c r="AA24" s="22">
        <f t="array" ref="AA24">MAX(IF(F24:X24 &gt; 0, $F$4:$X$4)) - MIN(IF(F24:X24 &gt; 0, $F$4:$X$4))</f>
        <v>5</v>
      </c>
      <c r="AB24" s="22" t="s">
        <v>66</v>
      </c>
      <c r="AC24"/>
      <c r="AD24">
        <f t="shared" si="0"/>
        <v>1.5118833609788744</v>
      </c>
      <c r="AE24">
        <f t="shared" si="2"/>
        <v>0</v>
      </c>
    </row>
    <row r="25" spans="2:31" ht="19.2" customHeight="1" x14ac:dyDescent="0.3">
      <c r="B25" s="6" t="s">
        <v>95</v>
      </c>
      <c r="C25" s="7" t="s">
        <v>96</v>
      </c>
      <c r="D25" s="8" t="s">
        <v>58</v>
      </c>
      <c r="E25" s="41" t="s">
        <v>97</v>
      </c>
      <c r="F25" s="9">
        <v>0</v>
      </c>
      <c r="G25" s="9">
        <v>0</v>
      </c>
      <c r="H25" s="9">
        <v>0</v>
      </c>
      <c r="I25" s="9">
        <v>0</v>
      </c>
      <c r="J25" s="9">
        <v>0</v>
      </c>
      <c r="K25" s="9">
        <v>0</v>
      </c>
      <c r="L25" s="9">
        <v>0</v>
      </c>
      <c r="M25" s="10">
        <v>0</v>
      </c>
      <c r="N25" s="9">
        <v>0</v>
      </c>
      <c r="O25" s="9">
        <v>0</v>
      </c>
      <c r="P25" s="11">
        <v>0</v>
      </c>
      <c r="Q25" s="12">
        <v>0</v>
      </c>
      <c r="R25" s="9">
        <v>0</v>
      </c>
      <c r="S25" s="13">
        <v>1</v>
      </c>
      <c r="T25" s="26">
        <v>0</v>
      </c>
      <c r="U25" s="9">
        <v>0</v>
      </c>
      <c r="V25" s="9">
        <v>0</v>
      </c>
      <c r="W25" s="9">
        <v>0</v>
      </c>
      <c r="X25" s="12">
        <v>0</v>
      </c>
      <c r="Y25" s="24">
        <f t="shared" si="1"/>
        <v>1</v>
      </c>
      <c r="Z25" s="25">
        <f t="shared" si="3"/>
        <v>25</v>
      </c>
      <c r="AA25" s="24">
        <f t="array" ref="AA25">MAX(IF(F25:X25 &gt; 0, $F$4:$X$4)) - MIN(IF(F25:X25 &gt; 0, $F$4:$X$4))</f>
        <v>0</v>
      </c>
      <c r="AB25" s="24" t="s">
        <v>39</v>
      </c>
      <c r="AC25"/>
      <c r="AD25">
        <f t="shared" si="0"/>
        <v>2.1139433523068369</v>
      </c>
      <c r="AE25">
        <f t="shared" si="2"/>
        <v>0</v>
      </c>
    </row>
    <row r="26" spans="2:31" ht="19.2" customHeight="1" x14ac:dyDescent="0.3">
      <c r="B26" s="6" t="s">
        <v>98</v>
      </c>
      <c r="C26" s="15" t="s">
        <v>99</v>
      </c>
      <c r="D26" s="16" t="s">
        <v>58</v>
      </c>
      <c r="E26" s="42" t="s">
        <v>100</v>
      </c>
      <c r="F26" s="17">
        <v>0</v>
      </c>
      <c r="G26" s="17">
        <v>0</v>
      </c>
      <c r="H26" s="17">
        <v>0</v>
      </c>
      <c r="I26" s="17">
        <v>0</v>
      </c>
      <c r="J26" s="17">
        <v>0</v>
      </c>
      <c r="K26" s="17">
        <v>0</v>
      </c>
      <c r="L26" s="17">
        <v>0</v>
      </c>
      <c r="M26" s="18">
        <v>0</v>
      </c>
      <c r="N26" s="17">
        <v>0</v>
      </c>
      <c r="O26" s="17">
        <v>0</v>
      </c>
      <c r="P26" s="19">
        <v>0</v>
      </c>
      <c r="Q26" s="20">
        <v>0</v>
      </c>
      <c r="R26" s="21">
        <v>1</v>
      </c>
      <c r="S26" s="13">
        <v>1</v>
      </c>
      <c r="T26" s="17">
        <v>0</v>
      </c>
      <c r="U26" s="17">
        <v>0</v>
      </c>
      <c r="V26" s="17">
        <v>0</v>
      </c>
      <c r="W26" s="17">
        <v>0</v>
      </c>
      <c r="X26" s="20">
        <v>0</v>
      </c>
      <c r="Y26" s="22">
        <f t="shared" si="1"/>
        <v>2</v>
      </c>
      <c r="Z26" s="23">
        <f t="shared" si="3"/>
        <v>24.5</v>
      </c>
      <c r="AA26" s="22">
        <f t="array" ref="AA26">MAX(IF(F26:X26 &gt; 0, $F$4:$X$4)) - MIN(IF(F26:X26 &gt; 0, $F$4:$X$4))</f>
        <v>1</v>
      </c>
      <c r="AB26" s="22" t="s">
        <v>39</v>
      </c>
      <c r="AC26"/>
      <c r="AD26">
        <f t="shared" si="0"/>
        <v>1.8129133566428557</v>
      </c>
      <c r="AE26">
        <f t="shared" si="2"/>
        <v>0</v>
      </c>
    </row>
    <row r="27" spans="2:31" ht="19.2" customHeight="1" x14ac:dyDescent="0.3">
      <c r="B27" s="6" t="s">
        <v>101</v>
      </c>
      <c r="C27" s="7" t="s">
        <v>102</v>
      </c>
      <c r="D27" s="8" t="s">
        <v>34</v>
      </c>
      <c r="E27" s="41" t="s">
        <v>103</v>
      </c>
      <c r="F27" s="9">
        <v>0</v>
      </c>
      <c r="G27" s="9">
        <v>0</v>
      </c>
      <c r="H27" s="9">
        <v>0</v>
      </c>
      <c r="I27" s="9">
        <v>0</v>
      </c>
      <c r="J27" s="9">
        <v>0</v>
      </c>
      <c r="K27" s="9">
        <v>0</v>
      </c>
      <c r="L27" s="9">
        <v>0</v>
      </c>
      <c r="M27" s="10">
        <v>0</v>
      </c>
      <c r="N27" s="9">
        <v>0</v>
      </c>
      <c r="O27" s="9">
        <v>0</v>
      </c>
      <c r="P27" s="11">
        <v>0</v>
      </c>
      <c r="Q27" s="13">
        <v>1</v>
      </c>
      <c r="R27" s="9">
        <v>0</v>
      </c>
      <c r="S27" s="12">
        <v>0</v>
      </c>
      <c r="T27" s="21">
        <v>1</v>
      </c>
      <c r="U27" s="21">
        <v>1</v>
      </c>
      <c r="V27" s="21">
        <v>1</v>
      </c>
      <c r="W27" s="9">
        <v>0</v>
      </c>
      <c r="X27" s="12">
        <v>0</v>
      </c>
      <c r="Y27" s="24">
        <f t="shared" si="1"/>
        <v>4</v>
      </c>
      <c r="Z27" s="25">
        <f t="shared" si="3"/>
        <v>26.75</v>
      </c>
      <c r="AA27" s="24">
        <f t="array" ref="AA27">MAX(IF(F27:X27 &gt; 0, $F$4:$X$4)) - MIN(IF(F27:X27 &gt; 0, $F$4:$X$4))</f>
        <v>2</v>
      </c>
      <c r="AB27" s="24" t="s">
        <v>39</v>
      </c>
      <c r="AC27"/>
      <c r="AD27">
        <f t="shared" si="0"/>
        <v>1.5118833609788744</v>
      </c>
      <c r="AE27">
        <f t="shared" si="2"/>
        <v>0</v>
      </c>
    </row>
    <row r="28" spans="2:31" ht="19.2" customHeight="1" x14ac:dyDescent="0.3">
      <c r="B28" s="6" t="s">
        <v>104</v>
      </c>
      <c r="C28" s="15" t="s">
        <v>105</v>
      </c>
      <c r="D28" s="16" t="s">
        <v>58</v>
      </c>
      <c r="E28" s="42" t="s">
        <v>106</v>
      </c>
      <c r="F28" s="17">
        <v>0</v>
      </c>
      <c r="G28" s="17">
        <v>0</v>
      </c>
      <c r="H28" s="17">
        <v>0</v>
      </c>
      <c r="I28" s="17">
        <v>0</v>
      </c>
      <c r="J28" s="17">
        <v>0</v>
      </c>
      <c r="K28" s="17">
        <v>0</v>
      </c>
      <c r="L28" s="17">
        <v>0</v>
      </c>
      <c r="M28" s="18">
        <v>0</v>
      </c>
      <c r="N28" s="17">
        <v>0</v>
      </c>
      <c r="O28" s="17">
        <v>0</v>
      </c>
      <c r="P28" s="19">
        <v>0</v>
      </c>
      <c r="Q28" s="20">
        <v>0</v>
      </c>
      <c r="R28" s="21">
        <v>1</v>
      </c>
      <c r="S28" s="13">
        <v>1</v>
      </c>
      <c r="T28" s="17">
        <v>0</v>
      </c>
      <c r="U28" s="17">
        <v>0</v>
      </c>
      <c r="V28" s="17">
        <v>0</v>
      </c>
      <c r="W28" s="17">
        <v>0</v>
      </c>
      <c r="X28" s="20">
        <v>0</v>
      </c>
      <c r="Y28" s="22">
        <f t="shared" si="1"/>
        <v>2</v>
      </c>
      <c r="Z28" s="23">
        <f t="shared" si="3"/>
        <v>24.5</v>
      </c>
      <c r="AA28" s="22">
        <f t="array" ref="AA28">MAX(IF(F28:X28 &gt; 0, $F$4:$X$4)) - MIN(IF(F28:X28 &gt; 0, $F$4:$X$4))</f>
        <v>1</v>
      </c>
      <c r="AB28" s="22" t="s">
        <v>31</v>
      </c>
      <c r="AC28"/>
      <c r="AD28">
        <f t="shared" si="0"/>
        <v>1.8129133566428557</v>
      </c>
      <c r="AE28">
        <f t="shared" si="2"/>
        <v>0</v>
      </c>
    </row>
    <row r="29" spans="2:31" ht="19.2" customHeight="1" x14ac:dyDescent="0.3">
      <c r="B29" s="6" t="s">
        <v>107</v>
      </c>
      <c r="C29" s="7" t="s">
        <v>108</v>
      </c>
      <c r="D29" s="8" t="s">
        <v>58</v>
      </c>
      <c r="E29" s="41" t="s">
        <v>109</v>
      </c>
      <c r="F29" s="9">
        <v>0</v>
      </c>
      <c r="G29" s="9">
        <v>0</v>
      </c>
      <c r="H29" s="9">
        <v>0</v>
      </c>
      <c r="I29" s="9">
        <v>0</v>
      </c>
      <c r="J29" s="9">
        <v>0</v>
      </c>
      <c r="K29" s="9">
        <v>0</v>
      </c>
      <c r="L29" s="9">
        <v>0</v>
      </c>
      <c r="M29" s="10">
        <v>0</v>
      </c>
      <c r="N29" s="9">
        <v>0</v>
      </c>
      <c r="O29" s="9">
        <v>0</v>
      </c>
      <c r="P29" s="11">
        <v>0</v>
      </c>
      <c r="Q29" s="12">
        <v>0</v>
      </c>
      <c r="R29" s="21">
        <v>1</v>
      </c>
      <c r="S29" s="13">
        <v>1</v>
      </c>
      <c r="T29" s="9">
        <v>0</v>
      </c>
      <c r="U29" s="9">
        <v>0</v>
      </c>
      <c r="V29" s="9">
        <v>0</v>
      </c>
      <c r="W29" s="9">
        <v>0</v>
      </c>
      <c r="X29" s="12">
        <v>0</v>
      </c>
      <c r="Y29" s="24">
        <f t="shared" si="1"/>
        <v>2</v>
      </c>
      <c r="Z29" s="25">
        <f t="shared" si="3"/>
        <v>24.5</v>
      </c>
      <c r="AA29" s="24">
        <f t="array" ref="AA29">MAX(IF(F29:X29 &gt; 0, $F$4:$X$4)) - MIN(IF(F29:X29 &gt; 0, $F$4:$X$4))</f>
        <v>1</v>
      </c>
      <c r="AB29" s="24" t="s">
        <v>31</v>
      </c>
      <c r="AC29"/>
      <c r="AD29">
        <f t="shared" si="0"/>
        <v>1.8129133566428557</v>
      </c>
      <c r="AE29">
        <f t="shared" si="2"/>
        <v>0</v>
      </c>
    </row>
    <row r="30" spans="2:31" ht="19.2" customHeight="1" x14ac:dyDescent="0.3">
      <c r="B30" s="6" t="s">
        <v>110</v>
      </c>
      <c r="C30" s="15" t="s">
        <v>111</v>
      </c>
      <c r="D30" s="16" t="s">
        <v>34</v>
      </c>
      <c r="E30" s="42" t="s">
        <v>112</v>
      </c>
      <c r="F30" s="17">
        <v>0</v>
      </c>
      <c r="G30" s="17">
        <v>0</v>
      </c>
      <c r="H30" s="17">
        <v>0</v>
      </c>
      <c r="I30" s="17">
        <v>0</v>
      </c>
      <c r="J30" s="17">
        <v>0</v>
      </c>
      <c r="K30" s="17">
        <v>0</v>
      </c>
      <c r="L30" s="17">
        <v>0</v>
      </c>
      <c r="M30" s="18">
        <v>0</v>
      </c>
      <c r="N30" s="17">
        <v>0</v>
      </c>
      <c r="O30" s="17">
        <v>0</v>
      </c>
      <c r="P30" s="19">
        <v>0</v>
      </c>
      <c r="Q30" s="20">
        <v>0</v>
      </c>
      <c r="R30" s="21">
        <v>1</v>
      </c>
      <c r="S30" s="13">
        <v>1</v>
      </c>
      <c r="T30" s="17">
        <v>0</v>
      </c>
      <c r="U30" s="17">
        <v>0</v>
      </c>
      <c r="V30" s="17">
        <v>0</v>
      </c>
      <c r="W30" s="17">
        <v>0</v>
      </c>
      <c r="X30" s="20">
        <v>0</v>
      </c>
      <c r="Y30" s="22">
        <f t="shared" si="1"/>
        <v>2</v>
      </c>
      <c r="Z30" s="23">
        <f t="shared" si="3"/>
        <v>24.5</v>
      </c>
      <c r="AA30" s="22">
        <f t="array" ref="AA30">MAX(IF(F30:X30 &gt; 0, $F$4:$X$4)) - MIN(IF(F30:X30 &gt; 0, $F$4:$X$4))</f>
        <v>1</v>
      </c>
      <c r="AB30" s="22" t="s">
        <v>66</v>
      </c>
      <c r="AC30"/>
      <c r="AD30">
        <f t="shared" si="0"/>
        <v>1.8129133566428557</v>
      </c>
      <c r="AE30">
        <f t="shared" si="2"/>
        <v>0</v>
      </c>
    </row>
    <row r="31" spans="2:31" ht="19.2" customHeight="1" x14ac:dyDescent="0.3">
      <c r="B31" s="6" t="s">
        <v>113</v>
      </c>
      <c r="C31" s="7" t="s">
        <v>114</v>
      </c>
      <c r="D31" s="8" t="s">
        <v>58</v>
      </c>
      <c r="E31" s="41" t="s">
        <v>115</v>
      </c>
      <c r="F31" s="9">
        <v>0</v>
      </c>
      <c r="G31" s="9">
        <v>0</v>
      </c>
      <c r="H31" s="9">
        <v>0</v>
      </c>
      <c r="I31" s="9">
        <v>0</v>
      </c>
      <c r="J31" s="9">
        <v>0</v>
      </c>
      <c r="K31" s="9">
        <v>0</v>
      </c>
      <c r="L31" s="9">
        <v>0</v>
      </c>
      <c r="M31" s="10">
        <v>0</v>
      </c>
      <c r="N31" s="9">
        <v>0</v>
      </c>
      <c r="O31" s="9">
        <v>0</v>
      </c>
      <c r="P31" s="11">
        <v>0</v>
      </c>
      <c r="Q31" s="12">
        <v>0</v>
      </c>
      <c r="R31" s="21">
        <v>1</v>
      </c>
      <c r="S31" s="13">
        <v>1</v>
      </c>
      <c r="T31" s="9">
        <v>0</v>
      </c>
      <c r="U31" s="9">
        <v>0</v>
      </c>
      <c r="V31" s="9">
        <v>0</v>
      </c>
      <c r="W31" s="9">
        <v>0</v>
      </c>
      <c r="X31" s="12">
        <v>0</v>
      </c>
      <c r="Y31" s="24">
        <f t="shared" si="1"/>
        <v>2</v>
      </c>
      <c r="Z31" s="25">
        <f t="shared" si="3"/>
        <v>24.5</v>
      </c>
      <c r="AA31" s="24">
        <f t="array" ref="AA31">MAX(IF(F31:X31 &gt; 0, $F$4:$X$4)) - MIN(IF(F31:X31 &gt; 0, $F$4:$X$4))</f>
        <v>1</v>
      </c>
      <c r="AB31" s="24" t="s">
        <v>79</v>
      </c>
      <c r="AC31"/>
      <c r="AD31">
        <f t="shared" si="0"/>
        <v>1.8129133566428557</v>
      </c>
      <c r="AE31">
        <f t="shared" si="2"/>
        <v>0</v>
      </c>
    </row>
    <row r="32" spans="2:31" ht="19.2" customHeight="1" x14ac:dyDescent="0.3">
      <c r="B32" s="6" t="s">
        <v>116</v>
      </c>
      <c r="C32" s="15" t="s">
        <v>117</v>
      </c>
      <c r="D32" s="16" t="s">
        <v>58</v>
      </c>
      <c r="E32" s="42" t="s">
        <v>118</v>
      </c>
      <c r="F32" s="17">
        <v>0</v>
      </c>
      <c r="G32" s="17">
        <v>0</v>
      </c>
      <c r="H32" s="17">
        <v>0</v>
      </c>
      <c r="I32" s="17">
        <v>0</v>
      </c>
      <c r="J32" s="17">
        <v>0</v>
      </c>
      <c r="K32" s="17">
        <v>0</v>
      </c>
      <c r="L32" s="17">
        <v>0</v>
      </c>
      <c r="M32" s="18">
        <v>0</v>
      </c>
      <c r="N32" s="17">
        <v>0</v>
      </c>
      <c r="O32" s="17">
        <v>0</v>
      </c>
      <c r="P32" s="19">
        <v>0</v>
      </c>
      <c r="Q32" s="20">
        <v>0</v>
      </c>
      <c r="R32" s="21">
        <v>1</v>
      </c>
      <c r="S32" s="13">
        <v>1</v>
      </c>
      <c r="T32" s="17">
        <v>0</v>
      </c>
      <c r="U32" s="17">
        <v>0</v>
      </c>
      <c r="V32" s="17">
        <v>0</v>
      </c>
      <c r="W32" s="17">
        <v>0</v>
      </c>
      <c r="X32" s="20">
        <v>0</v>
      </c>
      <c r="Y32" s="22">
        <f t="shared" si="1"/>
        <v>2</v>
      </c>
      <c r="Z32" s="23">
        <f t="shared" si="3"/>
        <v>24.5</v>
      </c>
      <c r="AA32" s="22">
        <f t="array" ref="AA32">MAX(IF(F32:X32 &gt; 0, $F$4:$X$4)) - MIN(IF(F32:X32 &gt; 0, $F$4:$X$4))</f>
        <v>1</v>
      </c>
      <c r="AB32" s="22" t="s">
        <v>39</v>
      </c>
      <c r="AC32"/>
      <c r="AD32">
        <f t="shared" si="0"/>
        <v>1.8129133566428557</v>
      </c>
      <c r="AE32">
        <f t="shared" si="2"/>
        <v>0</v>
      </c>
    </row>
    <row r="33" spans="2:31" ht="19.2" customHeight="1" x14ac:dyDescent="0.3">
      <c r="B33" s="6" t="s">
        <v>119</v>
      </c>
      <c r="C33" s="7" t="s">
        <v>120</v>
      </c>
      <c r="D33" s="8" t="s">
        <v>58</v>
      </c>
      <c r="E33" s="41" t="s">
        <v>121</v>
      </c>
      <c r="F33" s="9">
        <v>0</v>
      </c>
      <c r="G33" s="9">
        <v>0</v>
      </c>
      <c r="H33" s="9">
        <v>0</v>
      </c>
      <c r="I33" s="9">
        <v>0</v>
      </c>
      <c r="J33" s="9">
        <v>0</v>
      </c>
      <c r="K33" s="9">
        <v>0</v>
      </c>
      <c r="L33" s="9">
        <v>0</v>
      </c>
      <c r="M33" s="10">
        <v>0</v>
      </c>
      <c r="N33" s="9">
        <v>0</v>
      </c>
      <c r="O33" s="9">
        <v>0</v>
      </c>
      <c r="P33" s="11">
        <v>0</v>
      </c>
      <c r="Q33" s="12">
        <v>0</v>
      </c>
      <c r="R33" s="21">
        <v>1</v>
      </c>
      <c r="S33" s="13">
        <v>1</v>
      </c>
      <c r="T33" s="9">
        <v>0</v>
      </c>
      <c r="U33" s="9">
        <v>0</v>
      </c>
      <c r="V33" s="9">
        <v>0</v>
      </c>
      <c r="W33" s="9">
        <v>0</v>
      </c>
      <c r="X33" s="12">
        <v>0</v>
      </c>
      <c r="Y33" s="24">
        <f t="shared" si="1"/>
        <v>2</v>
      </c>
      <c r="Z33" s="25">
        <f t="shared" si="3"/>
        <v>24.5</v>
      </c>
      <c r="AA33" s="24">
        <f t="array" ref="AA33">MAX(IF(F33:X33 &gt; 0, $F$4:$X$4)) - MIN(IF(F33:X33 &gt; 0, $F$4:$X$4))</f>
        <v>1</v>
      </c>
      <c r="AB33" s="24" t="s">
        <v>79</v>
      </c>
      <c r="AC33"/>
      <c r="AD33">
        <f t="shared" si="0"/>
        <v>1.8129133566428557</v>
      </c>
      <c r="AE33">
        <f t="shared" si="2"/>
        <v>0</v>
      </c>
    </row>
    <row r="34" spans="2:31" ht="19.2" customHeight="1" x14ac:dyDescent="0.3">
      <c r="B34" s="6" t="s">
        <v>122</v>
      </c>
      <c r="C34" s="15" t="s">
        <v>123</v>
      </c>
      <c r="D34" s="16" t="s">
        <v>58</v>
      </c>
      <c r="E34" s="42" t="s">
        <v>124</v>
      </c>
      <c r="F34" s="17">
        <v>0</v>
      </c>
      <c r="G34" s="17">
        <v>0</v>
      </c>
      <c r="H34" s="17">
        <v>0</v>
      </c>
      <c r="I34" s="17">
        <v>0</v>
      </c>
      <c r="J34" s="17">
        <v>0</v>
      </c>
      <c r="K34" s="17">
        <v>0</v>
      </c>
      <c r="L34" s="17">
        <v>0</v>
      </c>
      <c r="M34" s="18">
        <v>0</v>
      </c>
      <c r="N34" s="17">
        <v>0</v>
      </c>
      <c r="O34" s="17">
        <v>0</v>
      </c>
      <c r="P34" s="19">
        <v>0</v>
      </c>
      <c r="Q34" s="20">
        <v>0</v>
      </c>
      <c r="R34" s="17">
        <v>0</v>
      </c>
      <c r="S34" s="13">
        <v>1</v>
      </c>
      <c r="T34" s="17">
        <v>0</v>
      </c>
      <c r="U34" s="17">
        <v>0</v>
      </c>
      <c r="V34" s="17">
        <v>0</v>
      </c>
      <c r="W34" s="17">
        <v>0</v>
      </c>
      <c r="X34" s="20">
        <v>0</v>
      </c>
      <c r="Y34" s="22">
        <f t="shared" si="1"/>
        <v>1</v>
      </c>
      <c r="Z34" s="23">
        <f t="shared" si="3"/>
        <v>25</v>
      </c>
      <c r="AA34" s="22">
        <f t="array" ref="AA34">MAX(IF(F34:X34 &gt; 0, $F$4:$X$4)) - MIN(IF(F34:X34 &gt; 0, $F$4:$X$4))</f>
        <v>0</v>
      </c>
      <c r="AB34" s="22" t="s">
        <v>31</v>
      </c>
      <c r="AC34"/>
      <c r="AD34">
        <f t="shared" si="0"/>
        <v>2.1139433523068369</v>
      </c>
      <c r="AE34">
        <f t="shared" si="2"/>
        <v>0</v>
      </c>
    </row>
    <row r="35" spans="2:31" ht="19.2" customHeight="1" x14ac:dyDescent="0.3">
      <c r="B35" s="6" t="s">
        <v>125</v>
      </c>
      <c r="C35" s="7" t="s">
        <v>126</v>
      </c>
      <c r="D35" s="8" t="s">
        <v>58</v>
      </c>
      <c r="E35" s="41" t="s">
        <v>127</v>
      </c>
      <c r="F35" s="9">
        <v>0</v>
      </c>
      <c r="G35" s="9">
        <v>0</v>
      </c>
      <c r="H35" s="9">
        <v>0</v>
      </c>
      <c r="I35" s="9">
        <v>0</v>
      </c>
      <c r="J35" s="9">
        <v>0</v>
      </c>
      <c r="K35" s="9">
        <v>0</v>
      </c>
      <c r="L35" s="9">
        <v>0</v>
      </c>
      <c r="M35" s="10">
        <v>0</v>
      </c>
      <c r="N35" s="9">
        <v>0</v>
      </c>
      <c r="O35" s="9">
        <v>0</v>
      </c>
      <c r="P35" s="11">
        <v>0</v>
      </c>
      <c r="Q35" s="12">
        <v>0</v>
      </c>
      <c r="R35" s="21">
        <v>1</v>
      </c>
      <c r="S35" s="13">
        <v>1</v>
      </c>
      <c r="T35" s="9">
        <v>0</v>
      </c>
      <c r="U35" s="9">
        <v>0</v>
      </c>
      <c r="V35" s="9">
        <v>0</v>
      </c>
      <c r="W35" s="9">
        <v>0</v>
      </c>
      <c r="X35" s="12">
        <v>0</v>
      </c>
      <c r="Y35" s="24">
        <f t="shared" si="1"/>
        <v>2</v>
      </c>
      <c r="Z35" s="25">
        <f t="shared" si="3"/>
        <v>24.5</v>
      </c>
      <c r="AA35" s="24">
        <f t="array" ref="AA35">MAX(IF(F35:X35 &gt; 0, $F$4:$X$4)) - MIN(IF(F35:X35 &gt; 0, $F$4:$X$4))</f>
        <v>1</v>
      </c>
      <c r="AB35" s="24" t="s">
        <v>31</v>
      </c>
      <c r="AC35"/>
      <c r="AD35">
        <f t="shared" si="0"/>
        <v>1.8129133566428557</v>
      </c>
      <c r="AE35">
        <f t="shared" si="2"/>
        <v>0</v>
      </c>
    </row>
    <row r="36" spans="2:31" ht="19.2" customHeight="1" x14ac:dyDescent="0.3">
      <c r="B36" s="6" t="s">
        <v>128</v>
      </c>
      <c r="C36" s="15" t="s">
        <v>129</v>
      </c>
      <c r="D36" s="16" t="s">
        <v>58</v>
      </c>
      <c r="E36" s="42" t="s">
        <v>130</v>
      </c>
      <c r="F36" s="17">
        <v>0</v>
      </c>
      <c r="G36" s="17">
        <v>0</v>
      </c>
      <c r="H36" s="17">
        <v>0</v>
      </c>
      <c r="I36" s="17">
        <v>0</v>
      </c>
      <c r="J36" s="17">
        <v>0</v>
      </c>
      <c r="K36" s="17">
        <v>0</v>
      </c>
      <c r="L36" s="17">
        <v>0</v>
      </c>
      <c r="M36" s="18">
        <v>0</v>
      </c>
      <c r="N36" s="17">
        <v>0</v>
      </c>
      <c r="O36" s="17">
        <v>0</v>
      </c>
      <c r="P36" s="19">
        <v>0</v>
      </c>
      <c r="Q36" s="20">
        <v>0</v>
      </c>
      <c r="R36" s="21">
        <v>1</v>
      </c>
      <c r="S36" s="13">
        <v>1</v>
      </c>
      <c r="T36" s="17">
        <v>0</v>
      </c>
      <c r="U36" s="17">
        <v>0</v>
      </c>
      <c r="V36" s="17">
        <v>0</v>
      </c>
      <c r="W36" s="17">
        <v>0</v>
      </c>
      <c r="X36" s="20">
        <v>0</v>
      </c>
      <c r="Y36" s="22">
        <f t="shared" si="1"/>
        <v>2</v>
      </c>
      <c r="Z36" s="23">
        <f t="shared" si="3"/>
        <v>24.5</v>
      </c>
      <c r="AA36" s="22">
        <f t="array" ref="AA36">MAX(IF(F36:X36 &gt; 0, $F$4:$X$4)) - MIN(IF(F36:X36 &gt; 0, $F$4:$X$4))</f>
        <v>1</v>
      </c>
      <c r="AB36" s="22" t="s">
        <v>39</v>
      </c>
      <c r="AC36"/>
      <c r="AD36">
        <f t="shared" si="0"/>
        <v>1.8129133566428557</v>
      </c>
      <c r="AE36">
        <f t="shared" si="2"/>
        <v>0</v>
      </c>
    </row>
    <row r="37" spans="2:31" ht="19.2" customHeight="1" x14ac:dyDescent="0.3">
      <c r="B37" s="6" t="s">
        <v>131</v>
      </c>
      <c r="C37" s="7" t="s">
        <v>132</v>
      </c>
      <c r="D37" s="8" t="s">
        <v>48</v>
      </c>
      <c r="E37" s="41" t="s">
        <v>133</v>
      </c>
      <c r="F37" s="9">
        <v>0</v>
      </c>
      <c r="G37" s="9">
        <v>0</v>
      </c>
      <c r="H37" s="9">
        <v>0</v>
      </c>
      <c r="I37" s="9">
        <v>0</v>
      </c>
      <c r="J37" s="9">
        <v>0</v>
      </c>
      <c r="K37" s="9">
        <v>0</v>
      </c>
      <c r="L37" s="9">
        <v>0</v>
      </c>
      <c r="M37" s="10">
        <v>0</v>
      </c>
      <c r="N37" s="21">
        <v>1</v>
      </c>
      <c r="O37" s="21">
        <v>1</v>
      </c>
      <c r="P37" s="11">
        <v>0</v>
      </c>
      <c r="Q37" s="13">
        <v>1</v>
      </c>
      <c r="R37" s="21">
        <v>1</v>
      </c>
      <c r="S37" s="13">
        <v>1</v>
      </c>
      <c r="T37" s="21">
        <v>1</v>
      </c>
      <c r="U37" s="21">
        <v>1</v>
      </c>
      <c r="V37" s="21">
        <v>1</v>
      </c>
      <c r="W37" s="21">
        <v>1</v>
      </c>
      <c r="X37" s="13">
        <v>1</v>
      </c>
      <c r="Y37" s="24">
        <f t="shared" si="1"/>
        <v>10</v>
      </c>
      <c r="Z37" s="25">
        <f t="shared" si="3"/>
        <v>25.8</v>
      </c>
      <c r="AA37" s="24">
        <f t="array" ref="AA37">MAX(IF(F37:X37 &gt; 0, $F$4:$X$4)) - MIN(IF(F37:X37 &gt; 0, $F$4:$X$4))</f>
        <v>9</v>
      </c>
      <c r="AB37" s="24" t="s">
        <v>39</v>
      </c>
      <c r="AC37"/>
      <c r="AD37">
        <f t="shared" si="0"/>
        <v>1.1139433523068367</v>
      </c>
      <c r="AE37">
        <f t="shared" si="2"/>
        <v>0</v>
      </c>
    </row>
    <row r="38" spans="2:31" ht="19.2" customHeight="1" x14ac:dyDescent="0.3">
      <c r="B38" s="6" t="s">
        <v>134</v>
      </c>
      <c r="C38" s="15" t="s">
        <v>135</v>
      </c>
      <c r="D38" s="16" t="s">
        <v>48</v>
      </c>
      <c r="E38" s="42" t="s">
        <v>136</v>
      </c>
      <c r="F38" s="17">
        <v>0</v>
      </c>
      <c r="G38" s="17">
        <v>0</v>
      </c>
      <c r="H38" s="17">
        <v>0</v>
      </c>
      <c r="I38" s="17">
        <v>0</v>
      </c>
      <c r="J38" s="17">
        <v>0</v>
      </c>
      <c r="K38" s="17">
        <v>0</v>
      </c>
      <c r="L38" s="17">
        <v>0</v>
      </c>
      <c r="M38" s="18">
        <v>0</v>
      </c>
      <c r="N38" s="21">
        <v>1</v>
      </c>
      <c r="O38" s="21">
        <v>1</v>
      </c>
      <c r="P38" s="19">
        <v>0</v>
      </c>
      <c r="Q38" s="13">
        <v>1</v>
      </c>
      <c r="R38" s="17">
        <v>0</v>
      </c>
      <c r="S38" s="20">
        <v>0</v>
      </c>
      <c r="T38" s="21">
        <v>1</v>
      </c>
      <c r="U38" s="21">
        <v>1</v>
      </c>
      <c r="V38" s="17">
        <v>0</v>
      </c>
      <c r="W38" s="21">
        <v>1</v>
      </c>
      <c r="X38" s="13">
        <v>1</v>
      </c>
      <c r="Y38" s="22">
        <f t="shared" si="1"/>
        <v>7</v>
      </c>
      <c r="Z38" s="23">
        <f t="shared" si="3"/>
        <v>25.857142857142858</v>
      </c>
      <c r="AA38" s="22">
        <f t="array" ref="AA38">MAX(IF(F38:X38 &gt; 0, $F$4:$X$4)) - MIN(IF(F38:X38 &gt; 0, $F$4:$X$4))</f>
        <v>9</v>
      </c>
      <c r="AB38" s="22" t="s">
        <v>39</v>
      </c>
      <c r="AC38"/>
      <c r="AD38">
        <f t="shared" si="0"/>
        <v>1.26884531229258</v>
      </c>
      <c r="AE38">
        <f t="shared" si="2"/>
        <v>0</v>
      </c>
    </row>
    <row r="39" spans="2:31" ht="19.2" customHeight="1" x14ac:dyDescent="0.3">
      <c r="B39" s="6" t="s">
        <v>137</v>
      </c>
      <c r="C39" s="7" t="s">
        <v>138</v>
      </c>
      <c r="D39" s="8" t="s">
        <v>29</v>
      </c>
      <c r="E39" s="41" t="s">
        <v>139</v>
      </c>
      <c r="F39" s="9">
        <v>0</v>
      </c>
      <c r="G39" s="9">
        <v>0</v>
      </c>
      <c r="H39" s="9">
        <v>0</v>
      </c>
      <c r="I39" s="9">
        <v>0</v>
      </c>
      <c r="J39" s="9">
        <v>0</v>
      </c>
      <c r="K39" s="9">
        <v>0</v>
      </c>
      <c r="L39" s="9">
        <v>0</v>
      </c>
      <c r="M39" s="10">
        <v>0</v>
      </c>
      <c r="N39" s="21">
        <v>1</v>
      </c>
      <c r="O39" s="21">
        <v>1</v>
      </c>
      <c r="P39" s="11">
        <v>0</v>
      </c>
      <c r="Q39" s="13">
        <v>1</v>
      </c>
      <c r="R39" s="9">
        <v>0</v>
      </c>
      <c r="S39" s="12">
        <v>0</v>
      </c>
      <c r="T39" s="21">
        <v>1</v>
      </c>
      <c r="U39" s="21">
        <v>1</v>
      </c>
      <c r="V39" s="9">
        <v>0</v>
      </c>
      <c r="W39" s="9">
        <v>0</v>
      </c>
      <c r="X39" s="12">
        <v>0</v>
      </c>
      <c r="Y39" s="24">
        <f t="shared" si="1"/>
        <v>5</v>
      </c>
      <c r="Z39" s="25">
        <f t="shared" si="3"/>
        <v>24.4</v>
      </c>
      <c r="AA39" s="24">
        <f t="array" ref="AA39">MAX(IF(F39:X39 &gt; 0, $F$4:$X$4)) - MIN(IF(F39:X39 &gt; 0, $F$4:$X$4))</f>
        <v>6</v>
      </c>
      <c r="AB39" s="24" t="s">
        <v>31</v>
      </c>
      <c r="AC39"/>
      <c r="AD39">
        <f t="shared" si="0"/>
        <v>1.414973347970818</v>
      </c>
      <c r="AE39">
        <f t="shared" si="2"/>
        <v>0</v>
      </c>
    </row>
    <row r="40" spans="2:31" ht="19.2" customHeight="1" x14ac:dyDescent="0.3">
      <c r="B40" s="6" t="s">
        <v>140</v>
      </c>
      <c r="C40" s="15" t="s">
        <v>141</v>
      </c>
      <c r="D40" s="16" t="s">
        <v>29</v>
      </c>
      <c r="E40" s="42" t="s">
        <v>142</v>
      </c>
      <c r="F40" s="17">
        <v>0</v>
      </c>
      <c r="G40" s="17">
        <v>0</v>
      </c>
      <c r="H40" s="17">
        <v>0</v>
      </c>
      <c r="I40" s="17">
        <v>0</v>
      </c>
      <c r="J40" s="17">
        <v>0</v>
      </c>
      <c r="K40" s="17">
        <v>0</v>
      </c>
      <c r="L40" s="17">
        <v>0</v>
      </c>
      <c r="M40" s="27">
        <v>1</v>
      </c>
      <c r="N40" s="21">
        <v>1</v>
      </c>
      <c r="O40" s="21">
        <v>1</v>
      </c>
      <c r="P40" s="19">
        <v>0</v>
      </c>
      <c r="Q40" s="20">
        <v>0</v>
      </c>
      <c r="R40" s="21">
        <v>1</v>
      </c>
      <c r="S40" s="13">
        <v>1</v>
      </c>
      <c r="T40" s="17">
        <v>0</v>
      </c>
      <c r="U40" s="17">
        <v>0</v>
      </c>
      <c r="V40" s="17">
        <v>0</v>
      </c>
      <c r="W40" s="17">
        <v>0</v>
      </c>
      <c r="X40" s="20">
        <v>0</v>
      </c>
      <c r="Y40" s="22">
        <f t="shared" si="1"/>
        <v>5</v>
      </c>
      <c r="Z40" s="23">
        <f t="shared" si="3"/>
        <v>22.6</v>
      </c>
      <c r="AA40" s="22">
        <f t="array" ref="AA40">MAX(IF(F40:X40 &gt; 0, $F$4:$X$4)) - MIN(IF(F40:X40 &gt; 0, $F$4:$X$4))</f>
        <v>4</v>
      </c>
      <c r="AB40" s="22" t="s">
        <v>31</v>
      </c>
      <c r="AC40"/>
      <c r="AD40">
        <f t="shared" si="0"/>
        <v>1.414973347970818</v>
      </c>
      <c r="AE40">
        <f t="shared" si="2"/>
        <v>0</v>
      </c>
    </row>
    <row r="41" spans="2:31" ht="19.2" customHeight="1" x14ac:dyDescent="0.3">
      <c r="B41" s="6" t="s">
        <v>143</v>
      </c>
      <c r="C41" s="7" t="s">
        <v>144</v>
      </c>
      <c r="D41" s="8" t="s">
        <v>34</v>
      </c>
      <c r="E41" s="41" t="s">
        <v>145</v>
      </c>
      <c r="F41" s="9">
        <v>0</v>
      </c>
      <c r="G41" s="9">
        <v>0</v>
      </c>
      <c r="H41" s="9">
        <v>0</v>
      </c>
      <c r="I41" s="9">
        <v>0</v>
      </c>
      <c r="J41" s="9">
        <v>0</v>
      </c>
      <c r="K41" s="9">
        <v>0</v>
      </c>
      <c r="L41" s="9">
        <v>0</v>
      </c>
      <c r="M41" s="10">
        <v>0</v>
      </c>
      <c r="N41" s="21">
        <v>1</v>
      </c>
      <c r="O41" s="21">
        <v>1</v>
      </c>
      <c r="P41" s="11">
        <v>0</v>
      </c>
      <c r="Q41" s="12">
        <v>0</v>
      </c>
      <c r="R41" s="9">
        <v>0</v>
      </c>
      <c r="S41" s="12">
        <v>0</v>
      </c>
      <c r="T41" s="9">
        <v>0</v>
      </c>
      <c r="U41" s="9">
        <v>0</v>
      </c>
      <c r="V41" s="9">
        <v>0</v>
      </c>
      <c r="W41" s="9">
        <v>0</v>
      </c>
      <c r="X41" s="12">
        <v>0</v>
      </c>
      <c r="Y41" s="24">
        <f t="shared" si="1"/>
        <v>2</v>
      </c>
      <c r="Z41" s="25">
        <f t="shared" si="3"/>
        <v>21.5</v>
      </c>
      <c r="AA41" s="24">
        <f t="array" ref="AA41">MAX(IF(F41:X41 &gt; 0, $F$4:$X$4)) - MIN(IF(F41:X41 &gt; 0, $F$4:$X$4))</f>
        <v>1</v>
      </c>
      <c r="AB41" s="24" t="s">
        <v>79</v>
      </c>
      <c r="AC41"/>
      <c r="AD41">
        <f t="shared" si="0"/>
        <v>1.8129133566428557</v>
      </c>
      <c r="AE41">
        <f t="shared" si="2"/>
        <v>0</v>
      </c>
    </row>
    <row r="42" spans="2:31" ht="19.2" customHeight="1" x14ac:dyDescent="0.3">
      <c r="B42" s="6" t="s">
        <v>146</v>
      </c>
      <c r="C42" s="15" t="s">
        <v>147</v>
      </c>
      <c r="D42" s="16" t="s">
        <v>34</v>
      </c>
      <c r="E42" s="42" t="s">
        <v>148</v>
      </c>
      <c r="F42" s="17">
        <v>0</v>
      </c>
      <c r="G42" s="17">
        <v>0</v>
      </c>
      <c r="H42" s="17">
        <v>0</v>
      </c>
      <c r="I42" s="17">
        <v>0</v>
      </c>
      <c r="J42" s="17">
        <v>0</v>
      </c>
      <c r="K42" s="17">
        <v>0</v>
      </c>
      <c r="L42" s="17">
        <v>0</v>
      </c>
      <c r="M42" s="27">
        <v>1</v>
      </c>
      <c r="N42" s="21">
        <v>1</v>
      </c>
      <c r="O42" s="21">
        <v>1</v>
      </c>
      <c r="P42" s="19">
        <v>0</v>
      </c>
      <c r="Q42" s="20">
        <v>0</v>
      </c>
      <c r="R42" s="17">
        <v>0</v>
      </c>
      <c r="S42" s="20">
        <v>0</v>
      </c>
      <c r="T42" s="17">
        <v>0</v>
      </c>
      <c r="U42" s="17">
        <v>0</v>
      </c>
      <c r="V42" s="17">
        <v>0</v>
      </c>
      <c r="W42" s="17">
        <v>0</v>
      </c>
      <c r="X42" s="20">
        <v>0</v>
      </c>
      <c r="Y42" s="22">
        <f t="shared" si="1"/>
        <v>3</v>
      </c>
      <c r="Z42" s="23">
        <f t="shared" si="3"/>
        <v>21.333333333333332</v>
      </c>
      <c r="AA42" s="22">
        <f t="array" ref="AA42">MAX(IF(F42:X42 &gt; 0, $F$4:$X$4)) - MIN(IF(F42:X42 &gt; 0, $F$4:$X$4))</f>
        <v>1</v>
      </c>
      <c r="AB42" s="22" t="s">
        <v>79</v>
      </c>
      <c r="AC42"/>
      <c r="AD42">
        <f t="shared" si="0"/>
        <v>1.6368220975871743</v>
      </c>
      <c r="AE42">
        <f t="shared" si="2"/>
        <v>0</v>
      </c>
    </row>
    <row r="43" spans="2:31" ht="19.2" customHeight="1" x14ac:dyDescent="0.3">
      <c r="B43" s="6" t="s">
        <v>149</v>
      </c>
      <c r="C43" s="7" t="s">
        <v>150</v>
      </c>
      <c r="D43" s="8" t="s">
        <v>34</v>
      </c>
      <c r="E43" s="41" t="s">
        <v>151</v>
      </c>
      <c r="F43" s="9">
        <v>0</v>
      </c>
      <c r="G43" s="9">
        <v>0</v>
      </c>
      <c r="H43" s="9">
        <v>0</v>
      </c>
      <c r="I43" s="9">
        <v>0</v>
      </c>
      <c r="J43" s="9">
        <v>0</v>
      </c>
      <c r="K43" s="9">
        <v>0</v>
      </c>
      <c r="L43" s="9">
        <v>0</v>
      </c>
      <c r="M43" s="27">
        <v>1</v>
      </c>
      <c r="N43" s="21">
        <v>1</v>
      </c>
      <c r="O43" s="21">
        <v>1</v>
      </c>
      <c r="P43" s="11">
        <v>0</v>
      </c>
      <c r="Q43" s="12">
        <v>0</v>
      </c>
      <c r="R43" s="9">
        <v>0</v>
      </c>
      <c r="S43" s="12">
        <v>0</v>
      </c>
      <c r="T43" s="9">
        <v>0</v>
      </c>
      <c r="U43" s="9">
        <v>0</v>
      </c>
      <c r="V43" s="9">
        <v>0</v>
      </c>
      <c r="W43" s="9">
        <v>0</v>
      </c>
      <c r="X43" s="12">
        <v>0</v>
      </c>
      <c r="Y43" s="24">
        <f t="shared" si="1"/>
        <v>3</v>
      </c>
      <c r="Z43" s="25">
        <f t="shared" si="3"/>
        <v>21.333333333333332</v>
      </c>
      <c r="AA43" s="24">
        <f t="array" ref="AA43">MAX(IF(F43:X43 &gt; 0, $F$4:$X$4)) - MIN(IF(F43:X43 &gt; 0, $F$4:$X$4))</f>
        <v>1</v>
      </c>
      <c r="AB43" s="24" t="s">
        <v>39</v>
      </c>
      <c r="AC43"/>
      <c r="AD43">
        <f t="shared" si="0"/>
        <v>1.6368220975871743</v>
      </c>
      <c r="AE43">
        <f t="shared" si="2"/>
        <v>0</v>
      </c>
    </row>
    <row r="44" spans="2:31" ht="19.2" customHeight="1" x14ac:dyDescent="0.3">
      <c r="B44" s="6" t="s">
        <v>152</v>
      </c>
      <c r="C44" s="15" t="s">
        <v>153</v>
      </c>
      <c r="D44" s="16" t="s">
        <v>58</v>
      </c>
      <c r="E44" s="42" t="s">
        <v>154</v>
      </c>
      <c r="F44" s="17">
        <v>0</v>
      </c>
      <c r="G44" s="17">
        <v>0</v>
      </c>
      <c r="H44" s="17">
        <v>0</v>
      </c>
      <c r="I44" s="17">
        <v>0</v>
      </c>
      <c r="J44" s="17">
        <v>0</v>
      </c>
      <c r="K44" s="17">
        <v>0</v>
      </c>
      <c r="L44" s="21">
        <v>1</v>
      </c>
      <c r="M44" s="27">
        <v>1</v>
      </c>
      <c r="N44" s="21">
        <v>1</v>
      </c>
      <c r="O44" s="21">
        <v>1</v>
      </c>
      <c r="P44" s="19">
        <v>0</v>
      </c>
      <c r="Q44" s="20">
        <v>0</v>
      </c>
      <c r="R44" s="17">
        <v>0</v>
      </c>
      <c r="S44" s="20">
        <v>0</v>
      </c>
      <c r="T44" s="17">
        <v>0</v>
      </c>
      <c r="U44" s="17">
        <v>0</v>
      </c>
      <c r="V44" s="17">
        <v>0</v>
      </c>
      <c r="W44" s="17">
        <v>0</v>
      </c>
      <c r="X44" s="20">
        <v>0</v>
      </c>
      <c r="Y44" s="22">
        <f t="shared" si="1"/>
        <v>4</v>
      </c>
      <c r="Z44" s="23">
        <f t="shared" si="3"/>
        <v>21</v>
      </c>
      <c r="AA44" s="22">
        <f t="array" ref="AA44">MAX(IF(F44:X44 &gt; 0, $F$4:$X$4)) - MIN(IF(F44:X44 &gt; 0, $F$4:$X$4))</f>
        <v>2</v>
      </c>
      <c r="AB44" s="22" t="s">
        <v>39</v>
      </c>
      <c r="AC44"/>
      <c r="AD44">
        <f t="shared" si="0"/>
        <v>1.5118833609788744</v>
      </c>
      <c r="AE44">
        <f t="shared" si="2"/>
        <v>0</v>
      </c>
    </row>
    <row r="45" spans="2:31" ht="19.2" customHeight="1" x14ac:dyDescent="0.3">
      <c r="B45" s="6" t="s">
        <v>155</v>
      </c>
      <c r="C45" s="7" t="s">
        <v>156</v>
      </c>
      <c r="D45" s="8" t="s">
        <v>58</v>
      </c>
      <c r="E45" s="41" t="s">
        <v>157</v>
      </c>
      <c r="F45" s="9">
        <v>0</v>
      </c>
      <c r="G45" s="9">
        <v>0</v>
      </c>
      <c r="H45" s="9">
        <v>0</v>
      </c>
      <c r="I45" s="9">
        <v>0</v>
      </c>
      <c r="J45" s="9">
        <v>0</v>
      </c>
      <c r="K45" s="9">
        <v>0</v>
      </c>
      <c r="L45" s="21">
        <v>1</v>
      </c>
      <c r="M45" s="27">
        <v>1</v>
      </c>
      <c r="N45" s="21">
        <v>1</v>
      </c>
      <c r="O45" s="21">
        <v>1</v>
      </c>
      <c r="P45" s="11">
        <v>0</v>
      </c>
      <c r="Q45" s="12">
        <v>0</v>
      </c>
      <c r="R45" s="9">
        <v>0</v>
      </c>
      <c r="S45" s="12">
        <v>0</v>
      </c>
      <c r="T45" s="9">
        <v>0</v>
      </c>
      <c r="U45" s="9">
        <v>0</v>
      </c>
      <c r="V45" s="9">
        <v>0</v>
      </c>
      <c r="W45" s="9">
        <v>0</v>
      </c>
      <c r="X45" s="12">
        <v>0</v>
      </c>
      <c r="Y45" s="24">
        <f t="shared" si="1"/>
        <v>4</v>
      </c>
      <c r="Z45" s="25">
        <f t="shared" si="3"/>
        <v>21</v>
      </c>
      <c r="AA45" s="24">
        <f t="array" ref="AA45">MAX(IF(F45:X45 &gt; 0, $F$4:$X$4)) - MIN(IF(F45:X45 &gt; 0, $F$4:$X$4))</f>
        <v>2</v>
      </c>
      <c r="AB45" s="24" t="s">
        <v>66</v>
      </c>
      <c r="AC45"/>
      <c r="AD45">
        <f t="shared" si="0"/>
        <v>1.5118833609788744</v>
      </c>
      <c r="AE45">
        <f t="shared" si="2"/>
        <v>0</v>
      </c>
    </row>
    <row r="46" spans="2:31" ht="19.2" customHeight="1" x14ac:dyDescent="0.3">
      <c r="B46" s="6" t="s">
        <v>158</v>
      </c>
      <c r="C46" s="15" t="s">
        <v>159</v>
      </c>
      <c r="D46" s="16" t="s">
        <v>34</v>
      </c>
      <c r="E46" s="42" t="s">
        <v>160</v>
      </c>
      <c r="F46" s="21">
        <v>1</v>
      </c>
      <c r="G46" s="17">
        <v>0</v>
      </c>
      <c r="H46" s="17">
        <v>0</v>
      </c>
      <c r="I46" s="21">
        <v>1</v>
      </c>
      <c r="J46" s="17">
        <v>0</v>
      </c>
      <c r="K46" s="17">
        <v>0</v>
      </c>
      <c r="L46" s="21">
        <v>1</v>
      </c>
      <c r="M46" s="27">
        <v>1</v>
      </c>
      <c r="N46" s="21">
        <v>1</v>
      </c>
      <c r="O46" s="21">
        <v>1</v>
      </c>
      <c r="P46" s="19">
        <v>0</v>
      </c>
      <c r="Q46" s="20">
        <v>0</v>
      </c>
      <c r="R46" s="17">
        <v>0</v>
      </c>
      <c r="S46" s="20">
        <v>0</v>
      </c>
      <c r="T46" s="17">
        <v>0</v>
      </c>
      <c r="U46" s="17">
        <v>0</v>
      </c>
      <c r="V46" s="17">
        <v>0</v>
      </c>
      <c r="W46" s="17">
        <v>0</v>
      </c>
      <c r="X46" s="20">
        <v>0</v>
      </c>
      <c r="Y46" s="22">
        <f t="shared" si="1"/>
        <v>6</v>
      </c>
      <c r="Z46" s="23">
        <f t="shared" si="3"/>
        <v>19.166666666666668</v>
      </c>
      <c r="AA46" s="22">
        <f t="array" ref="AA46">MAX(IF(F46:X46 &gt; 0, $F$4:$X$4)) - MIN(IF(F46:X46 &gt; 0, $F$4:$X$4))</f>
        <v>8</v>
      </c>
      <c r="AB46" s="22" t="s">
        <v>31</v>
      </c>
      <c r="AC46"/>
      <c r="AD46">
        <f t="shared" si="0"/>
        <v>1.3357921019231931</v>
      </c>
      <c r="AE46">
        <f t="shared" si="2"/>
        <v>0</v>
      </c>
    </row>
    <row r="47" spans="2:31" ht="19.2" customHeight="1" x14ac:dyDescent="0.3">
      <c r="B47" s="6" t="s">
        <v>161</v>
      </c>
      <c r="C47" s="7" t="s">
        <v>162</v>
      </c>
      <c r="D47" s="8" t="s">
        <v>34</v>
      </c>
      <c r="E47" s="41" t="s">
        <v>163</v>
      </c>
      <c r="F47" s="9">
        <v>0</v>
      </c>
      <c r="G47" s="9">
        <v>0</v>
      </c>
      <c r="H47" s="9">
        <v>0</v>
      </c>
      <c r="I47" s="21">
        <v>1</v>
      </c>
      <c r="J47" s="9">
        <v>0</v>
      </c>
      <c r="K47" s="9">
        <v>0</v>
      </c>
      <c r="L47" s="21">
        <v>1</v>
      </c>
      <c r="M47" s="27">
        <v>1</v>
      </c>
      <c r="N47" s="21">
        <v>1</v>
      </c>
      <c r="O47" s="21">
        <v>1</v>
      </c>
      <c r="P47" s="11">
        <v>0</v>
      </c>
      <c r="Q47" s="12">
        <v>0</v>
      </c>
      <c r="R47" s="9">
        <v>0</v>
      </c>
      <c r="S47" s="12">
        <v>0</v>
      </c>
      <c r="T47" s="9">
        <v>0</v>
      </c>
      <c r="U47" s="9">
        <v>0</v>
      </c>
      <c r="V47" s="9">
        <v>0</v>
      </c>
      <c r="W47" s="9">
        <v>0</v>
      </c>
      <c r="X47" s="12">
        <v>0</v>
      </c>
      <c r="Y47" s="24">
        <f t="shared" si="1"/>
        <v>5</v>
      </c>
      <c r="Z47" s="25">
        <f t="shared" si="3"/>
        <v>20.2</v>
      </c>
      <c r="AA47" s="24">
        <f t="array" ref="AA47">MAX(IF(F47:X47 &gt; 0, $F$4:$X$4)) - MIN(IF(F47:X47 &gt; 0, $F$4:$X$4))</f>
        <v>5</v>
      </c>
      <c r="AB47" s="24" t="s">
        <v>39</v>
      </c>
      <c r="AC47"/>
      <c r="AD47">
        <f t="shared" si="0"/>
        <v>1.414973347970818</v>
      </c>
      <c r="AE47">
        <f t="shared" si="2"/>
        <v>0</v>
      </c>
    </row>
    <row r="48" spans="2:31" ht="19.2" customHeight="1" x14ac:dyDescent="0.3">
      <c r="B48" s="6" t="s">
        <v>164</v>
      </c>
      <c r="C48" s="15" t="s">
        <v>165</v>
      </c>
      <c r="D48" s="16" t="s">
        <v>34</v>
      </c>
      <c r="E48" s="42" t="s">
        <v>166</v>
      </c>
      <c r="F48" s="17">
        <v>0</v>
      </c>
      <c r="G48" s="17">
        <v>0</v>
      </c>
      <c r="H48" s="17">
        <v>0</v>
      </c>
      <c r="I48" s="21">
        <v>1</v>
      </c>
      <c r="J48" s="17">
        <v>0</v>
      </c>
      <c r="K48" s="17">
        <v>0</v>
      </c>
      <c r="L48" s="21">
        <v>1</v>
      </c>
      <c r="M48" s="28">
        <v>0</v>
      </c>
      <c r="N48" s="17">
        <v>0</v>
      </c>
      <c r="O48" s="17">
        <v>0</v>
      </c>
      <c r="P48" s="19">
        <v>0</v>
      </c>
      <c r="Q48" s="20">
        <v>0</v>
      </c>
      <c r="R48" s="17">
        <v>0</v>
      </c>
      <c r="S48" s="20">
        <v>0</v>
      </c>
      <c r="T48" s="17">
        <v>0</v>
      </c>
      <c r="U48" s="17">
        <v>0</v>
      </c>
      <c r="V48" s="17">
        <v>0</v>
      </c>
      <c r="W48" s="17">
        <v>0</v>
      </c>
      <c r="X48" s="20">
        <v>0</v>
      </c>
      <c r="Y48" s="22">
        <f t="shared" si="1"/>
        <v>2</v>
      </c>
      <c r="Z48" s="23">
        <f t="shared" si="3"/>
        <v>18.5</v>
      </c>
      <c r="AA48" s="22">
        <f t="array" ref="AA48">MAX(IF(F48:X48 &gt; 0, $F$4:$X$4)) - MIN(IF(F48:X48 &gt; 0, $F$4:$X$4))</f>
        <v>3</v>
      </c>
      <c r="AB48" s="22" t="s">
        <v>79</v>
      </c>
      <c r="AC48"/>
      <c r="AD48">
        <f t="shared" si="0"/>
        <v>1.8129133566428557</v>
      </c>
      <c r="AE48">
        <f t="shared" si="2"/>
        <v>0</v>
      </c>
    </row>
    <row r="49" spans="2:31" ht="19.2" customHeight="1" x14ac:dyDescent="0.3">
      <c r="B49" s="6" t="s">
        <v>167</v>
      </c>
      <c r="C49" s="7" t="s">
        <v>168</v>
      </c>
      <c r="D49" s="8" t="s">
        <v>34</v>
      </c>
      <c r="E49" s="41" t="s">
        <v>169</v>
      </c>
      <c r="F49" s="21">
        <v>1</v>
      </c>
      <c r="G49" s="9">
        <v>0</v>
      </c>
      <c r="H49" s="9">
        <v>0</v>
      </c>
      <c r="I49" s="21">
        <v>1</v>
      </c>
      <c r="J49" s="9">
        <v>0</v>
      </c>
      <c r="K49" s="9">
        <v>0</v>
      </c>
      <c r="L49" s="21">
        <v>1</v>
      </c>
      <c r="M49" s="10">
        <v>0</v>
      </c>
      <c r="N49" s="9">
        <v>0</v>
      </c>
      <c r="O49" s="9">
        <v>0</v>
      </c>
      <c r="P49" s="11">
        <v>0</v>
      </c>
      <c r="Q49" s="12">
        <v>0</v>
      </c>
      <c r="R49" s="9">
        <v>0</v>
      </c>
      <c r="S49" s="12">
        <v>0</v>
      </c>
      <c r="T49" s="9">
        <v>0</v>
      </c>
      <c r="U49" s="9">
        <v>0</v>
      </c>
      <c r="V49" s="9">
        <v>0</v>
      </c>
      <c r="W49" s="9">
        <v>0</v>
      </c>
      <c r="X49" s="12">
        <v>0</v>
      </c>
      <c r="Y49" s="24">
        <f t="shared" si="1"/>
        <v>3</v>
      </c>
      <c r="Z49" s="25">
        <f t="shared" si="3"/>
        <v>17</v>
      </c>
      <c r="AA49" s="24">
        <f t="array" ref="AA49">MAX(IF(F49:X49 &gt; 0, $F$4:$X$4)) - MIN(IF(F49:X49 &gt; 0, $F$4:$X$4))</f>
        <v>6</v>
      </c>
      <c r="AB49" s="24" t="s">
        <v>79</v>
      </c>
      <c r="AC49"/>
      <c r="AD49">
        <f t="shared" si="0"/>
        <v>1.6368220975871743</v>
      </c>
      <c r="AE49">
        <f t="shared" si="2"/>
        <v>0</v>
      </c>
    </row>
    <row r="50" spans="2:31" ht="19.2" customHeight="1" x14ac:dyDescent="0.3">
      <c r="B50" s="6" t="s">
        <v>170</v>
      </c>
      <c r="C50" s="15" t="s">
        <v>171</v>
      </c>
      <c r="D50" s="16" t="s">
        <v>34</v>
      </c>
      <c r="E50" s="42" t="s">
        <v>172</v>
      </c>
      <c r="F50" s="17">
        <v>0</v>
      </c>
      <c r="G50" s="17">
        <v>0</v>
      </c>
      <c r="H50" s="17">
        <v>0</v>
      </c>
      <c r="I50" s="21">
        <v>1</v>
      </c>
      <c r="J50" s="17">
        <v>0</v>
      </c>
      <c r="K50" s="17">
        <v>0</v>
      </c>
      <c r="L50" s="21">
        <v>1</v>
      </c>
      <c r="M50" s="18">
        <v>0</v>
      </c>
      <c r="N50" s="17">
        <v>0</v>
      </c>
      <c r="O50" s="17">
        <v>0</v>
      </c>
      <c r="P50" s="19">
        <v>0</v>
      </c>
      <c r="Q50" s="20">
        <v>0</v>
      </c>
      <c r="R50" s="17">
        <v>0</v>
      </c>
      <c r="S50" s="20">
        <v>0</v>
      </c>
      <c r="T50" s="17">
        <v>0</v>
      </c>
      <c r="U50" s="17">
        <v>0</v>
      </c>
      <c r="V50" s="17">
        <v>0</v>
      </c>
      <c r="W50" s="17">
        <v>0</v>
      </c>
      <c r="X50" s="20">
        <v>0</v>
      </c>
      <c r="Y50" s="22">
        <f t="shared" si="1"/>
        <v>2</v>
      </c>
      <c r="Z50" s="23">
        <f t="shared" si="3"/>
        <v>18.5</v>
      </c>
      <c r="AA50" s="22">
        <f t="array" ref="AA50">MAX(IF(F50:X50 &gt; 0, $F$4:$X$4)) - MIN(IF(F50:X50 &gt; 0, $F$4:$X$4))</f>
        <v>3</v>
      </c>
      <c r="AB50" s="22" t="s">
        <v>79</v>
      </c>
      <c r="AC50"/>
      <c r="AD50">
        <f t="shared" si="0"/>
        <v>1.8129133566428557</v>
      </c>
      <c r="AE50">
        <f t="shared" si="2"/>
        <v>0</v>
      </c>
    </row>
    <row r="51" spans="2:31" ht="19.2" customHeight="1" x14ac:dyDescent="0.3">
      <c r="B51" s="6" t="s">
        <v>173</v>
      </c>
      <c r="C51" s="7" t="s">
        <v>174</v>
      </c>
      <c r="D51" s="8" t="s">
        <v>34</v>
      </c>
      <c r="E51" s="41" t="s">
        <v>175</v>
      </c>
      <c r="F51" s="21">
        <v>1</v>
      </c>
      <c r="G51" s="26">
        <v>0</v>
      </c>
      <c r="H51" s="9">
        <v>0</v>
      </c>
      <c r="I51" s="21">
        <v>1</v>
      </c>
      <c r="J51" s="9">
        <v>0</v>
      </c>
      <c r="K51" s="9">
        <v>0</v>
      </c>
      <c r="L51" s="21">
        <v>1</v>
      </c>
      <c r="M51" s="28">
        <v>0</v>
      </c>
      <c r="N51" s="9">
        <v>0</v>
      </c>
      <c r="O51" s="9">
        <v>0</v>
      </c>
      <c r="P51" s="11">
        <v>0</v>
      </c>
      <c r="Q51" s="12">
        <v>0</v>
      </c>
      <c r="R51" s="9">
        <v>0</v>
      </c>
      <c r="S51" s="12">
        <v>0</v>
      </c>
      <c r="T51" s="9">
        <v>0</v>
      </c>
      <c r="U51" s="9">
        <v>0</v>
      </c>
      <c r="V51" s="9">
        <v>0</v>
      </c>
      <c r="W51" s="9">
        <v>0</v>
      </c>
      <c r="X51" s="12">
        <v>0</v>
      </c>
      <c r="Y51" s="24">
        <f t="shared" si="1"/>
        <v>3</v>
      </c>
      <c r="Z51" s="25">
        <f t="shared" si="3"/>
        <v>17</v>
      </c>
      <c r="AA51" s="24">
        <f t="array" ref="AA51">MAX(IF(F51:X51 &gt; 0, $F$4:$X$4)) - MIN(IF(F51:X51 &gt; 0, $F$4:$X$4))</f>
        <v>6</v>
      </c>
      <c r="AB51" s="24" t="s">
        <v>79</v>
      </c>
      <c r="AC51"/>
      <c r="AD51">
        <f t="shared" si="0"/>
        <v>1.6368220975871743</v>
      </c>
      <c r="AE51">
        <f t="shared" si="2"/>
        <v>0</v>
      </c>
    </row>
    <row r="52" spans="2:31" ht="19.2" customHeight="1" x14ac:dyDescent="0.3">
      <c r="B52" s="6" t="s">
        <v>176</v>
      </c>
      <c r="C52" s="15" t="s">
        <v>177</v>
      </c>
      <c r="D52" s="16" t="s">
        <v>58</v>
      </c>
      <c r="E52" s="42" t="s">
        <v>178</v>
      </c>
      <c r="F52" s="17">
        <v>0</v>
      </c>
      <c r="G52" s="17">
        <v>0</v>
      </c>
      <c r="H52" s="17">
        <v>0</v>
      </c>
      <c r="I52" s="17">
        <v>0</v>
      </c>
      <c r="J52" s="17">
        <v>0</v>
      </c>
      <c r="K52" s="17">
        <v>0</v>
      </c>
      <c r="L52" s="17">
        <v>0</v>
      </c>
      <c r="M52" s="18">
        <v>0</v>
      </c>
      <c r="N52" s="21">
        <v>1</v>
      </c>
      <c r="O52" s="21">
        <v>1</v>
      </c>
      <c r="P52" s="19">
        <v>0</v>
      </c>
      <c r="Q52" s="20">
        <v>0</v>
      </c>
      <c r="R52" s="17">
        <v>0</v>
      </c>
      <c r="S52" s="20">
        <v>0</v>
      </c>
      <c r="T52" s="17">
        <v>0</v>
      </c>
      <c r="U52" s="17">
        <v>0</v>
      </c>
      <c r="V52" s="17">
        <v>0</v>
      </c>
      <c r="W52" s="17">
        <v>0</v>
      </c>
      <c r="X52" s="20">
        <v>0</v>
      </c>
      <c r="Y52" s="22">
        <f t="shared" si="1"/>
        <v>2</v>
      </c>
      <c r="Z52" s="23">
        <f t="shared" si="3"/>
        <v>21.5</v>
      </c>
      <c r="AA52" s="22">
        <f t="array" ref="AA52">MAX(IF(F52:X52 &gt; 0, $F$4:$X$4)) - MIN(IF(F52:X52 &gt; 0, $F$4:$X$4))</f>
        <v>1</v>
      </c>
      <c r="AB52" s="22" t="s">
        <v>31</v>
      </c>
      <c r="AC52"/>
      <c r="AD52">
        <f t="shared" si="0"/>
        <v>1.8129133566428557</v>
      </c>
      <c r="AE52">
        <f t="shared" si="2"/>
        <v>0</v>
      </c>
    </row>
    <row r="53" spans="2:31" ht="19.2" customHeight="1" x14ac:dyDescent="0.3">
      <c r="B53" s="29" t="s">
        <v>179</v>
      </c>
      <c r="C53" s="30" t="s">
        <v>180</v>
      </c>
      <c r="D53" s="31" t="s">
        <v>34</v>
      </c>
      <c r="E53" s="43" t="s">
        <v>181</v>
      </c>
      <c r="F53" s="32">
        <v>1</v>
      </c>
      <c r="G53" s="33">
        <v>0</v>
      </c>
      <c r="H53" s="34">
        <v>0</v>
      </c>
      <c r="I53" s="32">
        <v>1</v>
      </c>
      <c r="J53" s="34">
        <v>0</v>
      </c>
      <c r="K53" s="34">
        <v>0</v>
      </c>
      <c r="L53" s="32">
        <v>1</v>
      </c>
      <c r="M53" s="35">
        <v>0</v>
      </c>
      <c r="N53" s="34">
        <v>0</v>
      </c>
      <c r="O53" s="34">
        <v>0</v>
      </c>
      <c r="P53" s="36">
        <v>0</v>
      </c>
      <c r="Q53" s="37">
        <v>0</v>
      </c>
      <c r="R53" s="34">
        <v>0</v>
      </c>
      <c r="S53" s="37">
        <v>0</v>
      </c>
      <c r="T53" s="34">
        <v>0</v>
      </c>
      <c r="U53" s="34">
        <v>0</v>
      </c>
      <c r="V53" s="34">
        <v>0</v>
      </c>
      <c r="W53" s="34">
        <v>0</v>
      </c>
      <c r="X53" s="37">
        <v>0</v>
      </c>
      <c r="Y53" s="38">
        <f t="shared" si="1"/>
        <v>3</v>
      </c>
      <c r="Z53" s="39">
        <f t="shared" si="3"/>
        <v>17</v>
      </c>
      <c r="AA53" s="38">
        <f t="array" ref="AA53">MAX(IF(F53:X53 &gt; 0, $F$4:$X$4)) - MIN(IF(F53:X53 &gt; 0, $F$4:$X$4))</f>
        <v>6</v>
      </c>
      <c r="AB53" s="38" t="s">
        <v>31</v>
      </c>
      <c r="AC53"/>
      <c r="AD53">
        <f t="shared" si="0"/>
        <v>1.6368220975871743</v>
      </c>
      <c r="AE53">
        <f t="shared" si="2"/>
        <v>0</v>
      </c>
    </row>
  </sheetData>
  <conditionalFormatting sqref="F5:X53">
    <cfRule type="cellIs" dxfId="6"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53"/>
  <sheetViews>
    <sheetView workbookViewId="0"/>
  </sheetViews>
  <sheetFormatPr baseColWidth="10" defaultRowHeight="14.4" x14ac:dyDescent="0.3"/>
  <cols>
    <col min="5" max="5" width="94.109375" style="40" customWidth="1"/>
  </cols>
  <sheetData>
    <row r="3" spans="2:6" ht="9.6" customHeight="1" x14ac:dyDescent="0.3">
      <c r="B3" s="2"/>
      <c r="C3" s="3"/>
      <c r="D3" s="3"/>
      <c r="E3" s="46"/>
      <c r="F3" s="60"/>
    </row>
    <row r="4" spans="2:6" x14ac:dyDescent="0.3">
      <c r="B4" s="4" t="s">
        <v>19</v>
      </c>
      <c r="C4" s="5" t="s">
        <v>20</v>
      </c>
      <c r="D4" s="5" t="s">
        <v>21</v>
      </c>
      <c r="E4" s="47" t="s">
        <v>22</v>
      </c>
      <c r="F4" s="58" t="s">
        <v>26</v>
      </c>
    </row>
    <row r="5" spans="2:6" ht="19.2" customHeight="1" x14ac:dyDescent="0.3">
      <c r="B5" s="6" t="s">
        <v>27</v>
      </c>
      <c r="C5" s="7" t="s">
        <v>28</v>
      </c>
      <c r="D5" s="8" t="s">
        <v>29</v>
      </c>
      <c r="E5" s="41" t="s">
        <v>30</v>
      </c>
      <c r="F5" s="14" t="s">
        <v>31</v>
      </c>
    </row>
    <row r="6" spans="2:6" ht="19.2" customHeight="1" x14ac:dyDescent="0.3">
      <c r="B6" s="6" t="s">
        <v>32</v>
      </c>
      <c r="C6" s="15" t="s">
        <v>33</v>
      </c>
      <c r="D6" s="16" t="s">
        <v>34</v>
      </c>
      <c r="E6" s="42" t="s">
        <v>35</v>
      </c>
      <c r="F6" s="22" t="s">
        <v>31</v>
      </c>
    </row>
    <row r="7" spans="2:6" ht="19.2" customHeight="1" x14ac:dyDescent="0.3">
      <c r="B7" s="6" t="s">
        <v>36</v>
      </c>
      <c r="C7" s="7" t="s">
        <v>37</v>
      </c>
      <c r="D7" s="8" t="s">
        <v>29</v>
      </c>
      <c r="E7" s="41" t="s">
        <v>38</v>
      </c>
      <c r="F7" s="24" t="s">
        <v>39</v>
      </c>
    </row>
    <row r="8" spans="2:6" ht="19.2" customHeight="1" x14ac:dyDescent="0.3">
      <c r="B8" s="6" t="s">
        <v>40</v>
      </c>
      <c r="C8" s="15" t="s">
        <v>41</v>
      </c>
      <c r="D8" s="16" t="s">
        <v>29</v>
      </c>
      <c r="E8" s="42" t="s">
        <v>42</v>
      </c>
      <c r="F8" s="22" t="s">
        <v>39</v>
      </c>
    </row>
    <row r="9" spans="2:6" ht="19.2" customHeight="1" x14ac:dyDescent="0.3">
      <c r="B9" s="6" t="s">
        <v>43</v>
      </c>
      <c r="C9" s="7" t="s">
        <v>44</v>
      </c>
      <c r="D9" s="8" t="s">
        <v>29</v>
      </c>
      <c r="E9" s="41" t="s">
        <v>45</v>
      </c>
      <c r="F9" s="24" t="s">
        <v>31</v>
      </c>
    </row>
    <row r="10" spans="2:6" ht="19.2" customHeight="1" x14ac:dyDescent="0.3">
      <c r="B10" s="6" t="s">
        <v>46</v>
      </c>
      <c r="C10" s="15" t="s">
        <v>47</v>
      </c>
      <c r="D10" s="16" t="s">
        <v>48</v>
      </c>
      <c r="E10" s="42" t="s">
        <v>49</v>
      </c>
      <c r="F10" s="22" t="s">
        <v>31</v>
      </c>
    </row>
    <row r="11" spans="2:6" ht="19.2" customHeight="1" x14ac:dyDescent="0.3">
      <c r="B11" s="6" t="s">
        <v>50</v>
      </c>
      <c r="C11" s="7" t="s">
        <v>51</v>
      </c>
      <c r="D11" s="8" t="s">
        <v>29</v>
      </c>
      <c r="E11" s="41" t="s">
        <v>52</v>
      </c>
      <c r="F11" s="24" t="s">
        <v>31</v>
      </c>
    </row>
    <row r="12" spans="2:6" ht="19.2" customHeight="1" x14ac:dyDescent="0.3">
      <c r="B12" s="6" t="s">
        <v>53</v>
      </c>
      <c r="C12" s="15" t="s">
        <v>54</v>
      </c>
      <c r="D12" s="16" t="s">
        <v>29</v>
      </c>
      <c r="E12" s="42" t="s">
        <v>55</v>
      </c>
      <c r="F12" s="22" t="s">
        <v>39</v>
      </c>
    </row>
    <row r="13" spans="2:6" ht="19.2" customHeight="1" x14ac:dyDescent="0.3">
      <c r="B13" s="6" t="s">
        <v>56</v>
      </c>
      <c r="C13" s="7" t="s">
        <v>57</v>
      </c>
      <c r="D13" s="8" t="s">
        <v>58</v>
      </c>
      <c r="E13" s="41" t="s">
        <v>59</v>
      </c>
      <c r="F13" s="24" t="s">
        <v>39</v>
      </c>
    </row>
    <row r="14" spans="2:6" ht="19.2" customHeight="1" x14ac:dyDescent="0.3">
      <c r="B14" s="6" t="s">
        <v>60</v>
      </c>
      <c r="C14" s="15" t="s">
        <v>61</v>
      </c>
      <c r="D14" s="16" t="s">
        <v>34</v>
      </c>
      <c r="E14" s="42" t="s">
        <v>62</v>
      </c>
      <c r="F14" s="22" t="s">
        <v>31</v>
      </c>
    </row>
    <row r="15" spans="2:6" ht="19.2" customHeight="1" x14ac:dyDescent="0.3">
      <c r="B15" s="6" t="s">
        <v>63</v>
      </c>
      <c r="C15" s="7" t="s">
        <v>64</v>
      </c>
      <c r="D15" s="8" t="s">
        <v>58</v>
      </c>
      <c r="E15" s="41" t="s">
        <v>65</v>
      </c>
      <c r="F15" s="24" t="s">
        <v>66</v>
      </c>
    </row>
    <row r="16" spans="2:6" ht="19.2" customHeight="1" x14ac:dyDescent="0.3">
      <c r="B16" s="6" t="s">
        <v>67</v>
      </c>
      <c r="C16" s="15" t="s">
        <v>68</v>
      </c>
      <c r="D16" s="16" t="s">
        <v>29</v>
      </c>
      <c r="E16" s="42" t="s">
        <v>69</v>
      </c>
      <c r="F16" s="22" t="s">
        <v>31</v>
      </c>
    </row>
    <row r="17" spans="2:6" ht="19.2" customHeight="1" x14ac:dyDescent="0.3">
      <c r="B17" s="6" t="s">
        <v>70</v>
      </c>
      <c r="C17" s="7" t="s">
        <v>71</v>
      </c>
      <c r="D17" s="8" t="s">
        <v>48</v>
      </c>
      <c r="E17" s="41" t="s">
        <v>72</v>
      </c>
      <c r="F17" s="24" t="s">
        <v>39</v>
      </c>
    </row>
    <row r="18" spans="2:6" ht="19.2" customHeight="1" x14ac:dyDescent="0.3">
      <c r="B18" s="6" t="s">
        <v>73</v>
      </c>
      <c r="C18" s="15" t="s">
        <v>74</v>
      </c>
      <c r="D18" s="16" t="s">
        <v>34</v>
      </c>
      <c r="E18" s="42" t="s">
        <v>75</v>
      </c>
      <c r="F18" s="22" t="s">
        <v>66</v>
      </c>
    </row>
    <row r="19" spans="2:6" ht="19.2" customHeight="1" x14ac:dyDescent="0.3">
      <c r="B19" s="6" t="s">
        <v>76</v>
      </c>
      <c r="C19" s="7" t="s">
        <v>77</v>
      </c>
      <c r="D19" s="8" t="s">
        <v>58</v>
      </c>
      <c r="E19" s="41" t="s">
        <v>78</v>
      </c>
      <c r="F19" s="24" t="s">
        <v>79</v>
      </c>
    </row>
    <row r="20" spans="2:6" ht="19.2" customHeight="1" x14ac:dyDescent="0.3">
      <c r="B20" s="6" t="s">
        <v>80</v>
      </c>
      <c r="C20" s="15" t="s">
        <v>81</v>
      </c>
      <c r="D20" s="16" t="s">
        <v>34</v>
      </c>
      <c r="E20" s="42" t="s">
        <v>82</v>
      </c>
      <c r="F20" s="22" t="s">
        <v>79</v>
      </c>
    </row>
    <row r="21" spans="2:6" ht="19.2" customHeight="1" x14ac:dyDescent="0.3">
      <c r="B21" s="6" t="s">
        <v>83</v>
      </c>
      <c r="C21" s="7" t="s">
        <v>84</v>
      </c>
      <c r="D21" s="8" t="s">
        <v>48</v>
      </c>
      <c r="E21" s="41" t="s">
        <v>85</v>
      </c>
      <c r="F21" s="24" t="s">
        <v>79</v>
      </c>
    </row>
    <row r="22" spans="2:6" ht="19.2" customHeight="1" x14ac:dyDescent="0.3">
      <c r="B22" s="6" t="s">
        <v>86</v>
      </c>
      <c r="C22" s="15" t="s">
        <v>87</v>
      </c>
      <c r="D22" s="16" t="s">
        <v>34</v>
      </c>
      <c r="E22" s="42" t="s">
        <v>88</v>
      </c>
      <c r="F22" s="22" t="s">
        <v>79</v>
      </c>
    </row>
    <row r="23" spans="2:6" ht="19.2" customHeight="1" x14ac:dyDescent="0.3">
      <c r="B23" s="6" t="s">
        <v>89</v>
      </c>
      <c r="C23" s="7" t="s">
        <v>90</v>
      </c>
      <c r="D23" s="8" t="s">
        <v>58</v>
      </c>
      <c r="E23" s="41" t="s">
        <v>91</v>
      </c>
      <c r="F23" s="24" t="s">
        <v>66</v>
      </c>
    </row>
    <row r="24" spans="2:6" ht="19.2" customHeight="1" x14ac:dyDescent="0.3">
      <c r="B24" s="6" t="s">
        <v>92</v>
      </c>
      <c r="C24" s="15" t="s">
        <v>93</v>
      </c>
      <c r="D24" s="16" t="s">
        <v>58</v>
      </c>
      <c r="E24" s="42" t="s">
        <v>94</v>
      </c>
      <c r="F24" s="22" t="s">
        <v>66</v>
      </c>
    </row>
    <row r="25" spans="2:6" ht="19.2" customHeight="1" x14ac:dyDescent="0.3">
      <c r="B25" s="6" t="s">
        <v>95</v>
      </c>
      <c r="C25" s="7" t="s">
        <v>96</v>
      </c>
      <c r="D25" s="8" t="s">
        <v>58</v>
      </c>
      <c r="E25" s="41" t="s">
        <v>97</v>
      </c>
      <c r="F25" s="24" t="s">
        <v>39</v>
      </c>
    </row>
    <row r="26" spans="2:6" ht="19.2" customHeight="1" x14ac:dyDescent="0.3">
      <c r="B26" s="6" t="s">
        <v>98</v>
      </c>
      <c r="C26" s="15" t="s">
        <v>99</v>
      </c>
      <c r="D26" s="16" t="s">
        <v>58</v>
      </c>
      <c r="E26" s="42" t="s">
        <v>100</v>
      </c>
      <c r="F26" s="22" t="s">
        <v>39</v>
      </c>
    </row>
    <row r="27" spans="2:6" ht="19.2" customHeight="1" x14ac:dyDescent="0.3">
      <c r="B27" s="6" t="s">
        <v>101</v>
      </c>
      <c r="C27" s="7" t="s">
        <v>102</v>
      </c>
      <c r="D27" s="8" t="s">
        <v>34</v>
      </c>
      <c r="E27" s="41" t="s">
        <v>103</v>
      </c>
      <c r="F27" s="24" t="s">
        <v>39</v>
      </c>
    </row>
    <row r="28" spans="2:6" ht="19.2" customHeight="1" x14ac:dyDescent="0.3">
      <c r="B28" s="6" t="s">
        <v>104</v>
      </c>
      <c r="C28" s="15" t="s">
        <v>105</v>
      </c>
      <c r="D28" s="16" t="s">
        <v>58</v>
      </c>
      <c r="E28" s="42" t="s">
        <v>106</v>
      </c>
      <c r="F28" s="22" t="s">
        <v>31</v>
      </c>
    </row>
    <row r="29" spans="2:6" ht="19.2" customHeight="1" x14ac:dyDescent="0.3">
      <c r="B29" s="6" t="s">
        <v>107</v>
      </c>
      <c r="C29" s="7" t="s">
        <v>108</v>
      </c>
      <c r="D29" s="8" t="s">
        <v>58</v>
      </c>
      <c r="E29" s="41" t="s">
        <v>109</v>
      </c>
      <c r="F29" s="24" t="s">
        <v>31</v>
      </c>
    </row>
    <row r="30" spans="2:6" ht="19.2" customHeight="1" x14ac:dyDescent="0.3">
      <c r="B30" s="6" t="s">
        <v>110</v>
      </c>
      <c r="C30" s="15" t="s">
        <v>111</v>
      </c>
      <c r="D30" s="16" t="s">
        <v>34</v>
      </c>
      <c r="E30" s="42" t="s">
        <v>112</v>
      </c>
      <c r="F30" s="22" t="s">
        <v>66</v>
      </c>
    </row>
    <row r="31" spans="2:6" ht="19.2" customHeight="1" x14ac:dyDescent="0.3">
      <c r="B31" s="6" t="s">
        <v>113</v>
      </c>
      <c r="C31" s="7" t="s">
        <v>114</v>
      </c>
      <c r="D31" s="8" t="s">
        <v>58</v>
      </c>
      <c r="E31" s="41" t="s">
        <v>115</v>
      </c>
      <c r="F31" s="24" t="s">
        <v>79</v>
      </c>
    </row>
    <row r="32" spans="2:6" ht="19.2" customHeight="1" x14ac:dyDescent="0.3">
      <c r="B32" s="6" t="s">
        <v>116</v>
      </c>
      <c r="C32" s="15" t="s">
        <v>117</v>
      </c>
      <c r="D32" s="16" t="s">
        <v>58</v>
      </c>
      <c r="E32" s="42" t="s">
        <v>118</v>
      </c>
      <c r="F32" s="22" t="s">
        <v>39</v>
      </c>
    </row>
    <row r="33" spans="2:6" ht="19.2" customHeight="1" x14ac:dyDescent="0.3">
      <c r="B33" s="6" t="s">
        <v>119</v>
      </c>
      <c r="C33" s="7" t="s">
        <v>120</v>
      </c>
      <c r="D33" s="8" t="s">
        <v>58</v>
      </c>
      <c r="E33" s="41" t="s">
        <v>121</v>
      </c>
      <c r="F33" s="24" t="s">
        <v>79</v>
      </c>
    </row>
    <row r="34" spans="2:6" ht="19.2" customHeight="1" x14ac:dyDescent="0.3">
      <c r="B34" s="6" t="s">
        <v>122</v>
      </c>
      <c r="C34" s="15" t="s">
        <v>123</v>
      </c>
      <c r="D34" s="16" t="s">
        <v>58</v>
      </c>
      <c r="E34" s="42" t="s">
        <v>124</v>
      </c>
      <c r="F34" s="22" t="s">
        <v>31</v>
      </c>
    </row>
    <row r="35" spans="2:6" ht="19.2" customHeight="1" x14ac:dyDescent="0.3">
      <c r="B35" s="6" t="s">
        <v>125</v>
      </c>
      <c r="C35" s="7" t="s">
        <v>126</v>
      </c>
      <c r="D35" s="8" t="s">
        <v>58</v>
      </c>
      <c r="E35" s="41" t="s">
        <v>127</v>
      </c>
      <c r="F35" s="24" t="s">
        <v>31</v>
      </c>
    </row>
    <row r="36" spans="2:6" ht="19.2" customHeight="1" x14ac:dyDescent="0.3">
      <c r="B36" s="6" t="s">
        <v>128</v>
      </c>
      <c r="C36" s="15" t="s">
        <v>129</v>
      </c>
      <c r="D36" s="16" t="s">
        <v>58</v>
      </c>
      <c r="E36" s="42" t="s">
        <v>130</v>
      </c>
      <c r="F36" s="22" t="s">
        <v>39</v>
      </c>
    </row>
    <row r="37" spans="2:6" ht="19.2" customHeight="1" x14ac:dyDescent="0.3">
      <c r="B37" s="6" t="s">
        <v>131</v>
      </c>
      <c r="C37" s="7" t="s">
        <v>132</v>
      </c>
      <c r="D37" s="8" t="s">
        <v>48</v>
      </c>
      <c r="E37" s="41" t="s">
        <v>133</v>
      </c>
      <c r="F37" s="24" t="s">
        <v>39</v>
      </c>
    </row>
    <row r="38" spans="2:6" ht="19.2" customHeight="1" x14ac:dyDescent="0.3">
      <c r="B38" s="6" t="s">
        <v>134</v>
      </c>
      <c r="C38" s="15" t="s">
        <v>135</v>
      </c>
      <c r="D38" s="16" t="s">
        <v>48</v>
      </c>
      <c r="E38" s="42" t="s">
        <v>136</v>
      </c>
      <c r="F38" s="22" t="s">
        <v>39</v>
      </c>
    </row>
    <row r="39" spans="2:6" ht="19.2" customHeight="1" x14ac:dyDescent="0.3">
      <c r="B39" s="6" t="s">
        <v>137</v>
      </c>
      <c r="C39" s="7" t="s">
        <v>138</v>
      </c>
      <c r="D39" s="8" t="s">
        <v>29</v>
      </c>
      <c r="E39" s="41" t="s">
        <v>139</v>
      </c>
      <c r="F39" s="24" t="s">
        <v>31</v>
      </c>
    </row>
    <row r="40" spans="2:6" ht="19.2" customHeight="1" x14ac:dyDescent="0.3">
      <c r="B40" s="6" t="s">
        <v>140</v>
      </c>
      <c r="C40" s="15" t="s">
        <v>141</v>
      </c>
      <c r="D40" s="16" t="s">
        <v>29</v>
      </c>
      <c r="E40" s="42" t="s">
        <v>142</v>
      </c>
      <c r="F40" s="22" t="s">
        <v>31</v>
      </c>
    </row>
    <row r="41" spans="2:6" ht="19.2" customHeight="1" x14ac:dyDescent="0.3">
      <c r="B41" s="6" t="s">
        <v>143</v>
      </c>
      <c r="C41" s="7" t="s">
        <v>144</v>
      </c>
      <c r="D41" s="8" t="s">
        <v>34</v>
      </c>
      <c r="E41" s="41" t="s">
        <v>145</v>
      </c>
      <c r="F41" s="24" t="s">
        <v>79</v>
      </c>
    </row>
    <row r="42" spans="2:6" ht="19.2" customHeight="1" x14ac:dyDescent="0.3">
      <c r="B42" s="6" t="s">
        <v>146</v>
      </c>
      <c r="C42" s="15" t="s">
        <v>147</v>
      </c>
      <c r="D42" s="16" t="s">
        <v>34</v>
      </c>
      <c r="E42" s="42" t="s">
        <v>148</v>
      </c>
      <c r="F42" s="22" t="s">
        <v>79</v>
      </c>
    </row>
    <row r="43" spans="2:6" ht="19.2" customHeight="1" x14ac:dyDescent="0.3">
      <c r="B43" s="6" t="s">
        <v>149</v>
      </c>
      <c r="C43" s="7" t="s">
        <v>150</v>
      </c>
      <c r="D43" s="8" t="s">
        <v>34</v>
      </c>
      <c r="E43" s="41" t="s">
        <v>151</v>
      </c>
      <c r="F43" s="24" t="s">
        <v>39</v>
      </c>
    </row>
    <row r="44" spans="2:6" ht="19.2" customHeight="1" x14ac:dyDescent="0.3">
      <c r="B44" s="6" t="s">
        <v>152</v>
      </c>
      <c r="C44" s="15" t="s">
        <v>153</v>
      </c>
      <c r="D44" s="16" t="s">
        <v>58</v>
      </c>
      <c r="E44" s="42" t="s">
        <v>154</v>
      </c>
      <c r="F44" s="22" t="s">
        <v>39</v>
      </c>
    </row>
    <row r="45" spans="2:6" ht="19.2" customHeight="1" x14ac:dyDescent="0.3">
      <c r="B45" s="6" t="s">
        <v>155</v>
      </c>
      <c r="C45" s="7" t="s">
        <v>156</v>
      </c>
      <c r="D45" s="8" t="s">
        <v>58</v>
      </c>
      <c r="E45" s="41" t="s">
        <v>157</v>
      </c>
      <c r="F45" s="24" t="s">
        <v>66</v>
      </c>
    </row>
    <row r="46" spans="2:6" ht="19.2" customHeight="1" x14ac:dyDescent="0.3">
      <c r="B46" s="6" t="s">
        <v>158</v>
      </c>
      <c r="C46" s="15" t="s">
        <v>159</v>
      </c>
      <c r="D46" s="16" t="s">
        <v>34</v>
      </c>
      <c r="E46" s="42" t="s">
        <v>160</v>
      </c>
      <c r="F46" s="22" t="s">
        <v>31</v>
      </c>
    </row>
    <row r="47" spans="2:6" ht="19.2" customHeight="1" x14ac:dyDescent="0.3">
      <c r="B47" s="6" t="s">
        <v>161</v>
      </c>
      <c r="C47" s="7" t="s">
        <v>162</v>
      </c>
      <c r="D47" s="8" t="s">
        <v>34</v>
      </c>
      <c r="E47" s="41" t="s">
        <v>163</v>
      </c>
      <c r="F47" s="24" t="s">
        <v>39</v>
      </c>
    </row>
    <row r="48" spans="2:6" ht="19.2" customHeight="1" x14ac:dyDescent="0.3">
      <c r="B48" s="6" t="s">
        <v>164</v>
      </c>
      <c r="C48" s="15" t="s">
        <v>165</v>
      </c>
      <c r="D48" s="16" t="s">
        <v>34</v>
      </c>
      <c r="E48" s="42" t="s">
        <v>166</v>
      </c>
      <c r="F48" s="22" t="s">
        <v>79</v>
      </c>
    </row>
    <row r="49" spans="2:6" ht="19.2" customHeight="1" x14ac:dyDescent="0.3">
      <c r="B49" s="6" t="s">
        <v>167</v>
      </c>
      <c r="C49" s="7" t="s">
        <v>168</v>
      </c>
      <c r="D49" s="8" t="s">
        <v>34</v>
      </c>
      <c r="E49" s="41" t="s">
        <v>169</v>
      </c>
      <c r="F49" s="24" t="s">
        <v>79</v>
      </c>
    </row>
    <row r="50" spans="2:6" ht="19.2" customHeight="1" x14ac:dyDescent="0.3">
      <c r="B50" s="6" t="s">
        <v>170</v>
      </c>
      <c r="C50" s="15" t="s">
        <v>171</v>
      </c>
      <c r="D50" s="16" t="s">
        <v>34</v>
      </c>
      <c r="E50" s="42" t="s">
        <v>172</v>
      </c>
      <c r="F50" s="22" t="s">
        <v>79</v>
      </c>
    </row>
    <row r="51" spans="2:6" ht="19.2" customHeight="1" x14ac:dyDescent="0.3">
      <c r="B51" s="6" t="s">
        <v>173</v>
      </c>
      <c r="C51" s="7" t="s">
        <v>174</v>
      </c>
      <c r="D51" s="8" t="s">
        <v>34</v>
      </c>
      <c r="E51" s="41" t="s">
        <v>175</v>
      </c>
      <c r="F51" s="24" t="s">
        <v>79</v>
      </c>
    </row>
    <row r="52" spans="2:6" ht="19.2" customHeight="1" x14ac:dyDescent="0.3">
      <c r="B52" s="6" t="s">
        <v>176</v>
      </c>
      <c r="C52" s="15" t="s">
        <v>177</v>
      </c>
      <c r="D52" s="16" t="s">
        <v>58</v>
      </c>
      <c r="E52" s="42" t="s">
        <v>178</v>
      </c>
      <c r="F52" s="22" t="s">
        <v>31</v>
      </c>
    </row>
    <row r="53" spans="2:6" ht="19.2" customHeight="1" x14ac:dyDescent="0.3">
      <c r="B53" s="29" t="s">
        <v>179</v>
      </c>
      <c r="C53" s="30" t="s">
        <v>180</v>
      </c>
      <c r="D53" s="31" t="s">
        <v>34</v>
      </c>
      <c r="E53" s="43" t="s">
        <v>181</v>
      </c>
      <c r="F53" s="38"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F52"/>
  <sheetViews>
    <sheetView workbookViewId="0"/>
  </sheetViews>
  <sheetFormatPr baseColWidth="10" defaultRowHeight="14.4" x14ac:dyDescent="0.3"/>
  <cols>
    <col min="3" max="6" width="14" customWidth="1"/>
  </cols>
  <sheetData>
    <row r="3" spans="2:6" ht="20.55" customHeight="1" x14ac:dyDescent="0.3">
      <c r="B3" s="2"/>
      <c r="C3" s="44" t="s">
        <v>182</v>
      </c>
      <c r="D3" s="44" t="s">
        <v>183</v>
      </c>
      <c r="E3" s="44" t="s">
        <v>184</v>
      </c>
      <c r="F3" s="45" t="s">
        <v>185</v>
      </c>
    </row>
    <row r="4" spans="2:6" ht="19.2" customHeight="1" x14ac:dyDescent="0.3">
      <c r="B4" s="6" t="s">
        <v>27</v>
      </c>
      <c r="C4" s="61">
        <v>0</v>
      </c>
      <c r="D4" s="62">
        <v>0</v>
      </c>
      <c r="E4" s="62">
        <v>0</v>
      </c>
      <c r="F4" s="63">
        <v>1</v>
      </c>
    </row>
    <row r="5" spans="2:6" ht="19.2" customHeight="1" x14ac:dyDescent="0.3">
      <c r="B5" s="6" t="s">
        <v>32</v>
      </c>
      <c r="C5" s="61">
        <v>0</v>
      </c>
      <c r="D5" s="62">
        <v>0</v>
      </c>
      <c r="E5" s="62">
        <v>0</v>
      </c>
      <c r="F5" s="63">
        <v>1</v>
      </c>
    </row>
    <row r="6" spans="2:6" ht="19.2" customHeight="1" x14ac:dyDescent="0.3">
      <c r="B6" s="6" t="s">
        <v>36</v>
      </c>
      <c r="C6" s="61">
        <v>0</v>
      </c>
      <c r="D6" s="62">
        <v>0</v>
      </c>
      <c r="E6" s="62">
        <v>0</v>
      </c>
      <c r="F6" s="63">
        <v>1</v>
      </c>
    </row>
    <row r="7" spans="2:6" ht="19.2" customHeight="1" x14ac:dyDescent="0.3">
      <c r="B7" s="6" t="s">
        <v>40</v>
      </c>
      <c r="C7" s="61">
        <v>0</v>
      </c>
      <c r="D7" s="62">
        <v>0</v>
      </c>
      <c r="E7" s="62">
        <v>0</v>
      </c>
      <c r="F7" s="63">
        <v>1</v>
      </c>
    </row>
    <row r="8" spans="2:6" ht="19.2" customHeight="1" x14ac:dyDescent="0.3">
      <c r="B8" s="6" t="s">
        <v>43</v>
      </c>
      <c r="C8" s="61">
        <v>0</v>
      </c>
      <c r="D8" s="62">
        <v>0</v>
      </c>
      <c r="E8" s="62">
        <v>0</v>
      </c>
      <c r="F8" s="63">
        <v>1</v>
      </c>
    </row>
    <row r="9" spans="2:6" ht="19.2" customHeight="1" x14ac:dyDescent="0.3">
      <c r="B9" s="6" t="s">
        <v>46</v>
      </c>
      <c r="C9" s="61">
        <v>0</v>
      </c>
      <c r="D9" s="62">
        <v>0</v>
      </c>
      <c r="E9" s="62">
        <v>0</v>
      </c>
      <c r="F9" s="63">
        <v>1</v>
      </c>
    </row>
    <row r="10" spans="2:6" ht="19.2" customHeight="1" x14ac:dyDescent="0.3">
      <c r="B10" s="6" t="s">
        <v>50</v>
      </c>
      <c r="C10" s="61">
        <v>0</v>
      </c>
      <c r="D10" s="62">
        <v>0</v>
      </c>
      <c r="E10" s="62">
        <v>0</v>
      </c>
      <c r="F10" s="63">
        <v>1</v>
      </c>
    </row>
    <row r="11" spans="2:6" ht="19.2" customHeight="1" x14ac:dyDescent="0.3">
      <c r="B11" s="6" t="s">
        <v>53</v>
      </c>
      <c r="C11" s="61">
        <v>0</v>
      </c>
      <c r="D11" s="62">
        <v>0</v>
      </c>
      <c r="E11" s="62">
        <v>0</v>
      </c>
      <c r="F11" s="63">
        <v>1</v>
      </c>
    </row>
    <row r="12" spans="2:6" ht="19.2" customHeight="1" x14ac:dyDescent="0.3">
      <c r="B12" s="6" t="s">
        <v>56</v>
      </c>
      <c r="C12" s="61">
        <v>0</v>
      </c>
      <c r="D12" s="62">
        <v>0</v>
      </c>
      <c r="E12" s="62">
        <v>0</v>
      </c>
      <c r="F12" s="63">
        <v>1</v>
      </c>
    </row>
    <row r="13" spans="2:6" ht="19.2" customHeight="1" x14ac:dyDescent="0.3">
      <c r="B13" s="6" t="s">
        <v>60</v>
      </c>
      <c r="C13" s="61">
        <v>0</v>
      </c>
      <c r="D13" s="62">
        <v>0</v>
      </c>
      <c r="E13" s="62">
        <v>0</v>
      </c>
      <c r="F13" s="63">
        <v>1</v>
      </c>
    </row>
    <row r="14" spans="2:6" ht="19.2" customHeight="1" x14ac:dyDescent="0.3">
      <c r="B14" s="6" t="s">
        <v>63</v>
      </c>
      <c r="C14" s="61">
        <v>0</v>
      </c>
      <c r="D14" s="62">
        <v>1</v>
      </c>
      <c r="E14" s="62">
        <v>0</v>
      </c>
      <c r="F14" s="63">
        <v>1</v>
      </c>
    </row>
    <row r="15" spans="2:6" ht="19.2" customHeight="1" x14ac:dyDescent="0.3">
      <c r="B15" s="6" t="s">
        <v>67</v>
      </c>
      <c r="C15" s="61">
        <v>0</v>
      </c>
      <c r="D15" s="62">
        <v>0</v>
      </c>
      <c r="E15" s="62">
        <v>0</v>
      </c>
      <c r="F15" s="63">
        <v>1</v>
      </c>
    </row>
    <row r="16" spans="2:6" ht="19.2" customHeight="1" x14ac:dyDescent="0.3">
      <c r="B16" s="6" t="s">
        <v>70</v>
      </c>
      <c r="C16" s="61">
        <v>0</v>
      </c>
      <c r="D16" s="62">
        <v>0</v>
      </c>
      <c r="E16" s="62">
        <v>0</v>
      </c>
      <c r="F16" s="63">
        <v>1</v>
      </c>
    </row>
    <row r="17" spans="2:6" ht="19.2" customHeight="1" x14ac:dyDescent="0.3">
      <c r="B17" s="6" t="s">
        <v>73</v>
      </c>
      <c r="C17" s="61">
        <v>0</v>
      </c>
      <c r="D17" s="62">
        <v>1</v>
      </c>
      <c r="E17" s="62">
        <v>0</v>
      </c>
      <c r="F17" s="63">
        <v>1</v>
      </c>
    </row>
    <row r="18" spans="2:6" ht="19.2" customHeight="1" x14ac:dyDescent="0.3">
      <c r="B18" s="6" t="s">
        <v>76</v>
      </c>
      <c r="C18" s="61">
        <v>0</v>
      </c>
      <c r="D18" s="62">
        <v>0</v>
      </c>
      <c r="E18" s="62">
        <v>0</v>
      </c>
      <c r="F18" s="63">
        <v>1</v>
      </c>
    </row>
    <row r="19" spans="2:6" ht="19.2" customHeight="1" x14ac:dyDescent="0.3">
      <c r="B19" s="6" t="s">
        <v>80</v>
      </c>
      <c r="C19" s="61">
        <v>0</v>
      </c>
      <c r="D19" s="62">
        <v>1</v>
      </c>
      <c r="E19" s="62">
        <v>0</v>
      </c>
      <c r="F19" s="63">
        <v>0</v>
      </c>
    </row>
    <row r="20" spans="2:6" ht="19.2" customHeight="1" x14ac:dyDescent="0.3">
      <c r="B20" s="6" t="s">
        <v>83</v>
      </c>
      <c r="C20" s="61">
        <v>0</v>
      </c>
      <c r="D20" s="62">
        <v>1</v>
      </c>
      <c r="E20" s="62">
        <v>0</v>
      </c>
      <c r="F20" s="63">
        <v>0</v>
      </c>
    </row>
    <row r="21" spans="2:6" ht="19.2" customHeight="1" x14ac:dyDescent="0.3">
      <c r="B21" s="6" t="s">
        <v>86</v>
      </c>
      <c r="C21" s="61">
        <v>0</v>
      </c>
      <c r="D21" s="62">
        <v>1</v>
      </c>
      <c r="E21" s="62">
        <v>0</v>
      </c>
      <c r="F21" s="63">
        <v>0</v>
      </c>
    </row>
    <row r="22" spans="2:6" ht="19.2" customHeight="1" x14ac:dyDescent="0.3">
      <c r="B22" s="6" t="s">
        <v>89</v>
      </c>
      <c r="C22" s="61">
        <v>0</v>
      </c>
      <c r="D22" s="62">
        <v>1</v>
      </c>
      <c r="E22" s="62">
        <v>0</v>
      </c>
      <c r="F22" s="63">
        <v>1</v>
      </c>
    </row>
    <row r="23" spans="2:6" ht="19.2" customHeight="1" x14ac:dyDescent="0.3">
      <c r="B23" s="6" t="s">
        <v>92</v>
      </c>
      <c r="C23" s="61">
        <v>0</v>
      </c>
      <c r="D23" s="64">
        <v>1</v>
      </c>
      <c r="E23" s="62">
        <v>0</v>
      </c>
      <c r="F23" s="63">
        <v>1</v>
      </c>
    </row>
    <row r="24" spans="2:6" ht="19.2" customHeight="1" x14ac:dyDescent="0.3">
      <c r="B24" s="6" t="s">
        <v>95</v>
      </c>
      <c r="C24" s="61">
        <v>0</v>
      </c>
      <c r="D24" s="62">
        <v>0</v>
      </c>
      <c r="E24" s="62">
        <v>1</v>
      </c>
      <c r="F24" s="63">
        <v>0</v>
      </c>
    </row>
    <row r="25" spans="2:6" ht="19.2" customHeight="1" x14ac:dyDescent="0.3">
      <c r="B25" s="6" t="s">
        <v>98</v>
      </c>
      <c r="C25" s="61">
        <v>0</v>
      </c>
      <c r="D25" s="62">
        <v>0</v>
      </c>
      <c r="E25" s="62">
        <v>1</v>
      </c>
      <c r="F25" s="63">
        <v>0</v>
      </c>
    </row>
    <row r="26" spans="2:6" ht="19.2" customHeight="1" x14ac:dyDescent="0.3">
      <c r="B26" s="6" t="s">
        <v>101</v>
      </c>
      <c r="C26" s="61">
        <v>0</v>
      </c>
      <c r="D26" s="62">
        <v>1</v>
      </c>
      <c r="E26" s="62">
        <v>0</v>
      </c>
      <c r="F26" s="63">
        <v>1</v>
      </c>
    </row>
    <row r="27" spans="2:6" ht="19.2" customHeight="1" x14ac:dyDescent="0.3">
      <c r="B27" s="6" t="s">
        <v>104</v>
      </c>
      <c r="C27" s="61">
        <v>0</v>
      </c>
      <c r="D27" s="62">
        <v>0</v>
      </c>
      <c r="E27" s="62">
        <v>1</v>
      </c>
      <c r="F27" s="63">
        <v>0</v>
      </c>
    </row>
    <row r="28" spans="2:6" ht="19.2" customHeight="1" x14ac:dyDescent="0.3">
      <c r="B28" s="6" t="s">
        <v>107</v>
      </c>
      <c r="C28" s="61">
        <v>0</v>
      </c>
      <c r="D28" s="62">
        <v>0</v>
      </c>
      <c r="E28" s="62">
        <v>1</v>
      </c>
      <c r="F28" s="63">
        <v>0</v>
      </c>
    </row>
    <row r="29" spans="2:6" ht="19.2" customHeight="1" x14ac:dyDescent="0.3">
      <c r="B29" s="6" t="s">
        <v>110</v>
      </c>
      <c r="C29" s="61">
        <v>0</v>
      </c>
      <c r="D29" s="62">
        <v>0</v>
      </c>
      <c r="E29" s="62">
        <v>1</v>
      </c>
      <c r="F29" s="63">
        <v>0</v>
      </c>
    </row>
    <row r="30" spans="2:6" ht="19.2" customHeight="1" x14ac:dyDescent="0.3">
      <c r="B30" s="6" t="s">
        <v>113</v>
      </c>
      <c r="C30" s="61">
        <v>0</v>
      </c>
      <c r="D30" s="62">
        <v>0</v>
      </c>
      <c r="E30" s="62">
        <v>1</v>
      </c>
      <c r="F30" s="63">
        <v>0</v>
      </c>
    </row>
    <row r="31" spans="2:6" ht="19.2" customHeight="1" x14ac:dyDescent="0.3">
      <c r="B31" s="6" t="s">
        <v>116</v>
      </c>
      <c r="C31" s="61">
        <v>0</v>
      </c>
      <c r="D31" s="62">
        <v>0</v>
      </c>
      <c r="E31" s="62">
        <v>1</v>
      </c>
      <c r="F31" s="63">
        <v>0</v>
      </c>
    </row>
    <row r="32" spans="2:6" ht="19.2" customHeight="1" x14ac:dyDescent="0.3">
      <c r="B32" s="6" t="s">
        <v>119</v>
      </c>
      <c r="C32" s="61">
        <v>0</v>
      </c>
      <c r="D32" s="62">
        <v>0</v>
      </c>
      <c r="E32" s="62">
        <v>1</v>
      </c>
      <c r="F32" s="63">
        <v>0</v>
      </c>
    </row>
    <row r="33" spans="2:6" ht="19.2" customHeight="1" x14ac:dyDescent="0.3">
      <c r="B33" s="6" t="s">
        <v>122</v>
      </c>
      <c r="C33" s="61">
        <v>0</v>
      </c>
      <c r="D33" s="62">
        <v>0</v>
      </c>
      <c r="E33" s="62">
        <v>1</v>
      </c>
      <c r="F33" s="63">
        <v>0</v>
      </c>
    </row>
    <row r="34" spans="2:6" ht="19.2" customHeight="1" x14ac:dyDescent="0.3">
      <c r="B34" s="6" t="s">
        <v>125</v>
      </c>
      <c r="C34" s="61">
        <v>0</v>
      </c>
      <c r="D34" s="62">
        <v>0</v>
      </c>
      <c r="E34" s="62">
        <v>1</v>
      </c>
      <c r="F34" s="63">
        <v>0</v>
      </c>
    </row>
    <row r="35" spans="2:6" ht="19.2" customHeight="1" x14ac:dyDescent="0.3">
      <c r="B35" s="6" t="s">
        <v>128</v>
      </c>
      <c r="C35" s="61">
        <v>0</v>
      </c>
      <c r="D35" s="62">
        <v>0</v>
      </c>
      <c r="E35" s="62">
        <v>1</v>
      </c>
      <c r="F35" s="63">
        <v>0</v>
      </c>
    </row>
    <row r="36" spans="2:6" ht="19.2" customHeight="1" x14ac:dyDescent="0.3">
      <c r="B36" s="6" t="s">
        <v>131</v>
      </c>
      <c r="C36" s="61">
        <v>0</v>
      </c>
      <c r="D36" s="62">
        <v>1</v>
      </c>
      <c r="E36" s="62">
        <v>1</v>
      </c>
      <c r="F36" s="63">
        <v>1</v>
      </c>
    </row>
    <row r="37" spans="2:6" ht="19.2" customHeight="1" x14ac:dyDescent="0.3">
      <c r="B37" s="6" t="s">
        <v>134</v>
      </c>
      <c r="C37" s="61">
        <v>0</v>
      </c>
      <c r="D37" s="62">
        <v>1</v>
      </c>
      <c r="E37" s="62">
        <v>0</v>
      </c>
      <c r="F37" s="63">
        <v>1</v>
      </c>
    </row>
    <row r="38" spans="2:6" ht="19.2" customHeight="1" x14ac:dyDescent="0.3">
      <c r="B38" s="6" t="s">
        <v>137</v>
      </c>
      <c r="C38" s="61">
        <v>0</v>
      </c>
      <c r="D38" s="62">
        <v>1</v>
      </c>
      <c r="E38" s="62">
        <v>0</v>
      </c>
      <c r="F38" s="63">
        <v>1</v>
      </c>
    </row>
    <row r="39" spans="2:6" ht="19.2" customHeight="1" x14ac:dyDescent="0.3">
      <c r="B39" s="6" t="s">
        <v>140</v>
      </c>
      <c r="C39" s="61">
        <v>1</v>
      </c>
      <c r="D39" s="62">
        <v>1</v>
      </c>
      <c r="E39" s="62">
        <v>1</v>
      </c>
      <c r="F39" s="63">
        <v>0</v>
      </c>
    </row>
    <row r="40" spans="2:6" ht="19.2" customHeight="1" x14ac:dyDescent="0.3">
      <c r="B40" s="6" t="s">
        <v>143</v>
      </c>
      <c r="C40" s="61">
        <v>0</v>
      </c>
      <c r="D40" s="62">
        <v>1</v>
      </c>
      <c r="E40" s="62">
        <v>0</v>
      </c>
      <c r="F40" s="63">
        <v>0</v>
      </c>
    </row>
    <row r="41" spans="2:6" ht="19.2" customHeight="1" x14ac:dyDescent="0.3">
      <c r="B41" s="6" t="s">
        <v>146</v>
      </c>
      <c r="C41" s="61">
        <v>1</v>
      </c>
      <c r="D41" s="62">
        <v>1</v>
      </c>
      <c r="E41" s="62">
        <v>0</v>
      </c>
      <c r="F41" s="63">
        <v>0</v>
      </c>
    </row>
    <row r="42" spans="2:6" ht="19.2" customHeight="1" x14ac:dyDescent="0.3">
      <c r="B42" s="6" t="s">
        <v>149</v>
      </c>
      <c r="C42" s="61">
        <v>1</v>
      </c>
      <c r="D42" s="62">
        <v>1</v>
      </c>
      <c r="E42" s="62">
        <v>0</v>
      </c>
      <c r="F42" s="63">
        <v>0</v>
      </c>
    </row>
    <row r="43" spans="2:6" ht="19.2" customHeight="1" x14ac:dyDescent="0.3">
      <c r="B43" s="6" t="s">
        <v>152</v>
      </c>
      <c r="C43" s="61">
        <v>1</v>
      </c>
      <c r="D43" s="62">
        <v>1</v>
      </c>
      <c r="E43" s="62">
        <v>0</v>
      </c>
      <c r="F43" s="63">
        <v>0</v>
      </c>
    </row>
    <row r="44" spans="2:6" ht="19.2" customHeight="1" x14ac:dyDescent="0.3">
      <c r="B44" s="6" t="s">
        <v>155</v>
      </c>
      <c r="C44" s="61">
        <v>1</v>
      </c>
      <c r="D44" s="62">
        <v>1</v>
      </c>
      <c r="E44" s="62">
        <v>0</v>
      </c>
      <c r="F44" s="63">
        <v>0</v>
      </c>
    </row>
    <row r="45" spans="2:6" ht="19.2" customHeight="1" x14ac:dyDescent="0.3">
      <c r="B45" s="6" t="s">
        <v>158</v>
      </c>
      <c r="C45" s="61">
        <v>1</v>
      </c>
      <c r="D45" s="62">
        <v>1</v>
      </c>
      <c r="E45" s="62">
        <v>0</v>
      </c>
      <c r="F45" s="63">
        <v>0</v>
      </c>
    </row>
    <row r="46" spans="2:6" ht="19.2" customHeight="1" x14ac:dyDescent="0.3">
      <c r="B46" s="6" t="s">
        <v>161</v>
      </c>
      <c r="C46" s="61">
        <v>1</v>
      </c>
      <c r="D46" s="62">
        <v>1</v>
      </c>
      <c r="E46" s="62">
        <v>0</v>
      </c>
      <c r="F46" s="63">
        <v>0</v>
      </c>
    </row>
    <row r="47" spans="2:6" ht="19.2" customHeight="1" x14ac:dyDescent="0.3">
      <c r="B47" s="6" t="s">
        <v>164</v>
      </c>
      <c r="C47" s="61">
        <v>1</v>
      </c>
      <c r="D47" s="62">
        <v>0</v>
      </c>
      <c r="E47" s="62">
        <v>0</v>
      </c>
      <c r="F47" s="63">
        <v>0</v>
      </c>
    </row>
    <row r="48" spans="2:6" ht="19.2" customHeight="1" x14ac:dyDescent="0.3">
      <c r="B48" s="6" t="s">
        <v>167</v>
      </c>
      <c r="C48" s="61">
        <v>1</v>
      </c>
      <c r="D48" s="62">
        <v>0</v>
      </c>
      <c r="E48" s="62">
        <v>0</v>
      </c>
      <c r="F48" s="63">
        <v>0</v>
      </c>
    </row>
    <row r="49" spans="2:6" ht="19.2" customHeight="1" x14ac:dyDescent="0.3">
      <c r="B49" s="6" t="s">
        <v>170</v>
      </c>
      <c r="C49" s="61">
        <v>1</v>
      </c>
      <c r="D49" s="62">
        <v>0</v>
      </c>
      <c r="E49" s="62">
        <v>0</v>
      </c>
      <c r="F49" s="63">
        <v>0</v>
      </c>
    </row>
    <row r="50" spans="2:6" ht="19.2" customHeight="1" x14ac:dyDescent="0.3">
      <c r="B50" s="6" t="s">
        <v>173</v>
      </c>
      <c r="C50" s="61">
        <v>1</v>
      </c>
      <c r="D50" s="62">
        <v>0</v>
      </c>
      <c r="E50" s="62">
        <v>0</v>
      </c>
      <c r="F50" s="63">
        <v>0</v>
      </c>
    </row>
    <row r="51" spans="2:6" ht="19.2" customHeight="1" x14ac:dyDescent="0.3">
      <c r="B51" s="6" t="s">
        <v>176</v>
      </c>
      <c r="C51" s="61">
        <v>0</v>
      </c>
      <c r="D51" s="62">
        <v>1</v>
      </c>
      <c r="E51" s="62">
        <v>0</v>
      </c>
      <c r="F51" s="63">
        <v>0</v>
      </c>
    </row>
    <row r="52" spans="2:6" ht="19.2" customHeight="1" x14ac:dyDescent="0.3">
      <c r="B52" s="29" t="s">
        <v>179</v>
      </c>
      <c r="C52" s="65">
        <v>1</v>
      </c>
      <c r="D52" s="66">
        <v>0</v>
      </c>
      <c r="E52" s="66">
        <v>0</v>
      </c>
      <c r="F52" s="67">
        <v>0</v>
      </c>
    </row>
  </sheetData>
  <conditionalFormatting sqref="C4:F52">
    <cfRule type="cellIs" dxfId="5" priority="1" operator="equal">
      <formul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V20"/>
  <sheetViews>
    <sheetView tabSelected="1" topLeftCell="A9" workbookViewId="0">
      <selection activeCell="A13" sqref="A13"/>
    </sheetView>
  </sheetViews>
  <sheetFormatPr baseColWidth="10" defaultColWidth="8.88671875" defaultRowHeight="14.4" x14ac:dyDescent="0.3"/>
  <cols>
    <col min="1" max="1" width="12" customWidth="1"/>
    <col min="2" max="2" width="38" customWidth="1"/>
    <col min="3" max="3" width="12" customWidth="1"/>
    <col min="4" max="4" width="20" customWidth="1"/>
    <col min="5" max="92" width="7" customWidth="1"/>
    <col min="93" max="93" width="65" customWidth="1"/>
    <col min="94" max="94" width="30" customWidth="1"/>
    <col min="95" max="95" width="28" customWidth="1"/>
    <col min="96" max="96" width="60" customWidth="1"/>
    <col min="97" max="97" width="16" customWidth="1"/>
    <col min="98" max="98" width="24" customWidth="1"/>
    <col min="99" max="99" width="30" customWidth="1"/>
    <col min="100" max="100" width="60" customWidth="1"/>
  </cols>
  <sheetData>
    <row r="1" spans="1:100" ht="20.55" customHeight="1" x14ac:dyDescent="0.3">
      <c r="A1" s="76" t="s">
        <v>186</v>
      </c>
      <c r="B1" s="76" t="s">
        <v>187</v>
      </c>
      <c r="C1" s="76" t="s">
        <v>188</v>
      </c>
      <c r="D1" s="76" t="s">
        <v>189</v>
      </c>
      <c r="E1" s="76" t="s">
        <v>27</v>
      </c>
      <c r="F1" s="76" t="s">
        <v>104</v>
      </c>
      <c r="G1" s="76" t="s">
        <v>32</v>
      </c>
      <c r="H1" s="76" t="s">
        <v>167</v>
      </c>
      <c r="I1" s="76" t="s">
        <v>146</v>
      </c>
      <c r="J1" s="76" t="s">
        <v>170</v>
      </c>
      <c r="K1" s="76" t="s">
        <v>43</v>
      </c>
      <c r="L1" s="76" t="s">
        <v>107</v>
      </c>
      <c r="M1" s="76" t="s">
        <v>149</v>
      </c>
      <c r="N1" s="76" t="s">
        <v>173</v>
      </c>
      <c r="O1" s="76" t="s">
        <v>176</v>
      </c>
      <c r="P1" s="76" t="s">
        <v>80</v>
      </c>
      <c r="Q1" s="76" t="s">
        <v>63</v>
      </c>
      <c r="R1" s="76" t="s">
        <v>83</v>
      </c>
      <c r="S1" s="76" t="s">
        <v>46</v>
      </c>
      <c r="T1" s="76" t="s">
        <v>179</v>
      </c>
      <c r="U1" s="76" t="s">
        <v>50</v>
      </c>
      <c r="V1" s="76" t="s">
        <v>40</v>
      </c>
      <c r="W1" s="76" t="s">
        <v>89</v>
      </c>
      <c r="X1" s="76" t="s">
        <v>70</v>
      </c>
      <c r="Y1" s="76" t="s">
        <v>110</v>
      </c>
      <c r="Z1" s="76" t="s">
        <v>158</v>
      </c>
      <c r="AA1" s="76" t="s">
        <v>113</v>
      </c>
      <c r="AB1" s="76" t="s">
        <v>53</v>
      </c>
      <c r="AC1" s="76" t="s">
        <v>116</v>
      </c>
      <c r="AD1" s="76" t="s">
        <v>56</v>
      </c>
      <c r="AE1" s="76" t="s">
        <v>140</v>
      </c>
      <c r="AF1" s="76" t="s">
        <v>60</v>
      </c>
      <c r="AG1" s="76" t="s">
        <v>119</v>
      </c>
      <c r="AH1" s="76" t="s">
        <v>137</v>
      </c>
      <c r="AI1" s="76" t="s">
        <v>125</v>
      </c>
      <c r="AJ1" s="76" t="s">
        <v>122</v>
      </c>
      <c r="AK1" s="76" t="s">
        <v>73</v>
      </c>
      <c r="AL1" s="76" t="s">
        <v>155</v>
      </c>
      <c r="AM1" s="76" t="s">
        <v>131</v>
      </c>
      <c r="AN1" s="76" t="s">
        <v>98</v>
      </c>
      <c r="AO1" s="76" t="s">
        <v>164</v>
      </c>
      <c r="AP1" s="76" t="s">
        <v>67</v>
      </c>
      <c r="AQ1" s="76" t="s">
        <v>92</v>
      </c>
      <c r="AR1" s="76" t="s">
        <v>143</v>
      </c>
      <c r="AS1" s="76" t="s">
        <v>101</v>
      </c>
      <c r="AT1" s="76" t="s">
        <v>161</v>
      </c>
      <c r="AU1" s="76" t="s">
        <v>36</v>
      </c>
      <c r="AV1" s="76" t="s">
        <v>86</v>
      </c>
      <c r="AW1" s="76" t="s">
        <v>152</v>
      </c>
      <c r="AX1" s="76" t="s">
        <v>128</v>
      </c>
      <c r="AY1" s="76" t="s">
        <v>134</v>
      </c>
      <c r="AZ1" s="76" t="s">
        <v>76</v>
      </c>
      <c r="BA1" s="76" t="s">
        <v>95</v>
      </c>
      <c r="BB1" s="76" t="s">
        <v>190</v>
      </c>
      <c r="BC1" s="76" t="s">
        <v>191</v>
      </c>
      <c r="BD1" s="76" t="s">
        <v>192</v>
      </c>
      <c r="BE1" s="76" t="s">
        <v>193</v>
      </c>
      <c r="BF1" s="76" t="s">
        <v>194</v>
      </c>
      <c r="BG1" s="76" t="s">
        <v>195</v>
      </c>
      <c r="BH1" s="76" t="s">
        <v>196</v>
      </c>
      <c r="BI1" s="76" t="s">
        <v>197</v>
      </c>
      <c r="BJ1" s="76" t="s">
        <v>198</v>
      </c>
      <c r="BK1" s="76" t="s">
        <v>199</v>
      </c>
      <c r="BL1" s="76" t="s">
        <v>200</v>
      </c>
      <c r="BM1" s="76" t="s">
        <v>201</v>
      </c>
      <c r="BN1" s="76" t="s">
        <v>202</v>
      </c>
      <c r="BO1" s="76" t="s">
        <v>203</v>
      </c>
      <c r="BP1" s="76" t="s">
        <v>204</v>
      </c>
      <c r="BQ1" s="76" t="s">
        <v>205</v>
      </c>
      <c r="BR1" s="76" t="s">
        <v>206</v>
      </c>
      <c r="BS1" s="76" t="s">
        <v>207</v>
      </c>
      <c r="BT1" s="76" t="s">
        <v>208</v>
      </c>
      <c r="BU1" s="76" t="s">
        <v>209</v>
      </c>
      <c r="BV1" s="76" t="s">
        <v>210</v>
      </c>
      <c r="BW1" s="76" t="s">
        <v>211</v>
      </c>
      <c r="BX1" s="76" t="s">
        <v>212</v>
      </c>
      <c r="BY1" s="76" t="s">
        <v>213</v>
      </c>
      <c r="BZ1" s="76" t="s">
        <v>214</v>
      </c>
      <c r="CA1" s="76" t="s">
        <v>215</v>
      </c>
      <c r="CB1" s="76" t="s">
        <v>216</v>
      </c>
      <c r="CC1" s="76" t="s">
        <v>217</v>
      </c>
      <c r="CD1" s="76" t="s">
        <v>218</v>
      </c>
      <c r="CE1" s="76" t="s">
        <v>219</v>
      </c>
      <c r="CF1" s="76" t="s">
        <v>220</v>
      </c>
      <c r="CG1" s="76" t="s">
        <v>221</v>
      </c>
      <c r="CH1" s="76" t="s">
        <v>222</v>
      </c>
      <c r="CI1" s="76" t="s">
        <v>223</v>
      </c>
      <c r="CJ1" s="76" t="s">
        <v>224</v>
      </c>
      <c r="CK1" s="76" t="s">
        <v>225</v>
      </c>
      <c r="CL1" s="76" t="s">
        <v>226</v>
      </c>
      <c r="CM1" s="76" t="s">
        <v>227</v>
      </c>
      <c r="CN1" s="76" t="s">
        <v>228</v>
      </c>
      <c r="CO1" s="76" t="s">
        <v>229</v>
      </c>
      <c r="CP1" s="77" t="s">
        <v>401</v>
      </c>
      <c r="CQ1" s="77" t="s">
        <v>402</v>
      </c>
      <c r="CR1" s="77" t="s">
        <v>403</v>
      </c>
      <c r="CS1" s="97" t="s">
        <v>404</v>
      </c>
      <c r="CT1" s="97" t="s">
        <v>405</v>
      </c>
      <c r="CU1" s="97" t="s">
        <v>406</v>
      </c>
      <c r="CV1" s="97" t="s">
        <v>407</v>
      </c>
    </row>
    <row r="2" spans="1:100" ht="57.6" x14ac:dyDescent="0.3">
      <c r="A2" s="71" t="s">
        <v>0</v>
      </c>
      <c r="B2" s="71" t="s">
        <v>408</v>
      </c>
      <c r="C2" s="71">
        <v>14</v>
      </c>
      <c r="D2" s="71" t="s">
        <v>409</v>
      </c>
      <c r="E2" s="71">
        <v>0</v>
      </c>
      <c r="F2" s="71">
        <v>0</v>
      </c>
      <c r="G2" s="71">
        <v>0</v>
      </c>
      <c r="H2" s="71">
        <v>1</v>
      </c>
      <c r="I2" s="71">
        <v>0</v>
      </c>
      <c r="J2" s="71">
        <v>0</v>
      </c>
      <c r="K2" s="71">
        <v>0</v>
      </c>
      <c r="L2" s="71">
        <v>0</v>
      </c>
      <c r="M2" s="71">
        <v>0</v>
      </c>
      <c r="N2" s="71">
        <v>1</v>
      </c>
      <c r="O2" s="71">
        <v>0</v>
      </c>
      <c r="P2" s="71">
        <v>0</v>
      </c>
      <c r="Q2" s="71">
        <v>0</v>
      </c>
      <c r="R2" s="71">
        <v>0</v>
      </c>
      <c r="S2" s="71">
        <v>0</v>
      </c>
      <c r="T2" s="71">
        <v>1</v>
      </c>
      <c r="U2" s="71">
        <v>0</v>
      </c>
      <c r="V2" s="71">
        <v>0</v>
      </c>
      <c r="W2" s="71">
        <v>0</v>
      </c>
      <c r="X2" s="71">
        <v>0</v>
      </c>
      <c r="Y2" s="71">
        <v>0</v>
      </c>
      <c r="Z2" s="71">
        <v>1</v>
      </c>
      <c r="AA2" s="71">
        <v>0</v>
      </c>
      <c r="AB2" s="71">
        <v>0</v>
      </c>
      <c r="AC2" s="71">
        <v>0</v>
      </c>
      <c r="AD2" s="71">
        <v>0</v>
      </c>
      <c r="AE2" s="71">
        <v>0</v>
      </c>
      <c r="AF2" s="71">
        <v>0</v>
      </c>
      <c r="AG2" s="71">
        <v>0</v>
      </c>
      <c r="AH2" s="71">
        <v>0</v>
      </c>
      <c r="AI2" s="71">
        <v>0</v>
      </c>
      <c r="AJ2" s="71">
        <v>0</v>
      </c>
      <c r="AK2" s="71">
        <v>0</v>
      </c>
      <c r="AL2" s="71">
        <v>0</v>
      </c>
      <c r="AM2" s="71">
        <v>0</v>
      </c>
      <c r="AN2" s="71">
        <v>0</v>
      </c>
      <c r="AO2" s="71">
        <v>0</v>
      </c>
      <c r="AP2" s="71">
        <v>0</v>
      </c>
      <c r="AQ2" s="71">
        <v>0</v>
      </c>
      <c r="AR2" s="71">
        <v>0</v>
      </c>
      <c r="AS2" s="71">
        <v>0</v>
      </c>
      <c r="AT2" s="71">
        <v>0</v>
      </c>
      <c r="AU2" s="71">
        <v>0</v>
      </c>
      <c r="AV2" s="71">
        <v>0</v>
      </c>
      <c r="AW2" s="71">
        <v>0</v>
      </c>
      <c r="AX2" s="71">
        <v>0</v>
      </c>
      <c r="AY2" s="71">
        <v>0</v>
      </c>
      <c r="AZ2" s="71">
        <v>0</v>
      </c>
      <c r="BA2" s="71">
        <v>0</v>
      </c>
      <c r="BB2" s="71">
        <v>0</v>
      </c>
      <c r="BC2" s="71">
        <v>0</v>
      </c>
      <c r="BD2" s="71">
        <v>0</v>
      </c>
      <c r="BE2" s="71">
        <v>1</v>
      </c>
      <c r="BF2" s="71">
        <v>0</v>
      </c>
      <c r="BG2" s="71">
        <v>1</v>
      </c>
      <c r="BH2" s="71">
        <v>0</v>
      </c>
      <c r="BI2" s="71">
        <v>0</v>
      </c>
      <c r="BJ2" s="71">
        <v>1</v>
      </c>
      <c r="BK2" s="71">
        <v>0</v>
      </c>
      <c r="BL2" s="71">
        <v>0</v>
      </c>
      <c r="BM2" s="71">
        <v>1</v>
      </c>
      <c r="BN2" s="71">
        <v>0</v>
      </c>
      <c r="BO2" s="71">
        <v>1</v>
      </c>
      <c r="BP2" s="71">
        <v>0</v>
      </c>
      <c r="BQ2" s="71">
        <v>1</v>
      </c>
      <c r="BR2" s="71">
        <v>0</v>
      </c>
      <c r="BS2" s="71">
        <v>1</v>
      </c>
      <c r="BT2" s="71">
        <v>1</v>
      </c>
      <c r="BU2" s="71">
        <v>0</v>
      </c>
      <c r="BV2" s="71">
        <v>0</v>
      </c>
      <c r="BW2" s="71">
        <v>0</v>
      </c>
      <c r="BX2" s="71">
        <v>0</v>
      </c>
      <c r="BY2" s="71">
        <v>0</v>
      </c>
      <c r="BZ2" s="71">
        <v>0</v>
      </c>
      <c r="CA2" s="71">
        <v>0</v>
      </c>
      <c r="CB2" s="71">
        <v>1</v>
      </c>
      <c r="CC2" s="71">
        <v>1</v>
      </c>
      <c r="CD2" s="71">
        <v>0</v>
      </c>
      <c r="CE2" s="71">
        <v>1</v>
      </c>
      <c r="CF2" s="71">
        <v>1</v>
      </c>
      <c r="CG2" s="71">
        <v>0</v>
      </c>
      <c r="CH2" s="71">
        <v>0</v>
      </c>
      <c r="CI2" s="71">
        <v>1</v>
      </c>
      <c r="CJ2" s="71">
        <v>1</v>
      </c>
      <c r="CK2" s="71">
        <v>1</v>
      </c>
      <c r="CL2" s="71">
        <v>0</v>
      </c>
      <c r="CM2" s="71">
        <v>1</v>
      </c>
      <c r="CN2" s="71">
        <v>1</v>
      </c>
      <c r="CO2" s="71" t="s">
        <v>410</v>
      </c>
      <c r="CP2" s="71" t="s">
        <v>411</v>
      </c>
      <c r="CQ2" s="71" t="s">
        <v>412</v>
      </c>
      <c r="CR2" s="71" t="s">
        <v>413</v>
      </c>
      <c r="CS2" s="71" t="s">
        <v>414</v>
      </c>
      <c r="CT2" s="71" t="s">
        <v>415</v>
      </c>
      <c r="CU2" s="71"/>
      <c r="CV2" s="71" t="s">
        <v>416</v>
      </c>
    </row>
    <row r="3" spans="1:100" ht="57.6" x14ac:dyDescent="0.3">
      <c r="A3" s="71" t="s">
        <v>1</v>
      </c>
      <c r="B3" s="71" t="s">
        <v>417</v>
      </c>
      <c r="C3" s="71">
        <v>15</v>
      </c>
      <c r="D3" s="71" t="s">
        <v>398</v>
      </c>
      <c r="E3" s="71">
        <v>0</v>
      </c>
      <c r="F3" s="71">
        <v>0</v>
      </c>
      <c r="G3" s="71">
        <v>0</v>
      </c>
      <c r="H3" s="71">
        <v>0</v>
      </c>
      <c r="I3" s="71">
        <v>0</v>
      </c>
      <c r="J3" s="71">
        <v>0</v>
      </c>
      <c r="K3" s="71">
        <v>0</v>
      </c>
      <c r="L3" s="71">
        <v>0</v>
      </c>
      <c r="M3" s="71">
        <v>0</v>
      </c>
      <c r="N3" s="71">
        <v>0</v>
      </c>
      <c r="O3" s="71">
        <v>0</v>
      </c>
      <c r="P3" s="71">
        <v>0</v>
      </c>
      <c r="Q3" s="71">
        <v>0</v>
      </c>
      <c r="R3" s="71">
        <v>0</v>
      </c>
      <c r="S3" s="71">
        <v>0</v>
      </c>
      <c r="T3" s="71">
        <v>0</v>
      </c>
      <c r="U3" s="71">
        <v>0</v>
      </c>
      <c r="V3" s="71">
        <v>0</v>
      </c>
      <c r="W3" s="71">
        <v>0</v>
      </c>
      <c r="X3" s="71">
        <v>0</v>
      </c>
      <c r="Y3" s="71">
        <v>0</v>
      </c>
      <c r="Z3" s="71">
        <v>0</v>
      </c>
      <c r="AA3" s="71">
        <v>0</v>
      </c>
      <c r="AB3" s="71">
        <v>0</v>
      </c>
      <c r="AC3" s="71">
        <v>0</v>
      </c>
      <c r="AD3" s="71">
        <v>0</v>
      </c>
      <c r="AE3" s="71">
        <v>0</v>
      </c>
      <c r="AF3" s="71">
        <v>0</v>
      </c>
      <c r="AG3" s="71">
        <v>0</v>
      </c>
      <c r="AH3" s="71">
        <v>0</v>
      </c>
      <c r="AI3" s="71">
        <v>0</v>
      </c>
      <c r="AJ3" s="71">
        <v>0</v>
      </c>
      <c r="AK3" s="71">
        <v>0</v>
      </c>
      <c r="AL3" s="71">
        <v>0</v>
      </c>
      <c r="AM3" s="71">
        <v>0</v>
      </c>
      <c r="AN3" s="71">
        <v>0</v>
      </c>
      <c r="AO3" s="71">
        <v>0</v>
      </c>
      <c r="AP3" s="71">
        <v>0</v>
      </c>
      <c r="AQ3" s="71">
        <v>0</v>
      </c>
      <c r="AR3" s="71">
        <v>0</v>
      </c>
      <c r="AS3" s="71">
        <v>0</v>
      </c>
      <c r="AT3" s="71">
        <v>0</v>
      </c>
      <c r="AU3" s="71">
        <v>0</v>
      </c>
      <c r="AV3" s="71">
        <v>0</v>
      </c>
      <c r="AW3" s="71">
        <v>0</v>
      </c>
      <c r="AX3" s="71">
        <v>0</v>
      </c>
      <c r="AY3" s="71">
        <v>0</v>
      </c>
      <c r="AZ3" s="71">
        <v>0</v>
      </c>
      <c r="BA3" s="71">
        <v>0</v>
      </c>
      <c r="BB3" s="71">
        <v>1</v>
      </c>
      <c r="BC3" s="71">
        <v>0</v>
      </c>
      <c r="BD3" s="71">
        <v>1</v>
      </c>
      <c r="BE3" s="71">
        <v>1</v>
      </c>
      <c r="BF3" s="71">
        <v>0</v>
      </c>
      <c r="BG3" s="71">
        <v>1</v>
      </c>
      <c r="BH3" s="71">
        <v>0</v>
      </c>
      <c r="BI3" s="71">
        <v>0</v>
      </c>
      <c r="BJ3" s="71">
        <v>1</v>
      </c>
      <c r="BK3" s="71">
        <v>1</v>
      </c>
      <c r="BL3" s="71">
        <v>0</v>
      </c>
      <c r="BM3" s="71">
        <v>1</v>
      </c>
      <c r="BN3" s="71">
        <v>1</v>
      </c>
      <c r="BO3" s="71">
        <v>1</v>
      </c>
      <c r="BP3" s="71">
        <v>1</v>
      </c>
      <c r="BQ3" s="71">
        <v>1</v>
      </c>
      <c r="BR3" s="71">
        <v>0</v>
      </c>
      <c r="BS3" s="71">
        <v>1</v>
      </c>
      <c r="BT3" s="71">
        <v>1</v>
      </c>
      <c r="BU3" s="71">
        <v>0</v>
      </c>
      <c r="BV3" s="71">
        <v>0</v>
      </c>
      <c r="BW3" s="71">
        <v>0</v>
      </c>
      <c r="BX3" s="71">
        <v>0</v>
      </c>
      <c r="BY3" s="71">
        <v>0</v>
      </c>
      <c r="BZ3" s="71">
        <v>0</v>
      </c>
      <c r="CA3" s="71">
        <v>0</v>
      </c>
      <c r="CB3" s="71">
        <v>1</v>
      </c>
      <c r="CC3" s="71">
        <v>1</v>
      </c>
      <c r="CD3" s="71">
        <v>0</v>
      </c>
      <c r="CE3" s="71">
        <v>1</v>
      </c>
      <c r="CF3" s="71">
        <v>1</v>
      </c>
      <c r="CG3" s="71">
        <v>1</v>
      </c>
      <c r="CH3" s="71">
        <v>0</v>
      </c>
      <c r="CI3" s="71">
        <v>1</v>
      </c>
      <c r="CJ3" s="71">
        <v>1</v>
      </c>
      <c r="CK3" s="71">
        <v>1</v>
      </c>
      <c r="CL3" s="71">
        <v>0</v>
      </c>
      <c r="CM3" s="71">
        <v>1</v>
      </c>
      <c r="CN3" s="71">
        <v>1</v>
      </c>
      <c r="CO3" s="71" t="s">
        <v>418</v>
      </c>
      <c r="CP3" s="71" t="s">
        <v>411</v>
      </c>
      <c r="CQ3" s="71" t="s">
        <v>419</v>
      </c>
      <c r="CR3" s="71" t="s">
        <v>420</v>
      </c>
      <c r="CS3" s="71" t="s">
        <v>421</v>
      </c>
      <c r="CT3" s="71" t="s">
        <v>422</v>
      </c>
      <c r="CU3" s="71" t="s">
        <v>423</v>
      </c>
      <c r="CV3" s="71" t="s">
        <v>424</v>
      </c>
    </row>
    <row r="4" spans="1:100" ht="57.6" x14ac:dyDescent="0.3">
      <c r="A4" s="71" t="s">
        <v>2</v>
      </c>
      <c r="B4" s="71" t="s">
        <v>417</v>
      </c>
      <c r="C4" s="71">
        <v>16</v>
      </c>
      <c r="D4" s="71" t="s">
        <v>398</v>
      </c>
      <c r="E4" s="71">
        <v>0</v>
      </c>
      <c r="F4" s="71">
        <v>0</v>
      </c>
      <c r="G4" s="71">
        <v>0</v>
      </c>
      <c r="H4" s="71">
        <v>0</v>
      </c>
      <c r="I4" s="71">
        <v>0</v>
      </c>
      <c r="J4" s="71">
        <v>0</v>
      </c>
      <c r="K4" s="71">
        <v>0</v>
      </c>
      <c r="L4" s="71">
        <v>0</v>
      </c>
      <c r="M4" s="71">
        <v>0</v>
      </c>
      <c r="N4" s="71">
        <v>0</v>
      </c>
      <c r="O4" s="71">
        <v>0</v>
      </c>
      <c r="P4" s="71">
        <v>0</v>
      </c>
      <c r="Q4" s="71">
        <v>0</v>
      </c>
      <c r="R4" s="71">
        <v>0</v>
      </c>
      <c r="S4" s="71">
        <v>0</v>
      </c>
      <c r="T4" s="71">
        <v>0</v>
      </c>
      <c r="U4" s="71">
        <v>0</v>
      </c>
      <c r="V4" s="71">
        <v>0</v>
      </c>
      <c r="W4" s="71">
        <v>0</v>
      </c>
      <c r="X4" s="71">
        <v>0</v>
      </c>
      <c r="Y4" s="71">
        <v>0</v>
      </c>
      <c r="Z4" s="71">
        <v>0</v>
      </c>
      <c r="AA4" s="71">
        <v>0</v>
      </c>
      <c r="AB4" s="71">
        <v>0</v>
      </c>
      <c r="AC4" s="71">
        <v>0</v>
      </c>
      <c r="AD4" s="71">
        <v>0</v>
      </c>
      <c r="AE4" s="71">
        <v>0</v>
      </c>
      <c r="AF4" s="71">
        <v>0</v>
      </c>
      <c r="AG4" s="71">
        <v>0</v>
      </c>
      <c r="AH4" s="71">
        <v>0</v>
      </c>
      <c r="AI4" s="71">
        <v>0</v>
      </c>
      <c r="AJ4" s="71">
        <v>0</v>
      </c>
      <c r="AK4" s="71">
        <v>0</v>
      </c>
      <c r="AL4" s="71">
        <v>0</v>
      </c>
      <c r="AM4" s="71">
        <v>0</v>
      </c>
      <c r="AN4" s="71">
        <v>0</v>
      </c>
      <c r="AO4" s="71">
        <v>0</v>
      </c>
      <c r="AP4" s="71">
        <v>0</v>
      </c>
      <c r="AQ4" s="71">
        <v>0</v>
      </c>
      <c r="AR4" s="71">
        <v>0</v>
      </c>
      <c r="AS4" s="71">
        <v>0</v>
      </c>
      <c r="AT4" s="71">
        <v>0</v>
      </c>
      <c r="AU4" s="71">
        <v>0</v>
      </c>
      <c r="AV4" s="71">
        <v>0</v>
      </c>
      <c r="AW4" s="71">
        <v>0</v>
      </c>
      <c r="AX4" s="71">
        <v>0</v>
      </c>
      <c r="AY4" s="71">
        <v>0</v>
      </c>
      <c r="AZ4" s="71">
        <v>0</v>
      </c>
      <c r="BA4" s="71">
        <v>0</v>
      </c>
      <c r="BB4" s="71">
        <v>1</v>
      </c>
      <c r="BC4" s="71">
        <v>1</v>
      </c>
      <c r="BD4" s="71">
        <v>1</v>
      </c>
      <c r="BE4" s="71">
        <v>1</v>
      </c>
      <c r="BF4" s="71">
        <v>0</v>
      </c>
      <c r="BG4" s="71">
        <v>1</v>
      </c>
      <c r="BH4" s="71">
        <v>1</v>
      </c>
      <c r="BI4" s="71">
        <v>0</v>
      </c>
      <c r="BJ4" s="71">
        <v>1</v>
      </c>
      <c r="BK4" s="71">
        <v>1</v>
      </c>
      <c r="BL4" s="71">
        <v>1</v>
      </c>
      <c r="BM4" s="71">
        <v>1</v>
      </c>
      <c r="BN4" s="71">
        <v>1</v>
      </c>
      <c r="BO4" s="71">
        <v>1</v>
      </c>
      <c r="BP4" s="71">
        <v>1</v>
      </c>
      <c r="BQ4" s="71">
        <v>1</v>
      </c>
      <c r="BR4" s="71">
        <v>1</v>
      </c>
      <c r="BS4" s="71">
        <v>1</v>
      </c>
      <c r="BT4" s="71">
        <v>1</v>
      </c>
      <c r="BU4" s="71">
        <v>0</v>
      </c>
      <c r="BV4" s="71">
        <v>0</v>
      </c>
      <c r="BW4" s="71">
        <v>0</v>
      </c>
      <c r="BX4" s="71">
        <v>0</v>
      </c>
      <c r="BY4" s="71">
        <v>0</v>
      </c>
      <c r="BZ4" s="71">
        <v>0</v>
      </c>
      <c r="CA4" s="71">
        <v>0</v>
      </c>
      <c r="CB4" s="71">
        <v>1</v>
      </c>
      <c r="CC4" s="71">
        <v>2</v>
      </c>
      <c r="CD4" s="71">
        <v>1</v>
      </c>
      <c r="CE4" s="71">
        <v>1</v>
      </c>
      <c r="CF4" s="71">
        <v>1</v>
      </c>
      <c r="CG4" s="71">
        <v>1</v>
      </c>
      <c r="CH4" s="71">
        <v>0</v>
      </c>
      <c r="CI4" s="71">
        <v>1</v>
      </c>
      <c r="CJ4" s="71">
        <v>1</v>
      </c>
      <c r="CK4" s="71">
        <v>1</v>
      </c>
      <c r="CL4" s="71">
        <v>1</v>
      </c>
      <c r="CM4" s="71">
        <v>1</v>
      </c>
      <c r="CN4" s="71">
        <v>1</v>
      </c>
      <c r="CO4" s="71" t="s">
        <v>425</v>
      </c>
      <c r="CP4" s="71" t="s">
        <v>411</v>
      </c>
      <c r="CQ4" s="71" t="s">
        <v>426</v>
      </c>
      <c r="CR4" s="71" t="s">
        <v>427</v>
      </c>
      <c r="CS4" s="71" t="s">
        <v>421</v>
      </c>
      <c r="CT4" s="71" t="s">
        <v>422</v>
      </c>
      <c r="CU4" s="71" t="s">
        <v>423</v>
      </c>
      <c r="CV4" s="71" t="s">
        <v>424</v>
      </c>
    </row>
    <row r="5" spans="1:100" ht="57.6" x14ac:dyDescent="0.3">
      <c r="A5" s="71" t="s">
        <v>3</v>
      </c>
      <c r="B5" s="71" t="s">
        <v>428</v>
      </c>
      <c r="C5" s="71">
        <v>17</v>
      </c>
      <c r="D5" s="71" t="s">
        <v>429</v>
      </c>
      <c r="E5" s="71">
        <v>0</v>
      </c>
      <c r="F5" s="71">
        <v>0</v>
      </c>
      <c r="G5" s="71">
        <v>0</v>
      </c>
      <c r="H5" s="71">
        <v>1</v>
      </c>
      <c r="I5" s="71">
        <v>0</v>
      </c>
      <c r="J5" s="71">
        <v>1</v>
      </c>
      <c r="K5" s="71">
        <v>0</v>
      </c>
      <c r="L5" s="71">
        <v>0</v>
      </c>
      <c r="M5" s="71">
        <v>0</v>
      </c>
      <c r="N5" s="71">
        <v>1</v>
      </c>
      <c r="O5" s="71">
        <v>0</v>
      </c>
      <c r="P5" s="71">
        <v>0</v>
      </c>
      <c r="Q5" s="71">
        <v>0</v>
      </c>
      <c r="R5" s="71">
        <v>0</v>
      </c>
      <c r="S5" s="71">
        <v>0</v>
      </c>
      <c r="T5" s="71">
        <v>1</v>
      </c>
      <c r="U5" s="71">
        <v>0</v>
      </c>
      <c r="V5" s="71">
        <v>0</v>
      </c>
      <c r="W5" s="71">
        <v>0</v>
      </c>
      <c r="X5" s="71">
        <v>0</v>
      </c>
      <c r="Y5" s="71">
        <v>0</v>
      </c>
      <c r="Z5" s="71">
        <v>1</v>
      </c>
      <c r="AA5" s="71">
        <v>0</v>
      </c>
      <c r="AB5" s="71">
        <v>0</v>
      </c>
      <c r="AC5" s="71">
        <v>0</v>
      </c>
      <c r="AD5" s="71">
        <v>0</v>
      </c>
      <c r="AE5" s="71">
        <v>0</v>
      </c>
      <c r="AF5" s="71">
        <v>0</v>
      </c>
      <c r="AG5" s="71">
        <v>0</v>
      </c>
      <c r="AH5" s="71">
        <v>0</v>
      </c>
      <c r="AI5" s="71">
        <v>0</v>
      </c>
      <c r="AJ5" s="71">
        <v>0</v>
      </c>
      <c r="AK5" s="71">
        <v>0</v>
      </c>
      <c r="AL5" s="71">
        <v>0</v>
      </c>
      <c r="AM5" s="71">
        <v>0</v>
      </c>
      <c r="AN5" s="71">
        <v>0</v>
      </c>
      <c r="AO5" s="71">
        <v>1</v>
      </c>
      <c r="AP5" s="71">
        <v>0</v>
      </c>
      <c r="AQ5" s="71">
        <v>0</v>
      </c>
      <c r="AR5" s="71">
        <v>0</v>
      </c>
      <c r="AS5" s="71">
        <v>0</v>
      </c>
      <c r="AT5" s="71">
        <v>1</v>
      </c>
      <c r="AU5" s="71">
        <v>0</v>
      </c>
      <c r="AV5" s="71">
        <v>0</v>
      </c>
      <c r="AW5" s="71">
        <v>0</v>
      </c>
      <c r="AX5" s="71">
        <v>0</v>
      </c>
      <c r="AY5" s="71">
        <v>0</v>
      </c>
      <c r="AZ5" s="71">
        <v>0</v>
      </c>
      <c r="BA5" s="71">
        <v>0</v>
      </c>
      <c r="BB5" s="71">
        <v>1</v>
      </c>
      <c r="BC5" s="71">
        <v>1</v>
      </c>
      <c r="BD5" s="71">
        <v>1</v>
      </c>
      <c r="BE5" s="71">
        <v>1</v>
      </c>
      <c r="BF5" s="71">
        <v>1</v>
      </c>
      <c r="BG5" s="71">
        <v>1</v>
      </c>
      <c r="BH5" s="71">
        <v>1</v>
      </c>
      <c r="BI5" s="71">
        <v>1</v>
      </c>
      <c r="BJ5" s="71">
        <v>1</v>
      </c>
      <c r="BK5" s="71">
        <v>1</v>
      </c>
      <c r="BL5" s="71">
        <v>1</v>
      </c>
      <c r="BM5" s="71">
        <v>1</v>
      </c>
      <c r="BN5" s="71">
        <v>1</v>
      </c>
      <c r="BO5" s="71">
        <v>1</v>
      </c>
      <c r="BP5" s="71">
        <v>1</v>
      </c>
      <c r="BQ5" s="71">
        <v>1</v>
      </c>
      <c r="BR5" s="71">
        <v>1</v>
      </c>
      <c r="BS5" s="71">
        <v>1</v>
      </c>
      <c r="BT5" s="71">
        <v>1</v>
      </c>
      <c r="BU5" s="71">
        <v>0</v>
      </c>
      <c r="BV5" s="71">
        <v>0</v>
      </c>
      <c r="BW5" s="71">
        <v>0</v>
      </c>
      <c r="BX5" s="71">
        <v>0</v>
      </c>
      <c r="BY5" s="71">
        <v>0</v>
      </c>
      <c r="BZ5" s="71">
        <v>0</v>
      </c>
      <c r="CA5" s="71">
        <v>0</v>
      </c>
      <c r="CB5" s="71">
        <v>2</v>
      </c>
      <c r="CC5" s="71">
        <v>2</v>
      </c>
      <c r="CD5" s="71">
        <v>1</v>
      </c>
      <c r="CE5" s="71">
        <v>2</v>
      </c>
      <c r="CF5" s="71">
        <v>1</v>
      </c>
      <c r="CG5" s="71">
        <v>1</v>
      </c>
      <c r="CH5" s="71">
        <v>0</v>
      </c>
      <c r="CI5" s="71">
        <v>1</v>
      </c>
      <c r="CJ5" s="71">
        <v>1</v>
      </c>
      <c r="CK5" s="71">
        <v>1</v>
      </c>
      <c r="CL5" s="71">
        <v>1</v>
      </c>
      <c r="CM5" s="71">
        <v>1</v>
      </c>
      <c r="CN5" s="71">
        <v>1</v>
      </c>
      <c r="CO5" s="71" t="s">
        <v>430</v>
      </c>
      <c r="CP5" s="71" t="s">
        <v>411</v>
      </c>
      <c r="CQ5" s="71" t="s">
        <v>431</v>
      </c>
      <c r="CR5" s="71" t="s">
        <v>432</v>
      </c>
      <c r="CS5" s="71" t="s">
        <v>414</v>
      </c>
      <c r="CT5" s="71" t="s">
        <v>415</v>
      </c>
      <c r="CU5" s="71"/>
      <c r="CV5" s="71" t="s">
        <v>416</v>
      </c>
    </row>
    <row r="6" spans="1:100" ht="57.6" x14ac:dyDescent="0.3">
      <c r="A6" s="71" t="s">
        <v>4</v>
      </c>
      <c r="B6" s="71" t="s">
        <v>433</v>
      </c>
      <c r="C6" s="71">
        <v>18</v>
      </c>
      <c r="D6" s="71" t="s">
        <v>429</v>
      </c>
      <c r="E6" s="71">
        <v>0</v>
      </c>
      <c r="F6" s="71">
        <v>0</v>
      </c>
      <c r="G6" s="71">
        <v>0</v>
      </c>
      <c r="H6" s="71">
        <v>0</v>
      </c>
      <c r="I6" s="71">
        <v>0</v>
      </c>
      <c r="J6" s="71">
        <v>0</v>
      </c>
      <c r="K6" s="71">
        <v>0</v>
      </c>
      <c r="L6" s="71">
        <v>0</v>
      </c>
      <c r="M6" s="71">
        <v>0</v>
      </c>
      <c r="N6" s="71">
        <v>0</v>
      </c>
      <c r="O6" s="71">
        <v>0</v>
      </c>
      <c r="P6" s="71">
        <v>0</v>
      </c>
      <c r="Q6" s="71">
        <v>0</v>
      </c>
      <c r="R6" s="71">
        <v>0</v>
      </c>
      <c r="S6" s="71">
        <v>0</v>
      </c>
      <c r="T6" s="71">
        <v>0</v>
      </c>
      <c r="U6" s="71">
        <v>0</v>
      </c>
      <c r="V6" s="71">
        <v>0</v>
      </c>
      <c r="W6" s="71">
        <v>0</v>
      </c>
      <c r="X6" s="71">
        <v>0</v>
      </c>
      <c r="Y6" s="71">
        <v>0</v>
      </c>
      <c r="Z6" s="71">
        <v>0</v>
      </c>
      <c r="AA6" s="71">
        <v>0</v>
      </c>
      <c r="AB6" s="71">
        <v>0</v>
      </c>
      <c r="AC6" s="71">
        <v>0</v>
      </c>
      <c r="AD6" s="71">
        <v>0</v>
      </c>
      <c r="AE6" s="71">
        <v>0</v>
      </c>
      <c r="AF6" s="71">
        <v>0</v>
      </c>
      <c r="AG6" s="71">
        <v>0</v>
      </c>
      <c r="AH6" s="71">
        <v>0</v>
      </c>
      <c r="AI6" s="71">
        <v>0</v>
      </c>
      <c r="AJ6" s="71">
        <v>0</v>
      </c>
      <c r="AK6" s="71">
        <v>0</v>
      </c>
      <c r="AL6" s="71">
        <v>0</v>
      </c>
      <c r="AM6" s="71">
        <v>0</v>
      </c>
      <c r="AN6" s="71">
        <v>0</v>
      </c>
      <c r="AO6" s="71">
        <v>0</v>
      </c>
      <c r="AP6" s="71">
        <v>0</v>
      </c>
      <c r="AQ6" s="71">
        <v>0</v>
      </c>
      <c r="AR6" s="71">
        <v>0</v>
      </c>
      <c r="AS6" s="71">
        <v>0</v>
      </c>
      <c r="AT6" s="71">
        <v>0</v>
      </c>
      <c r="AU6" s="71">
        <v>0</v>
      </c>
      <c r="AV6" s="71">
        <v>0</v>
      </c>
      <c r="AW6" s="71">
        <v>0</v>
      </c>
      <c r="AX6" s="71">
        <v>0</v>
      </c>
      <c r="AY6" s="71">
        <v>0</v>
      </c>
      <c r="AZ6" s="71">
        <v>0</v>
      </c>
      <c r="BA6" s="71">
        <v>0</v>
      </c>
      <c r="BB6" s="71">
        <v>1</v>
      </c>
      <c r="BC6" s="71">
        <v>1</v>
      </c>
      <c r="BD6" s="71">
        <v>1</v>
      </c>
      <c r="BE6" s="71">
        <v>1</v>
      </c>
      <c r="BF6" s="71">
        <v>1</v>
      </c>
      <c r="BG6" s="71">
        <v>1</v>
      </c>
      <c r="BH6" s="71">
        <v>1</v>
      </c>
      <c r="BI6" s="71">
        <v>1</v>
      </c>
      <c r="BJ6" s="71">
        <v>1</v>
      </c>
      <c r="BK6" s="71">
        <v>2</v>
      </c>
      <c r="BL6" s="71">
        <v>1</v>
      </c>
      <c r="BM6" s="71">
        <v>1</v>
      </c>
      <c r="BN6" s="71">
        <v>1</v>
      </c>
      <c r="BO6" s="71">
        <v>1</v>
      </c>
      <c r="BP6" s="71">
        <v>1</v>
      </c>
      <c r="BQ6" s="71">
        <v>1</v>
      </c>
      <c r="BR6" s="71">
        <v>1</v>
      </c>
      <c r="BS6" s="71">
        <v>1</v>
      </c>
      <c r="BT6" s="71">
        <v>1</v>
      </c>
      <c r="BU6" s="71">
        <v>0</v>
      </c>
      <c r="BV6" s="71">
        <v>0</v>
      </c>
      <c r="BW6" s="71">
        <v>0</v>
      </c>
      <c r="BX6" s="71">
        <v>0</v>
      </c>
      <c r="BY6" s="71">
        <v>0</v>
      </c>
      <c r="BZ6" s="71">
        <v>0</v>
      </c>
      <c r="CA6" s="71">
        <v>0</v>
      </c>
      <c r="CB6" s="71">
        <v>2</v>
      </c>
      <c r="CC6" s="71">
        <v>1</v>
      </c>
      <c r="CD6" s="71">
        <v>1</v>
      </c>
      <c r="CE6" s="71">
        <v>2</v>
      </c>
      <c r="CF6" s="71">
        <v>1</v>
      </c>
      <c r="CG6" s="71">
        <v>1</v>
      </c>
      <c r="CH6" s="71">
        <v>0</v>
      </c>
      <c r="CI6" s="71">
        <v>0</v>
      </c>
      <c r="CJ6" s="71">
        <v>0</v>
      </c>
      <c r="CK6" s="71">
        <v>1</v>
      </c>
      <c r="CL6" s="71">
        <v>1</v>
      </c>
      <c r="CM6" s="71">
        <v>0</v>
      </c>
      <c r="CN6" s="71">
        <v>1</v>
      </c>
      <c r="CO6" s="71" t="s">
        <v>434</v>
      </c>
      <c r="CP6" s="71" t="s">
        <v>435</v>
      </c>
      <c r="CQ6" s="71" t="s">
        <v>436</v>
      </c>
      <c r="CR6" s="71" t="s">
        <v>437</v>
      </c>
      <c r="CS6" s="71" t="s">
        <v>421</v>
      </c>
      <c r="CT6" s="71" t="s">
        <v>422</v>
      </c>
      <c r="CU6" s="71" t="s">
        <v>423</v>
      </c>
      <c r="CV6" s="71" t="s">
        <v>424</v>
      </c>
    </row>
    <row r="7" spans="1:100" ht="57.6" x14ac:dyDescent="0.3">
      <c r="A7" s="71" t="s">
        <v>5</v>
      </c>
      <c r="B7" s="71" t="s">
        <v>438</v>
      </c>
      <c r="C7" s="71">
        <v>19</v>
      </c>
      <c r="D7" s="71" t="s">
        <v>439</v>
      </c>
      <c r="E7" s="71">
        <v>0</v>
      </c>
      <c r="F7" s="71">
        <v>0</v>
      </c>
      <c r="G7" s="71">
        <v>0</v>
      </c>
      <c r="H7" s="71">
        <v>0</v>
      </c>
      <c r="I7" s="71">
        <v>0</v>
      </c>
      <c r="J7" s="71">
        <v>0</v>
      </c>
      <c r="K7" s="71">
        <v>0</v>
      </c>
      <c r="L7" s="71">
        <v>0</v>
      </c>
      <c r="M7" s="71">
        <v>0</v>
      </c>
      <c r="N7" s="71">
        <v>0</v>
      </c>
      <c r="O7" s="71">
        <v>0</v>
      </c>
      <c r="P7" s="71">
        <v>0</v>
      </c>
      <c r="Q7" s="71">
        <v>0</v>
      </c>
      <c r="R7" s="71">
        <v>0</v>
      </c>
      <c r="S7" s="71">
        <v>0</v>
      </c>
      <c r="T7" s="71">
        <v>0</v>
      </c>
      <c r="U7" s="71">
        <v>0</v>
      </c>
      <c r="V7" s="71">
        <v>0</v>
      </c>
      <c r="W7" s="71">
        <v>0</v>
      </c>
      <c r="X7" s="71">
        <v>0</v>
      </c>
      <c r="Y7" s="71">
        <v>0</v>
      </c>
      <c r="Z7" s="71">
        <v>0</v>
      </c>
      <c r="AA7" s="71">
        <v>0</v>
      </c>
      <c r="AB7" s="71">
        <v>0</v>
      </c>
      <c r="AC7" s="71">
        <v>0</v>
      </c>
      <c r="AD7" s="71">
        <v>0</v>
      </c>
      <c r="AE7" s="71">
        <v>0</v>
      </c>
      <c r="AF7" s="71">
        <v>0</v>
      </c>
      <c r="AG7" s="71">
        <v>0</v>
      </c>
      <c r="AH7" s="71">
        <v>0</v>
      </c>
      <c r="AI7" s="71">
        <v>0</v>
      </c>
      <c r="AJ7" s="71">
        <v>0</v>
      </c>
      <c r="AK7" s="71">
        <v>0</v>
      </c>
      <c r="AL7" s="71">
        <v>0</v>
      </c>
      <c r="AM7" s="71">
        <v>0</v>
      </c>
      <c r="AN7" s="71">
        <v>0</v>
      </c>
      <c r="AO7" s="71">
        <v>0</v>
      </c>
      <c r="AP7" s="71">
        <v>0</v>
      </c>
      <c r="AQ7" s="71">
        <v>0</v>
      </c>
      <c r="AR7" s="71">
        <v>0</v>
      </c>
      <c r="AS7" s="71">
        <v>0</v>
      </c>
      <c r="AT7" s="71">
        <v>0</v>
      </c>
      <c r="AU7" s="71">
        <v>0</v>
      </c>
      <c r="AV7" s="71">
        <v>0</v>
      </c>
      <c r="AW7" s="71">
        <v>0</v>
      </c>
      <c r="AX7" s="71">
        <v>0</v>
      </c>
      <c r="AY7" s="71">
        <v>0</v>
      </c>
      <c r="AZ7" s="71">
        <v>0</v>
      </c>
      <c r="BA7" s="71">
        <v>0</v>
      </c>
      <c r="BB7" s="71">
        <v>2</v>
      </c>
      <c r="BC7" s="71">
        <v>2</v>
      </c>
      <c r="BD7" s="71">
        <v>1</v>
      </c>
      <c r="BE7" s="71">
        <v>1</v>
      </c>
      <c r="BF7" s="71">
        <v>1</v>
      </c>
      <c r="BG7" s="71">
        <v>2</v>
      </c>
      <c r="BH7" s="71">
        <v>1</v>
      </c>
      <c r="BI7" s="71">
        <v>1</v>
      </c>
      <c r="BJ7" s="71">
        <v>1</v>
      </c>
      <c r="BK7" s="71">
        <v>2</v>
      </c>
      <c r="BL7" s="71">
        <v>2</v>
      </c>
      <c r="BM7" s="71">
        <v>1</v>
      </c>
      <c r="BN7" s="71">
        <v>2</v>
      </c>
      <c r="BO7" s="71">
        <v>2</v>
      </c>
      <c r="BP7" s="71">
        <v>2</v>
      </c>
      <c r="BQ7" s="71">
        <v>1</v>
      </c>
      <c r="BR7" s="71">
        <v>1</v>
      </c>
      <c r="BS7" s="71">
        <v>1</v>
      </c>
      <c r="BT7" s="71">
        <v>1</v>
      </c>
      <c r="BU7" s="71">
        <v>0</v>
      </c>
      <c r="BV7" s="71">
        <v>0</v>
      </c>
      <c r="BW7" s="71">
        <v>0</v>
      </c>
      <c r="BX7" s="71">
        <v>0</v>
      </c>
      <c r="BY7" s="71">
        <v>0</v>
      </c>
      <c r="BZ7" s="71">
        <v>0</v>
      </c>
      <c r="CA7" s="71">
        <v>0</v>
      </c>
      <c r="CB7" s="71">
        <v>2</v>
      </c>
      <c r="CC7" s="71">
        <v>2</v>
      </c>
      <c r="CD7" s="71">
        <v>1</v>
      </c>
      <c r="CE7" s="71">
        <v>2</v>
      </c>
      <c r="CF7" s="71">
        <v>2</v>
      </c>
      <c r="CG7" s="71">
        <v>1</v>
      </c>
      <c r="CH7" s="71">
        <v>0</v>
      </c>
      <c r="CI7" s="71">
        <v>0</v>
      </c>
      <c r="CJ7" s="71">
        <v>0</v>
      </c>
      <c r="CK7" s="71">
        <v>1</v>
      </c>
      <c r="CL7" s="71">
        <v>1</v>
      </c>
      <c r="CM7" s="71">
        <v>0</v>
      </c>
      <c r="CN7" s="71">
        <v>1</v>
      </c>
      <c r="CO7" s="71" t="s">
        <v>440</v>
      </c>
      <c r="CP7" s="71" t="s">
        <v>435</v>
      </c>
      <c r="CQ7" s="71" t="s">
        <v>441</v>
      </c>
      <c r="CR7" s="71" t="s">
        <v>442</v>
      </c>
      <c r="CS7" s="71" t="s">
        <v>421</v>
      </c>
      <c r="CT7" s="71" t="s">
        <v>422</v>
      </c>
      <c r="CU7" s="71" t="s">
        <v>423</v>
      </c>
      <c r="CV7" s="71" t="s">
        <v>424</v>
      </c>
    </row>
    <row r="8" spans="1:100" ht="57.6" x14ac:dyDescent="0.3">
      <c r="A8" s="71" t="s">
        <v>6</v>
      </c>
      <c r="B8" s="71" t="s">
        <v>438</v>
      </c>
      <c r="C8" s="71">
        <v>20</v>
      </c>
      <c r="D8" s="71" t="s">
        <v>439</v>
      </c>
      <c r="E8" s="71">
        <v>0</v>
      </c>
      <c r="F8" s="71">
        <v>0</v>
      </c>
      <c r="G8" s="71">
        <v>0</v>
      </c>
      <c r="H8" s="71">
        <v>1</v>
      </c>
      <c r="I8" s="71">
        <v>0</v>
      </c>
      <c r="J8" s="71">
        <v>1</v>
      </c>
      <c r="K8" s="71">
        <v>0</v>
      </c>
      <c r="L8" s="71">
        <v>0</v>
      </c>
      <c r="M8" s="71">
        <v>0</v>
      </c>
      <c r="N8" s="71">
        <v>1</v>
      </c>
      <c r="O8" s="71">
        <v>0</v>
      </c>
      <c r="P8" s="71">
        <v>0</v>
      </c>
      <c r="Q8" s="71">
        <v>0</v>
      </c>
      <c r="R8" s="71">
        <v>0</v>
      </c>
      <c r="S8" s="71">
        <v>0</v>
      </c>
      <c r="T8" s="71">
        <v>1</v>
      </c>
      <c r="U8" s="71">
        <v>0</v>
      </c>
      <c r="V8" s="71">
        <v>0</v>
      </c>
      <c r="W8" s="71">
        <v>0</v>
      </c>
      <c r="X8" s="71">
        <v>0</v>
      </c>
      <c r="Y8" s="71">
        <v>0</v>
      </c>
      <c r="Z8" s="71">
        <v>1</v>
      </c>
      <c r="AA8" s="71">
        <v>0</v>
      </c>
      <c r="AB8" s="71">
        <v>0</v>
      </c>
      <c r="AC8" s="71">
        <v>0</v>
      </c>
      <c r="AD8" s="71">
        <v>0</v>
      </c>
      <c r="AE8" s="71">
        <v>0</v>
      </c>
      <c r="AF8" s="71">
        <v>0</v>
      </c>
      <c r="AG8" s="71">
        <v>0</v>
      </c>
      <c r="AH8" s="71">
        <v>0</v>
      </c>
      <c r="AI8" s="71">
        <v>0</v>
      </c>
      <c r="AJ8" s="71">
        <v>0</v>
      </c>
      <c r="AK8" s="71">
        <v>0</v>
      </c>
      <c r="AL8" s="71">
        <v>1</v>
      </c>
      <c r="AM8" s="71">
        <v>0</v>
      </c>
      <c r="AN8" s="71">
        <v>0</v>
      </c>
      <c r="AO8" s="71">
        <v>1</v>
      </c>
      <c r="AP8" s="71">
        <v>0</v>
      </c>
      <c r="AQ8" s="71">
        <v>0</v>
      </c>
      <c r="AR8" s="71">
        <v>0</v>
      </c>
      <c r="AS8" s="71">
        <v>0</v>
      </c>
      <c r="AT8" s="71">
        <v>1</v>
      </c>
      <c r="AU8" s="71">
        <v>0</v>
      </c>
      <c r="AV8" s="71">
        <v>0</v>
      </c>
      <c r="AW8" s="71">
        <v>1</v>
      </c>
      <c r="AX8" s="71">
        <v>0</v>
      </c>
      <c r="AY8" s="71">
        <v>0</v>
      </c>
      <c r="AZ8" s="71">
        <v>0</v>
      </c>
      <c r="BA8" s="71">
        <v>0</v>
      </c>
      <c r="BB8" s="71">
        <v>2</v>
      </c>
      <c r="BC8" s="71">
        <v>2</v>
      </c>
      <c r="BD8" s="71">
        <v>1</v>
      </c>
      <c r="BE8" s="71">
        <v>2</v>
      </c>
      <c r="BF8" s="71">
        <v>2</v>
      </c>
      <c r="BG8" s="71">
        <v>2</v>
      </c>
      <c r="BH8" s="71">
        <v>1</v>
      </c>
      <c r="BI8" s="71">
        <v>1</v>
      </c>
      <c r="BJ8" s="71">
        <v>2</v>
      </c>
      <c r="BK8" s="71">
        <v>2</v>
      </c>
      <c r="BL8" s="71">
        <v>2</v>
      </c>
      <c r="BM8" s="71">
        <v>1</v>
      </c>
      <c r="BN8" s="71">
        <v>2</v>
      </c>
      <c r="BO8" s="71">
        <v>2</v>
      </c>
      <c r="BP8" s="71">
        <v>2</v>
      </c>
      <c r="BQ8" s="71">
        <v>2</v>
      </c>
      <c r="BR8" s="71">
        <v>2</v>
      </c>
      <c r="BS8" s="71">
        <v>1</v>
      </c>
      <c r="BT8" s="71">
        <v>2</v>
      </c>
      <c r="BU8" s="71">
        <v>0</v>
      </c>
      <c r="BV8" s="71">
        <v>1</v>
      </c>
      <c r="BW8" s="71">
        <v>0</v>
      </c>
      <c r="BX8" s="71">
        <v>1</v>
      </c>
      <c r="BY8" s="71">
        <v>0</v>
      </c>
      <c r="BZ8" s="71">
        <v>0</v>
      </c>
      <c r="CA8" s="71">
        <v>0</v>
      </c>
      <c r="CB8" s="71">
        <v>2</v>
      </c>
      <c r="CC8" s="71">
        <v>2</v>
      </c>
      <c r="CD8" s="71">
        <v>2</v>
      </c>
      <c r="CE8" s="71">
        <v>2</v>
      </c>
      <c r="CF8" s="71">
        <v>2</v>
      </c>
      <c r="CG8" s="71">
        <v>2</v>
      </c>
      <c r="CH8" s="71">
        <v>0</v>
      </c>
      <c r="CI8" s="71">
        <v>1</v>
      </c>
      <c r="CJ8" s="71">
        <v>0</v>
      </c>
      <c r="CK8" s="71">
        <v>1</v>
      </c>
      <c r="CL8" s="71">
        <v>1</v>
      </c>
      <c r="CM8" s="71">
        <v>0</v>
      </c>
      <c r="CN8" s="71">
        <v>1</v>
      </c>
      <c r="CO8" s="71" t="s">
        <v>443</v>
      </c>
      <c r="CP8" s="71" t="s">
        <v>435</v>
      </c>
      <c r="CQ8" s="71" t="s">
        <v>444</v>
      </c>
      <c r="CR8" s="71" t="s">
        <v>445</v>
      </c>
      <c r="CS8" s="71" t="s">
        <v>414</v>
      </c>
      <c r="CT8" s="71" t="s">
        <v>415</v>
      </c>
      <c r="CU8" s="71"/>
      <c r="CV8" s="71" t="s">
        <v>416</v>
      </c>
    </row>
    <row r="9" spans="1:100" ht="57.6" x14ac:dyDescent="0.3">
      <c r="A9" s="71" t="s">
        <v>7</v>
      </c>
      <c r="B9" s="71" t="s">
        <v>438</v>
      </c>
      <c r="C9" s="71">
        <v>21</v>
      </c>
      <c r="D9" s="71" t="s">
        <v>439</v>
      </c>
      <c r="E9" s="71">
        <v>0</v>
      </c>
      <c r="F9" s="71">
        <v>0</v>
      </c>
      <c r="G9" s="71">
        <v>0</v>
      </c>
      <c r="H9" s="71">
        <v>0</v>
      </c>
      <c r="I9" s="71">
        <v>1</v>
      </c>
      <c r="J9" s="71">
        <v>0</v>
      </c>
      <c r="K9" s="71">
        <v>0</v>
      </c>
      <c r="L9" s="71">
        <v>0</v>
      </c>
      <c r="M9" s="71">
        <v>1</v>
      </c>
      <c r="N9" s="71">
        <v>0</v>
      </c>
      <c r="O9" s="71">
        <v>0</v>
      </c>
      <c r="P9" s="71">
        <v>0</v>
      </c>
      <c r="Q9" s="71">
        <v>0</v>
      </c>
      <c r="R9" s="71">
        <v>0</v>
      </c>
      <c r="S9" s="71">
        <v>0</v>
      </c>
      <c r="T9" s="71">
        <v>0</v>
      </c>
      <c r="U9" s="71">
        <v>0</v>
      </c>
      <c r="V9" s="71">
        <v>0</v>
      </c>
      <c r="W9" s="71">
        <v>0</v>
      </c>
      <c r="X9" s="71">
        <v>0</v>
      </c>
      <c r="Y9" s="71">
        <v>0</v>
      </c>
      <c r="Z9" s="71">
        <v>1</v>
      </c>
      <c r="AA9" s="71">
        <v>0</v>
      </c>
      <c r="AB9" s="71">
        <v>0</v>
      </c>
      <c r="AC9" s="71">
        <v>0</v>
      </c>
      <c r="AD9" s="71">
        <v>0</v>
      </c>
      <c r="AE9" s="71">
        <v>1</v>
      </c>
      <c r="AF9" s="71">
        <v>0</v>
      </c>
      <c r="AG9" s="71">
        <v>0</v>
      </c>
      <c r="AH9" s="71">
        <v>0</v>
      </c>
      <c r="AI9" s="71">
        <v>0</v>
      </c>
      <c r="AJ9" s="71">
        <v>0</v>
      </c>
      <c r="AK9" s="71">
        <v>0</v>
      </c>
      <c r="AL9" s="71">
        <v>1</v>
      </c>
      <c r="AM9" s="71">
        <v>0</v>
      </c>
      <c r="AN9" s="71">
        <v>0</v>
      </c>
      <c r="AO9" s="71">
        <v>0</v>
      </c>
      <c r="AP9" s="71">
        <v>0</v>
      </c>
      <c r="AQ9" s="71">
        <v>0</v>
      </c>
      <c r="AR9" s="71">
        <v>0</v>
      </c>
      <c r="AS9" s="71">
        <v>0</v>
      </c>
      <c r="AT9" s="71">
        <v>1</v>
      </c>
      <c r="AU9" s="71">
        <v>0</v>
      </c>
      <c r="AV9" s="71">
        <v>0</v>
      </c>
      <c r="AW9" s="71">
        <v>1</v>
      </c>
      <c r="AX9" s="71">
        <v>0</v>
      </c>
      <c r="AY9" s="71">
        <v>0</v>
      </c>
      <c r="AZ9" s="71">
        <v>0</v>
      </c>
      <c r="BA9" s="71">
        <v>0</v>
      </c>
      <c r="BB9" s="71">
        <v>2</v>
      </c>
      <c r="BC9" s="71">
        <v>2</v>
      </c>
      <c r="BD9" s="71">
        <v>1</v>
      </c>
      <c r="BE9" s="71">
        <v>2</v>
      </c>
      <c r="BF9" s="71">
        <v>2</v>
      </c>
      <c r="BG9" s="71">
        <v>2</v>
      </c>
      <c r="BH9" s="71">
        <v>2</v>
      </c>
      <c r="BI9" s="71">
        <v>1</v>
      </c>
      <c r="BJ9" s="71">
        <v>2</v>
      </c>
      <c r="BK9" s="71">
        <v>2</v>
      </c>
      <c r="BL9" s="71">
        <v>2</v>
      </c>
      <c r="BM9" s="71">
        <v>1</v>
      </c>
      <c r="BN9" s="71">
        <v>2</v>
      </c>
      <c r="BO9" s="71">
        <v>2</v>
      </c>
      <c r="BP9" s="71">
        <v>2</v>
      </c>
      <c r="BQ9" s="71">
        <v>2</v>
      </c>
      <c r="BR9" s="71">
        <v>2</v>
      </c>
      <c r="BS9" s="71">
        <v>1</v>
      </c>
      <c r="BT9" s="71">
        <v>2</v>
      </c>
      <c r="BU9" s="71">
        <v>0</v>
      </c>
      <c r="BV9" s="71">
        <v>1</v>
      </c>
      <c r="BW9" s="71">
        <v>1</v>
      </c>
      <c r="BX9" s="71">
        <v>1</v>
      </c>
      <c r="BY9" s="71">
        <v>1</v>
      </c>
      <c r="BZ9" s="71">
        <v>0</v>
      </c>
      <c r="CA9" s="71">
        <v>0</v>
      </c>
      <c r="CB9" s="71">
        <v>2</v>
      </c>
      <c r="CC9" s="71">
        <v>2</v>
      </c>
      <c r="CD9" s="71">
        <v>2</v>
      </c>
      <c r="CE9" s="71">
        <v>2</v>
      </c>
      <c r="CF9" s="71">
        <v>2</v>
      </c>
      <c r="CG9" s="71">
        <v>2</v>
      </c>
      <c r="CH9" s="71">
        <v>0</v>
      </c>
      <c r="CI9" s="71">
        <v>1</v>
      </c>
      <c r="CJ9" s="71">
        <v>1</v>
      </c>
      <c r="CK9" s="71">
        <v>1</v>
      </c>
      <c r="CL9" s="71">
        <v>1</v>
      </c>
      <c r="CM9" s="71">
        <v>0</v>
      </c>
      <c r="CN9" s="71">
        <v>1</v>
      </c>
      <c r="CO9" s="71" t="s">
        <v>446</v>
      </c>
      <c r="CP9" s="71" t="s">
        <v>435</v>
      </c>
      <c r="CQ9" s="71" t="s">
        <v>447</v>
      </c>
      <c r="CR9" s="71" t="s">
        <v>448</v>
      </c>
      <c r="CS9" s="71" t="s">
        <v>421</v>
      </c>
      <c r="CT9" s="71" t="s">
        <v>422</v>
      </c>
      <c r="CU9" s="71" t="s">
        <v>423</v>
      </c>
      <c r="CV9" s="71" t="s">
        <v>416</v>
      </c>
    </row>
    <row r="10" spans="1:100" ht="57.6" x14ac:dyDescent="0.3">
      <c r="A10" s="71" t="s">
        <v>8</v>
      </c>
      <c r="B10" s="71" t="s">
        <v>449</v>
      </c>
      <c r="C10" s="71">
        <v>21</v>
      </c>
      <c r="D10" s="71" t="s">
        <v>439</v>
      </c>
      <c r="E10" s="71">
        <v>0</v>
      </c>
      <c r="F10" s="71">
        <v>0</v>
      </c>
      <c r="G10" s="71">
        <v>0</v>
      </c>
      <c r="H10" s="71">
        <v>0</v>
      </c>
      <c r="I10" s="71">
        <v>1</v>
      </c>
      <c r="J10" s="71">
        <v>0</v>
      </c>
      <c r="K10" s="71">
        <v>0</v>
      </c>
      <c r="L10" s="71">
        <v>0</v>
      </c>
      <c r="M10" s="71">
        <v>1</v>
      </c>
      <c r="N10" s="71">
        <v>0</v>
      </c>
      <c r="O10" s="71">
        <v>1</v>
      </c>
      <c r="P10" s="71">
        <v>0</v>
      </c>
      <c r="Q10" s="71">
        <v>0</v>
      </c>
      <c r="R10" s="71">
        <v>0</v>
      </c>
      <c r="S10" s="71">
        <v>0</v>
      </c>
      <c r="T10" s="71">
        <v>0</v>
      </c>
      <c r="U10" s="71">
        <v>0</v>
      </c>
      <c r="V10" s="71">
        <v>0</v>
      </c>
      <c r="W10" s="71">
        <v>0</v>
      </c>
      <c r="X10" s="71">
        <v>0</v>
      </c>
      <c r="Y10" s="71">
        <v>0</v>
      </c>
      <c r="Z10" s="71">
        <v>1</v>
      </c>
      <c r="AA10" s="71">
        <v>0</v>
      </c>
      <c r="AB10" s="71">
        <v>0</v>
      </c>
      <c r="AC10" s="71">
        <v>0</v>
      </c>
      <c r="AD10" s="71">
        <v>0</v>
      </c>
      <c r="AE10" s="71">
        <v>1</v>
      </c>
      <c r="AF10" s="71">
        <v>0</v>
      </c>
      <c r="AG10" s="71">
        <v>0</v>
      </c>
      <c r="AH10" s="71">
        <v>1</v>
      </c>
      <c r="AI10" s="71">
        <v>0</v>
      </c>
      <c r="AJ10" s="71">
        <v>0</v>
      </c>
      <c r="AK10" s="71">
        <v>0</v>
      </c>
      <c r="AL10" s="71">
        <v>1</v>
      </c>
      <c r="AM10" s="71">
        <v>1</v>
      </c>
      <c r="AN10" s="71">
        <v>0</v>
      </c>
      <c r="AO10" s="71">
        <v>0</v>
      </c>
      <c r="AP10" s="71">
        <v>0</v>
      </c>
      <c r="AQ10" s="71">
        <v>0</v>
      </c>
      <c r="AR10" s="71">
        <v>1</v>
      </c>
      <c r="AS10" s="71">
        <v>0</v>
      </c>
      <c r="AT10" s="71">
        <v>1</v>
      </c>
      <c r="AU10" s="71">
        <v>0</v>
      </c>
      <c r="AV10" s="71">
        <v>0</v>
      </c>
      <c r="AW10" s="71">
        <v>1</v>
      </c>
      <c r="AX10" s="71">
        <v>0</v>
      </c>
      <c r="AY10" s="71">
        <v>1</v>
      </c>
      <c r="AZ10" s="71">
        <v>0</v>
      </c>
      <c r="BA10" s="71">
        <v>0</v>
      </c>
      <c r="BB10" s="71">
        <v>2</v>
      </c>
      <c r="BC10" s="71">
        <v>1</v>
      </c>
      <c r="BD10" s="71">
        <v>1</v>
      </c>
      <c r="BE10" s="71">
        <v>2</v>
      </c>
      <c r="BF10" s="71">
        <v>2</v>
      </c>
      <c r="BG10" s="71">
        <v>2</v>
      </c>
      <c r="BH10" s="71">
        <v>1</v>
      </c>
      <c r="BI10" s="71">
        <v>1</v>
      </c>
      <c r="BJ10" s="71">
        <v>2</v>
      </c>
      <c r="BK10" s="71">
        <v>2</v>
      </c>
      <c r="BL10" s="71">
        <v>2</v>
      </c>
      <c r="BM10" s="71">
        <v>2</v>
      </c>
      <c r="BN10" s="71">
        <v>2</v>
      </c>
      <c r="BO10" s="71">
        <v>2</v>
      </c>
      <c r="BP10" s="71">
        <v>2</v>
      </c>
      <c r="BQ10" s="71">
        <v>2</v>
      </c>
      <c r="BR10" s="71">
        <v>2</v>
      </c>
      <c r="BS10" s="71">
        <v>2</v>
      </c>
      <c r="BT10" s="71">
        <v>2</v>
      </c>
      <c r="BU10" s="71">
        <v>2</v>
      </c>
      <c r="BV10" s="71">
        <v>2</v>
      </c>
      <c r="BW10" s="71">
        <v>2</v>
      </c>
      <c r="BX10" s="71">
        <v>2</v>
      </c>
      <c r="BY10" s="71">
        <v>2</v>
      </c>
      <c r="BZ10" s="71">
        <v>2</v>
      </c>
      <c r="CA10" s="71">
        <v>2</v>
      </c>
      <c r="CB10" s="71">
        <v>2</v>
      </c>
      <c r="CC10" s="71">
        <v>2</v>
      </c>
      <c r="CD10" s="71">
        <v>2</v>
      </c>
      <c r="CE10" s="71">
        <v>2</v>
      </c>
      <c r="CF10" s="71">
        <v>2</v>
      </c>
      <c r="CG10" s="71">
        <v>2</v>
      </c>
      <c r="CH10" s="71">
        <v>0</v>
      </c>
      <c r="CI10" s="71">
        <v>1</v>
      </c>
      <c r="CJ10" s="71">
        <v>1</v>
      </c>
      <c r="CK10" s="71">
        <v>2</v>
      </c>
      <c r="CL10" s="71">
        <v>1</v>
      </c>
      <c r="CM10" s="71">
        <v>1</v>
      </c>
      <c r="CN10" s="71">
        <v>1</v>
      </c>
      <c r="CO10" s="71" t="s">
        <v>450</v>
      </c>
      <c r="CP10" s="71" t="s">
        <v>451</v>
      </c>
      <c r="CQ10" s="71" t="s">
        <v>452</v>
      </c>
      <c r="CR10" s="71" t="s">
        <v>453</v>
      </c>
      <c r="CS10" s="71" t="s">
        <v>414</v>
      </c>
      <c r="CT10" s="71"/>
      <c r="CU10" s="71"/>
      <c r="CV10" s="71" t="s">
        <v>416</v>
      </c>
    </row>
    <row r="11" spans="1:100" ht="43.2" x14ac:dyDescent="0.3">
      <c r="A11" s="71" t="s">
        <v>9</v>
      </c>
      <c r="B11" s="71" t="s">
        <v>449</v>
      </c>
      <c r="C11" s="71">
        <v>22</v>
      </c>
      <c r="D11" s="71" t="s">
        <v>439</v>
      </c>
      <c r="E11" s="71">
        <v>0</v>
      </c>
      <c r="F11" s="71">
        <v>0</v>
      </c>
      <c r="G11" s="71">
        <v>0</v>
      </c>
      <c r="H11" s="71">
        <v>0</v>
      </c>
      <c r="I11" s="71">
        <v>1</v>
      </c>
      <c r="J11" s="71">
        <v>0</v>
      </c>
      <c r="K11" s="71">
        <v>0</v>
      </c>
      <c r="L11" s="71">
        <v>0</v>
      </c>
      <c r="M11" s="71">
        <v>1</v>
      </c>
      <c r="N11" s="71">
        <v>0</v>
      </c>
      <c r="O11" s="71">
        <v>1</v>
      </c>
      <c r="P11" s="71">
        <v>0</v>
      </c>
      <c r="Q11" s="71">
        <v>0</v>
      </c>
      <c r="R11" s="71">
        <v>0</v>
      </c>
      <c r="S11" s="71">
        <v>0</v>
      </c>
      <c r="T11" s="71">
        <v>0</v>
      </c>
      <c r="U11" s="71">
        <v>0</v>
      </c>
      <c r="V11" s="71">
        <v>0</v>
      </c>
      <c r="W11" s="71">
        <v>0</v>
      </c>
      <c r="X11" s="71">
        <v>0</v>
      </c>
      <c r="Y11" s="71">
        <v>0</v>
      </c>
      <c r="Z11" s="71">
        <v>1</v>
      </c>
      <c r="AA11" s="71">
        <v>0</v>
      </c>
      <c r="AB11" s="71">
        <v>0</v>
      </c>
      <c r="AC11" s="71">
        <v>0</v>
      </c>
      <c r="AD11" s="71">
        <v>0</v>
      </c>
      <c r="AE11" s="71">
        <v>1</v>
      </c>
      <c r="AF11" s="71">
        <v>0</v>
      </c>
      <c r="AG11" s="71">
        <v>0</v>
      </c>
      <c r="AH11" s="71">
        <v>1</v>
      </c>
      <c r="AI11" s="71">
        <v>0</v>
      </c>
      <c r="AJ11" s="71">
        <v>0</v>
      </c>
      <c r="AK11" s="71">
        <v>0</v>
      </c>
      <c r="AL11" s="71">
        <v>1</v>
      </c>
      <c r="AM11" s="71">
        <v>1</v>
      </c>
      <c r="AN11" s="71">
        <v>0</v>
      </c>
      <c r="AO11" s="71">
        <v>0</v>
      </c>
      <c r="AP11" s="71">
        <v>0</v>
      </c>
      <c r="AQ11" s="71">
        <v>1</v>
      </c>
      <c r="AR11" s="71">
        <v>1</v>
      </c>
      <c r="AS11" s="71">
        <v>0</v>
      </c>
      <c r="AT11" s="71">
        <v>1</v>
      </c>
      <c r="AU11" s="71">
        <v>0</v>
      </c>
      <c r="AV11" s="71">
        <v>0</v>
      </c>
      <c r="AW11" s="71">
        <v>1</v>
      </c>
      <c r="AX11" s="71">
        <v>0</v>
      </c>
      <c r="AY11" s="71">
        <v>1</v>
      </c>
      <c r="AZ11" s="71">
        <v>0</v>
      </c>
      <c r="BA11" s="71">
        <v>0</v>
      </c>
      <c r="BB11" s="71">
        <v>2</v>
      </c>
      <c r="BC11" s="71">
        <v>2</v>
      </c>
      <c r="BD11" s="71">
        <v>1</v>
      </c>
      <c r="BE11" s="71">
        <v>2</v>
      </c>
      <c r="BF11" s="71">
        <v>2</v>
      </c>
      <c r="BG11" s="71">
        <v>2</v>
      </c>
      <c r="BH11" s="71">
        <v>2</v>
      </c>
      <c r="BI11" s="71">
        <v>1</v>
      </c>
      <c r="BJ11" s="71">
        <v>2</v>
      </c>
      <c r="BK11" s="71">
        <v>2</v>
      </c>
      <c r="BL11" s="71">
        <v>2</v>
      </c>
      <c r="BM11" s="71">
        <v>2</v>
      </c>
      <c r="BN11" s="71">
        <v>2</v>
      </c>
      <c r="BO11" s="71">
        <v>2</v>
      </c>
      <c r="BP11" s="71">
        <v>2</v>
      </c>
      <c r="BQ11" s="71">
        <v>2</v>
      </c>
      <c r="BR11" s="71">
        <v>2</v>
      </c>
      <c r="BS11" s="71">
        <v>2</v>
      </c>
      <c r="BT11" s="71">
        <v>2</v>
      </c>
      <c r="BU11" s="71">
        <v>2</v>
      </c>
      <c r="BV11" s="71">
        <v>2</v>
      </c>
      <c r="BW11" s="71">
        <v>2</v>
      </c>
      <c r="BX11" s="71">
        <v>2</v>
      </c>
      <c r="BY11" s="71">
        <v>2</v>
      </c>
      <c r="BZ11" s="71">
        <v>2</v>
      </c>
      <c r="CA11" s="71">
        <v>2</v>
      </c>
      <c r="CB11" s="71">
        <v>2</v>
      </c>
      <c r="CC11" s="71">
        <v>2</v>
      </c>
      <c r="CD11" s="71">
        <v>2</v>
      </c>
      <c r="CE11" s="71">
        <v>2</v>
      </c>
      <c r="CF11" s="71">
        <v>2</v>
      </c>
      <c r="CG11" s="71">
        <v>2</v>
      </c>
      <c r="CH11" s="71">
        <v>0</v>
      </c>
      <c r="CI11" s="71">
        <v>1</v>
      </c>
      <c r="CJ11" s="71">
        <v>1</v>
      </c>
      <c r="CK11" s="71">
        <v>2</v>
      </c>
      <c r="CL11" s="71">
        <v>1</v>
      </c>
      <c r="CM11" s="71">
        <v>1</v>
      </c>
      <c r="CN11" s="71">
        <v>1</v>
      </c>
      <c r="CO11" s="71" t="s">
        <v>454</v>
      </c>
      <c r="CP11" s="71" t="s">
        <v>451</v>
      </c>
      <c r="CQ11" s="71" t="s">
        <v>455</v>
      </c>
      <c r="CR11" s="71" t="s">
        <v>456</v>
      </c>
      <c r="CS11" s="71" t="s">
        <v>421</v>
      </c>
      <c r="CT11" s="71" t="s">
        <v>422</v>
      </c>
      <c r="CU11" s="71" t="s">
        <v>423</v>
      </c>
      <c r="CV11" s="71" t="s">
        <v>416</v>
      </c>
    </row>
    <row r="12" spans="1:100" ht="57.6" x14ac:dyDescent="0.3">
      <c r="A12" s="71" t="s">
        <v>10</v>
      </c>
      <c r="B12" s="71" t="s">
        <v>457</v>
      </c>
      <c r="C12" s="71">
        <v>23</v>
      </c>
      <c r="D12" s="71" t="s">
        <v>458</v>
      </c>
      <c r="E12" s="71">
        <v>0</v>
      </c>
      <c r="F12" s="71">
        <v>0</v>
      </c>
      <c r="G12" s="71">
        <v>0</v>
      </c>
      <c r="H12" s="71">
        <v>0</v>
      </c>
      <c r="I12" s="71">
        <v>0</v>
      </c>
      <c r="J12" s="71">
        <v>0</v>
      </c>
      <c r="K12" s="71">
        <v>0</v>
      </c>
      <c r="L12" s="71">
        <v>0</v>
      </c>
      <c r="M12" s="71">
        <v>0</v>
      </c>
      <c r="N12" s="71">
        <v>0</v>
      </c>
      <c r="O12" s="71">
        <v>0</v>
      </c>
      <c r="P12" s="71">
        <v>0</v>
      </c>
      <c r="Q12" s="71">
        <v>0</v>
      </c>
      <c r="R12" s="71">
        <v>0</v>
      </c>
      <c r="S12" s="71">
        <v>0</v>
      </c>
      <c r="T12" s="71">
        <v>0</v>
      </c>
      <c r="U12" s="71">
        <v>0</v>
      </c>
      <c r="V12" s="71">
        <v>0</v>
      </c>
      <c r="W12" s="71">
        <v>0</v>
      </c>
      <c r="X12" s="71">
        <v>0</v>
      </c>
      <c r="Y12" s="71">
        <v>0</v>
      </c>
      <c r="Z12" s="71">
        <v>0</v>
      </c>
      <c r="AA12" s="71">
        <v>0</v>
      </c>
      <c r="AB12" s="71">
        <v>0</v>
      </c>
      <c r="AC12" s="71">
        <v>0</v>
      </c>
      <c r="AD12" s="71">
        <v>0</v>
      </c>
      <c r="AE12" s="71">
        <v>0</v>
      </c>
      <c r="AF12" s="71">
        <v>0</v>
      </c>
      <c r="AG12" s="71">
        <v>0</v>
      </c>
      <c r="AH12" s="71">
        <v>0</v>
      </c>
      <c r="AI12" s="71">
        <v>0</v>
      </c>
      <c r="AJ12" s="71">
        <v>0</v>
      </c>
      <c r="AK12" s="71">
        <v>0</v>
      </c>
      <c r="AL12" s="71">
        <v>0</v>
      </c>
      <c r="AM12" s="71">
        <v>0</v>
      </c>
      <c r="AN12" s="71">
        <v>0</v>
      </c>
      <c r="AO12" s="71">
        <v>0</v>
      </c>
      <c r="AP12" s="71">
        <v>0</v>
      </c>
      <c r="AQ12" s="71">
        <v>0</v>
      </c>
      <c r="AR12" s="71">
        <v>0</v>
      </c>
      <c r="AS12" s="71">
        <v>0</v>
      </c>
      <c r="AT12" s="71">
        <v>0</v>
      </c>
      <c r="AU12" s="71">
        <v>0</v>
      </c>
      <c r="AV12" s="71">
        <v>0</v>
      </c>
      <c r="AW12" s="71">
        <v>0</v>
      </c>
      <c r="AX12" s="71">
        <v>0</v>
      </c>
      <c r="AY12" s="71">
        <v>0</v>
      </c>
      <c r="AZ12" s="71">
        <v>0</v>
      </c>
      <c r="BA12" s="71">
        <v>0</v>
      </c>
      <c r="BB12" s="71">
        <v>2</v>
      </c>
      <c r="BC12" s="71">
        <v>2</v>
      </c>
      <c r="BD12" s="71">
        <v>2</v>
      </c>
      <c r="BE12" s="71">
        <v>2</v>
      </c>
      <c r="BF12" s="71">
        <v>2</v>
      </c>
      <c r="BG12" s="71">
        <v>2</v>
      </c>
      <c r="BH12" s="71">
        <v>2</v>
      </c>
      <c r="BI12" s="71">
        <v>2</v>
      </c>
      <c r="BJ12" s="71">
        <v>2</v>
      </c>
      <c r="BK12" s="71">
        <v>2</v>
      </c>
      <c r="BL12" s="71">
        <v>2</v>
      </c>
      <c r="BM12" s="71">
        <v>2</v>
      </c>
      <c r="BN12" s="71">
        <v>2</v>
      </c>
      <c r="BO12" s="71">
        <v>2</v>
      </c>
      <c r="BP12" s="71">
        <v>2</v>
      </c>
      <c r="BQ12" s="71">
        <v>2</v>
      </c>
      <c r="BR12" s="71">
        <v>2</v>
      </c>
      <c r="BS12" s="71">
        <v>2</v>
      </c>
      <c r="BT12" s="71">
        <v>2</v>
      </c>
      <c r="BU12" s="71">
        <v>2</v>
      </c>
      <c r="BV12" s="71">
        <v>2</v>
      </c>
      <c r="BW12" s="71">
        <v>2</v>
      </c>
      <c r="BX12" s="71">
        <v>2</v>
      </c>
      <c r="BY12" s="71">
        <v>2</v>
      </c>
      <c r="BZ12" s="71">
        <v>2</v>
      </c>
      <c r="CA12" s="71">
        <v>0</v>
      </c>
      <c r="CB12" s="71">
        <v>2</v>
      </c>
      <c r="CC12" s="71">
        <v>2</v>
      </c>
      <c r="CD12" s="71">
        <v>2</v>
      </c>
      <c r="CE12" s="71">
        <v>2</v>
      </c>
      <c r="CF12" s="71">
        <v>2</v>
      </c>
      <c r="CG12" s="71">
        <v>2</v>
      </c>
      <c r="CH12" s="71">
        <v>0</v>
      </c>
      <c r="CI12" s="71">
        <v>1</v>
      </c>
      <c r="CJ12" s="71">
        <v>1</v>
      </c>
      <c r="CK12" s="71">
        <v>1</v>
      </c>
      <c r="CL12" s="71">
        <v>2</v>
      </c>
      <c r="CM12" s="71">
        <v>0</v>
      </c>
      <c r="CN12" s="71">
        <v>2</v>
      </c>
      <c r="CO12" s="71" t="s">
        <v>459</v>
      </c>
      <c r="CP12" s="71" t="s">
        <v>451</v>
      </c>
      <c r="CQ12" s="71" t="s">
        <v>460</v>
      </c>
      <c r="CR12" s="71" t="s">
        <v>461</v>
      </c>
      <c r="CS12" s="71" t="s">
        <v>421</v>
      </c>
      <c r="CT12" s="71" t="s">
        <v>422</v>
      </c>
      <c r="CU12" s="71" t="s">
        <v>423</v>
      </c>
      <c r="CV12" s="71" t="s">
        <v>424</v>
      </c>
    </row>
    <row r="13" spans="1:100" ht="57.6" x14ac:dyDescent="0.3">
      <c r="A13" s="71" t="s">
        <v>11</v>
      </c>
      <c r="B13" s="71" t="s">
        <v>457</v>
      </c>
      <c r="C13" s="71">
        <v>26</v>
      </c>
      <c r="D13" s="71" t="s">
        <v>462</v>
      </c>
      <c r="E13" s="71">
        <v>0</v>
      </c>
      <c r="F13" s="71">
        <v>0</v>
      </c>
      <c r="G13" s="71">
        <v>0</v>
      </c>
      <c r="H13" s="71">
        <v>0</v>
      </c>
      <c r="I13" s="71">
        <v>0</v>
      </c>
      <c r="J13" s="71">
        <v>0</v>
      </c>
      <c r="K13" s="71">
        <v>0</v>
      </c>
      <c r="L13" s="71">
        <v>0</v>
      </c>
      <c r="M13" s="71">
        <v>0</v>
      </c>
      <c r="N13" s="71">
        <v>0</v>
      </c>
      <c r="O13" s="71">
        <v>0</v>
      </c>
      <c r="P13" s="71">
        <v>1</v>
      </c>
      <c r="Q13" s="71">
        <v>1</v>
      </c>
      <c r="R13" s="71">
        <v>1</v>
      </c>
      <c r="S13" s="71">
        <v>0</v>
      </c>
      <c r="T13" s="71">
        <v>0</v>
      </c>
      <c r="U13" s="71">
        <v>0</v>
      </c>
      <c r="V13" s="71">
        <v>0</v>
      </c>
      <c r="W13" s="71">
        <v>1</v>
      </c>
      <c r="X13" s="71">
        <v>0</v>
      </c>
      <c r="Y13" s="71">
        <v>0</v>
      </c>
      <c r="Z13" s="71">
        <v>0</v>
      </c>
      <c r="AA13" s="71">
        <v>0</v>
      </c>
      <c r="AB13" s="71">
        <v>0</v>
      </c>
      <c r="AC13" s="71">
        <v>0</v>
      </c>
      <c r="AD13" s="71">
        <v>0</v>
      </c>
      <c r="AE13" s="71">
        <v>0</v>
      </c>
      <c r="AF13" s="71">
        <v>0</v>
      </c>
      <c r="AG13" s="71">
        <v>0</v>
      </c>
      <c r="AH13" s="71">
        <v>1</v>
      </c>
      <c r="AI13" s="71">
        <v>0</v>
      </c>
      <c r="AJ13" s="71">
        <v>0</v>
      </c>
      <c r="AK13" s="71">
        <v>1</v>
      </c>
      <c r="AL13" s="71">
        <v>0</v>
      </c>
      <c r="AM13" s="71">
        <v>1</v>
      </c>
      <c r="AN13" s="71">
        <v>0</v>
      </c>
      <c r="AO13" s="71">
        <v>0</v>
      </c>
      <c r="AP13" s="71">
        <v>0</v>
      </c>
      <c r="AQ13" s="71">
        <v>1</v>
      </c>
      <c r="AR13" s="71">
        <v>0</v>
      </c>
      <c r="AS13" s="71">
        <v>1</v>
      </c>
      <c r="AT13" s="71">
        <v>0</v>
      </c>
      <c r="AU13" s="71">
        <v>0</v>
      </c>
      <c r="AV13" s="71">
        <v>1</v>
      </c>
      <c r="AW13" s="71">
        <v>0</v>
      </c>
      <c r="AX13" s="71">
        <v>0</v>
      </c>
      <c r="AY13" s="71">
        <v>1</v>
      </c>
      <c r="AZ13" s="71">
        <v>0</v>
      </c>
      <c r="BA13" s="71">
        <v>0</v>
      </c>
      <c r="BB13" s="71">
        <v>2</v>
      </c>
      <c r="BC13" s="71">
        <v>2</v>
      </c>
      <c r="BD13" s="71">
        <v>2</v>
      </c>
      <c r="BE13" s="71">
        <v>2</v>
      </c>
      <c r="BF13" s="71">
        <v>2</v>
      </c>
      <c r="BG13" s="71">
        <v>3</v>
      </c>
      <c r="BH13" s="71">
        <v>2</v>
      </c>
      <c r="BI13" s="71">
        <v>2</v>
      </c>
      <c r="BJ13" s="71">
        <v>2</v>
      </c>
      <c r="BK13" s="71">
        <v>3</v>
      </c>
      <c r="BL13" s="71">
        <v>3</v>
      </c>
      <c r="BM13" s="71">
        <v>2</v>
      </c>
      <c r="BN13" s="71">
        <v>3</v>
      </c>
      <c r="BO13" s="71">
        <v>3</v>
      </c>
      <c r="BP13" s="71">
        <v>2</v>
      </c>
      <c r="BQ13" s="71">
        <v>2</v>
      </c>
      <c r="BR13" s="71">
        <v>2</v>
      </c>
      <c r="BS13" s="71">
        <v>2</v>
      </c>
      <c r="BT13" s="71">
        <v>3</v>
      </c>
      <c r="BU13" s="71">
        <v>2</v>
      </c>
      <c r="BV13" s="71">
        <v>3</v>
      </c>
      <c r="BW13" s="71">
        <v>2</v>
      </c>
      <c r="BX13" s="71">
        <v>2</v>
      </c>
      <c r="BY13" s="71">
        <v>2</v>
      </c>
      <c r="BZ13" s="71">
        <v>2</v>
      </c>
      <c r="CA13" s="71">
        <v>0</v>
      </c>
      <c r="CB13" s="71">
        <v>2</v>
      </c>
      <c r="CC13" s="71">
        <v>3</v>
      </c>
      <c r="CD13" s="71">
        <v>2</v>
      </c>
      <c r="CE13" s="71">
        <v>2</v>
      </c>
      <c r="CF13" s="71">
        <v>3</v>
      </c>
      <c r="CG13" s="71">
        <v>2</v>
      </c>
      <c r="CH13" s="71">
        <v>0</v>
      </c>
      <c r="CI13" s="71">
        <v>2</v>
      </c>
      <c r="CJ13" s="71">
        <v>2</v>
      </c>
      <c r="CK13" s="71">
        <v>2</v>
      </c>
      <c r="CL13" s="71">
        <v>2</v>
      </c>
      <c r="CM13" s="71">
        <v>1</v>
      </c>
      <c r="CN13" s="71">
        <v>2</v>
      </c>
      <c r="CO13" s="71" t="s">
        <v>463</v>
      </c>
      <c r="CP13" s="71" t="s">
        <v>451</v>
      </c>
      <c r="CQ13" s="71" t="s">
        <v>464</v>
      </c>
      <c r="CR13" s="71" t="s">
        <v>465</v>
      </c>
      <c r="CS13" s="71" t="s">
        <v>421</v>
      </c>
      <c r="CT13" s="71" t="s">
        <v>422</v>
      </c>
      <c r="CU13" s="71" t="s">
        <v>423</v>
      </c>
      <c r="CV13" s="71" t="s">
        <v>416</v>
      </c>
    </row>
    <row r="14" spans="1:100" ht="57.6" x14ac:dyDescent="0.3">
      <c r="A14" s="71" t="s">
        <v>12</v>
      </c>
      <c r="B14" s="71" t="s">
        <v>466</v>
      </c>
      <c r="C14" s="71">
        <v>24</v>
      </c>
      <c r="D14" s="71" t="s">
        <v>462</v>
      </c>
      <c r="E14" s="71">
        <v>0</v>
      </c>
      <c r="F14" s="71">
        <v>1</v>
      </c>
      <c r="G14" s="71">
        <v>0</v>
      </c>
      <c r="H14" s="71">
        <v>0</v>
      </c>
      <c r="I14" s="71">
        <v>0</v>
      </c>
      <c r="J14" s="71">
        <v>0</v>
      </c>
      <c r="K14" s="71">
        <v>0</v>
      </c>
      <c r="L14" s="71">
        <v>1</v>
      </c>
      <c r="M14" s="71">
        <v>0</v>
      </c>
      <c r="N14" s="71">
        <v>0</v>
      </c>
      <c r="O14" s="71">
        <v>0</v>
      </c>
      <c r="P14" s="71">
        <v>0</v>
      </c>
      <c r="Q14" s="71">
        <v>0</v>
      </c>
      <c r="R14" s="71">
        <v>0</v>
      </c>
      <c r="S14" s="71">
        <v>0</v>
      </c>
      <c r="T14" s="71">
        <v>0</v>
      </c>
      <c r="U14" s="71">
        <v>0</v>
      </c>
      <c r="V14" s="71">
        <v>0</v>
      </c>
      <c r="W14" s="71">
        <v>0</v>
      </c>
      <c r="X14" s="71">
        <v>0</v>
      </c>
      <c r="Y14" s="71">
        <v>1</v>
      </c>
      <c r="Z14" s="71">
        <v>0</v>
      </c>
      <c r="AA14" s="71">
        <v>1</v>
      </c>
      <c r="AB14" s="71">
        <v>0</v>
      </c>
      <c r="AC14" s="71">
        <v>1</v>
      </c>
      <c r="AD14" s="71">
        <v>0</v>
      </c>
      <c r="AE14" s="71">
        <v>1</v>
      </c>
      <c r="AF14" s="71">
        <v>0</v>
      </c>
      <c r="AG14" s="71">
        <v>1</v>
      </c>
      <c r="AH14" s="71">
        <v>0</v>
      </c>
      <c r="AI14" s="71">
        <v>1</v>
      </c>
      <c r="AJ14" s="71">
        <v>0</v>
      </c>
      <c r="AK14" s="71">
        <v>0</v>
      </c>
      <c r="AL14" s="71">
        <v>0</v>
      </c>
      <c r="AM14" s="71">
        <v>1</v>
      </c>
      <c r="AN14" s="71">
        <v>1</v>
      </c>
      <c r="AO14" s="71">
        <v>0</v>
      </c>
      <c r="AP14" s="71">
        <v>0</v>
      </c>
      <c r="AQ14" s="71">
        <v>0</v>
      </c>
      <c r="AR14" s="71">
        <v>0</v>
      </c>
      <c r="AS14" s="71">
        <v>0</v>
      </c>
      <c r="AT14" s="71">
        <v>0</v>
      </c>
      <c r="AU14" s="71">
        <v>0</v>
      </c>
      <c r="AV14" s="71">
        <v>0</v>
      </c>
      <c r="AW14" s="71">
        <v>0</v>
      </c>
      <c r="AX14" s="71">
        <v>1</v>
      </c>
      <c r="AY14" s="71">
        <v>0</v>
      </c>
      <c r="AZ14" s="71">
        <v>0</v>
      </c>
      <c r="BA14" s="71">
        <v>0</v>
      </c>
      <c r="BB14" s="71">
        <v>3</v>
      </c>
      <c r="BC14" s="71">
        <v>2</v>
      </c>
      <c r="BD14" s="71">
        <v>2</v>
      </c>
      <c r="BE14" s="71">
        <v>2</v>
      </c>
      <c r="BF14" s="71">
        <v>3</v>
      </c>
      <c r="BG14" s="71">
        <v>2</v>
      </c>
      <c r="BH14" s="71">
        <v>2</v>
      </c>
      <c r="BI14" s="71">
        <v>1</v>
      </c>
      <c r="BJ14" s="71">
        <v>2</v>
      </c>
      <c r="BK14" s="71">
        <v>2</v>
      </c>
      <c r="BL14" s="71">
        <v>2</v>
      </c>
      <c r="BM14" s="71">
        <v>1</v>
      </c>
      <c r="BN14" s="71">
        <v>3</v>
      </c>
      <c r="BO14" s="71">
        <v>3</v>
      </c>
      <c r="BP14" s="71">
        <v>3</v>
      </c>
      <c r="BQ14" s="71">
        <v>2</v>
      </c>
      <c r="BR14" s="71">
        <v>2</v>
      </c>
      <c r="BS14" s="71">
        <v>2</v>
      </c>
      <c r="BT14" s="71">
        <v>3</v>
      </c>
      <c r="BU14" s="71">
        <v>0</v>
      </c>
      <c r="BV14" s="71">
        <v>1</v>
      </c>
      <c r="BW14" s="71">
        <v>0</v>
      </c>
      <c r="BX14" s="71">
        <v>0</v>
      </c>
      <c r="BY14" s="71">
        <v>0</v>
      </c>
      <c r="BZ14" s="71">
        <v>1</v>
      </c>
      <c r="CA14" s="71">
        <v>0</v>
      </c>
      <c r="CB14" s="71">
        <v>2</v>
      </c>
      <c r="CC14" s="71">
        <v>2</v>
      </c>
      <c r="CD14" s="71">
        <v>2</v>
      </c>
      <c r="CE14" s="71">
        <v>2</v>
      </c>
      <c r="CF14" s="71">
        <v>3</v>
      </c>
      <c r="CG14" s="71">
        <v>2</v>
      </c>
      <c r="CH14" s="71">
        <v>0</v>
      </c>
      <c r="CI14" s="71">
        <v>1</v>
      </c>
      <c r="CJ14" s="71">
        <v>0</v>
      </c>
      <c r="CK14" s="71">
        <v>1</v>
      </c>
      <c r="CL14" s="71">
        <v>1</v>
      </c>
      <c r="CM14" s="71">
        <v>0</v>
      </c>
      <c r="CN14" s="71">
        <v>1</v>
      </c>
      <c r="CO14" s="71" t="s">
        <v>467</v>
      </c>
      <c r="CP14" s="71" t="s">
        <v>435</v>
      </c>
      <c r="CQ14" s="71" t="s">
        <v>468</v>
      </c>
      <c r="CR14" s="71" t="s">
        <v>469</v>
      </c>
      <c r="CS14" s="71" t="s">
        <v>414</v>
      </c>
      <c r="CT14" s="71" t="s">
        <v>415</v>
      </c>
      <c r="CU14" s="71"/>
      <c r="CV14" s="71" t="s">
        <v>416</v>
      </c>
    </row>
    <row r="15" spans="1:100" ht="57.6" x14ac:dyDescent="0.3">
      <c r="A15" s="71" t="s">
        <v>13</v>
      </c>
      <c r="B15" s="71" t="s">
        <v>470</v>
      </c>
      <c r="C15" s="71">
        <v>25</v>
      </c>
      <c r="D15" s="71" t="s">
        <v>462</v>
      </c>
      <c r="E15" s="71">
        <v>0</v>
      </c>
      <c r="F15" s="71">
        <v>1</v>
      </c>
      <c r="G15" s="71">
        <v>0</v>
      </c>
      <c r="H15" s="71">
        <v>0</v>
      </c>
      <c r="I15" s="71">
        <v>0</v>
      </c>
      <c r="J15" s="71">
        <v>0</v>
      </c>
      <c r="K15" s="71">
        <v>0</v>
      </c>
      <c r="L15" s="71">
        <v>1</v>
      </c>
      <c r="M15" s="71">
        <v>0</v>
      </c>
      <c r="N15" s="71">
        <v>0</v>
      </c>
      <c r="O15" s="71">
        <v>0</v>
      </c>
      <c r="P15" s="71">
        <v>0</v>
      </c>
      <c r="Q15" s="71">
        <v>0</v>
      </c>
      <c r="R15" s="71">
        <v>0</v>
      </c>
      <c r="S15" s="71">
        <v>0</v>
      </c>
      <c r="T15" s="71">
        <v>0</v>
      </c>
      <c r="U15" s="71">
        <v>0</v>
      </c>
      <c r="V15" s="71">
        <v>0</v>
      </c>
      <c r="W15" s="71">
        <v>0</v>
      </c>
      <c r="X15" s="71">
        <v>0</v>
      </c>
      <c r="Y15" s="71">
        <v>1</v>
      </c>
      <c r="Z15" s="71">
        <v>0</v>
      </c>
      <c r="AA15" s="71">
        <v>1</v>
      </c>
      <c r="AB15" s="71">
        <v>0</v>
      </c>
      <c r="AC15" s="71">
        <v>1</v>
      </c>
      <c r="AD15" s="71">
        <v>0</v>
      </c>
      <c r="AE15" s="71">
        <v>1</v>
      </c>
      <c r="AF15" s="71">
        <v>0</v>
      </c>
      <c r="AG15" s="71">
        <v>1</v>
      </c>
      <c r="AH15" s="71">
        <v>0</v>
      </c>
      <c r="AI15" s="71">
        <v>1</v>
      </c>
      <c r="AJ15" s="71">
        <v>1</v>
      </c>
      <c r="AK15" s="71">
        <v>0</v>
      </c>
      <c r="AL15" s="71">
        <v>0</v>
      </c>
      <c r="AM15" s="71">
        <v>1</v>
      </c>
      <c r="AN15" s="71">
        <v>1</v>
      </c>
      <c r="AO15" s="71">
        <v>0</v>
      </c>
      <c r="AP15" s="71">
        <v>0</v>
      </c>
      <c r="AQ15" s="71">
        <v>0</v>
      </c>
      <c r="AR15" s="71">
        <v>0</v>
      </c>
      <c r="AS15" s="71">
        <v>0</v>
      </c>
      <c r="AT15" s="71">
        <v>0</v>
      </c>
      <c r="AU15" s="71">
        <v>0</v>
      </c>
      <c r="AV15" s="71">
        <v>0</v>
      </c>
      <c r="AW15" s="71">
        <v>0</v>
      </c>
      <c r="AX15" s="71">
        <v>1</v>
      </c>
      <c r="AY15" s="71">
        <v>0</v>
      </c>
      <c r="AZ15" s="71">
        <v>0</v>
      </c>
      <c r="BA15" s="71">
        <v>1</v>
      </c>
      <c r="BB15" s="71">
        <v>3</v>
      </c>
      <c r="BC15" s="71">
        <v>3</v>
      </c>
      <c r="BD15" s="71">
        <v>2</v>
      </c>
      <c r="BE15" s="71">
        <v>2</v>
      </c>
      <c r="BF15" s="71">
        <v>3</v>
      </c>
      <c r="BG15" s="71">
        <v>2</v>
      </c>
      <c r="BH15" s="71">
        <v>2</v>
      </c>
      <c r="BI15" s="71">
        <v>2</v>
      </c>
      <c r="BJ15" s="71">
        <v>2</v>
      </c>
      <c r="BK15" s="71">
        <v>2</v>
      </c>
      <c r="BL15" s="71">
        <v>2</v>
      </c>
      <c r="BM15" s="71">
        <v>1</v>
      </c>
      <c r="BN15" s="71">
        <v>3</v>
      </c>
      <c r="BO15" s="71">
        <v>3</v>
      </c>
      <c r="BP15" s="71">
        <v>3</v>
      </c>
      <c r="BQ15" s="71">
        <v>2</v>
      </c>
      <c r="BR15" s="71">
        <v>2</v>
      </c>
      <c r="BS15" s="71">
        <v>2</v>
      </c>
      <c r="BT15" s="71">
        <v>3</v>
      </c>
      <c r="BU15" s="71">
        <v>0</v>
      </c>
      <c r="BV15" s="71">
        <v>1</v>
      </c>
      <c r="BW15" s="71">
        <v>0</v>
      </c>
      <c r="BX15" s="71">
        <v>0</v>
      </c>
      <c r="BY15" s="71">
        <v>0</v>
      </c>
      <c r="BZ15" s="71">
        <v>1</v>
      </c>
      <c r="CA15" s="71">
        <v>0</v>
      </c>
      <c r="CB15" s="71">
        <v>2</v>
      </c>
      <c r="CC15" s="71">
        <v>2</v>
      </c>
      <c r="CD15" s="71">
        <v>2</v>
      </c>
      <c r="CE15" s="71">
        <v>3</v>
      </c>
      <c r="CF15" s="71">
        <v>3</v>
      </c>
      <c r="CG15" s="71">
        <v>2</v>
      </c>
      <c r="CH15" s="71">
        <v>0</v>
      </c>
      <c r="CI15" s="71">
        <v>1</v>
      </c>
      <c r="CJ15" s="71">
        <v>0</v>
      </c>
      <c r="CK15" s="71">
        <v>1</v>
      </c>
      <c r="CL15" s="71">
        <v>1</v>
      </c>
      <c r="CM15" s="71">
        <v>0</v>
      </c>
      <c r="CN15" s="71">
        <v>1</v>
      </c>
      <c r="CO15" s="71" t="s">
        <v>471</v>
      </c>
      <c r="CP15" s="71" t="s">
        <v>435</v>
      </c>
      <c r="CQ15" s="71" t="s">
        <v>472</v>
      </c>
      <c r="CR15" s="71" t="s">
        <v>473</v>
      </c>
      <c r="CS15" s="71" t="s">
        <v>414</v>
      </c>
      <c r="CT15" s="71" t="s">
        <v>415</v>
      </c>
      <c r="CU15" s="71"/>
      <c r="CV15" s="71" t="s">
        <v>416</v>
      </c>
    </row>
    <row r="16" spans="1:100" ht="57.6" x14ac:dyDescent="0.3">
      <c r="A16" s="71" t="s">
        <v>14</v>
      </c>
      <c r="B16" s="71" t="s">
        <v>474</v>
      </c>
      <c r="C16" s="71">
        <v>26</v>
      </c>
      <c r="D16" s="71" t="s">
        <v>395</v>
      </c>
      <c r="E16" s="71">
        <v>0</v>
      </c>
      <c r="F16" s="71">
        <v>0</v>
      </c>
      <c r="G16" s="71">
        <v>0</v>
      </c>
      <c r="H16" s="71">
        <v>0</v>
      </c>
      <c r="I16" s="71">
        <v>0</v>
      </c>
      <c r="J16" s="71">
        <v>0</v>
      </c>
      <c r="K16" s="71">
        <v>0</v>
      </c>
      <c r="L16" s="71">
        <v>0</v>
      </c>
      <c r="M16" s="71">
        <v>0</v>
      </c>
      <c r="N16" s="71">
        <v>0</v>
      </c>
      <c r="O16" s="71">
        <v>0</v>
      </c>
      <c r="P16" s="71">
        <v>0</v>
      </c>
      <c r="Q16" s="71">
        <v>1</v>
      </c>
      <c r="R16" s="71">
        <v>0</v>
      </c>
      <c r="S16" s="71">
        <v>1</v>
      </c>
      <c r="T16" s="71">
        <v>0</v>
      </c>
      <c r="U16" s="71">
        <v>0</v>
      </c>
      <c r="V16" s="71">
        <v>0</v>
      </c>
      <c r="W16" s="71">
        <v>1</v>
      </c>
      <c r="X16" s="71">
        <v>1</v>
      </c>
      <c r="Y16" s="71">
        <v>0</v>
      </c>
      <c r="Z16" s="71">
        <v>0</v>
      </c>
      <c r="AA16" s="71">
        <v>0</v>
      </c>
      <c r="AB16" s="71">
        <v>0</v>
      </c>
      <c r="AC16" s="71">
        <v>0</v>
      </c>
      <c r="AD16" s="71">
        <v>0</v>
      </c>
      <c r="AE16" s="71">
        <v>0</v>
      </c>
      <c r="AF16" s="71">
        <v>1</v>
      </c>
      <c r="AG16" s="71">
        <v>0</v>
      </c>
      <c r="AH16" s="71">
        <v>1</v>
      </c>
      <c r="AI16" s="71">
        <v>0</v>
      </c>
      <c r="AJ16" s="71">
        <v>0</v>
      </c>
      <c r="AK16" s="71">
        <v>1</v>
      </c>
      <c r="AL16" s="71">
        <v>0</v>
      </c>
      <c r="AM16" s="71">
        <v>1</v>
      </c>
      <c r="AN16" s="71">
        <v>0</v>
      </c>
      <c r="AO16" s="71">
        <v>0</v>
      </c>
      <c r="AP16" s="71">
        <v>0</v>
      </c>
      <c r="AQ16" s="71">
        <v>1</v>
      </c>
      <c r="AR16" s="71">
        <v>0</v>
      </c>
      <c r="AS16" s="71">
        <v>1</v>
      </c>
      <c r="AT16" s="71">
        <v>0</v>
      </c>
      <c r="AU16" s="71">
        <v>0</v>
      </c>
      <c r="AV16" s="71">
        <v>0</v>
      </c>
      <c r="AW16" s="71">
        <v>0</v>
      </c>
      <c r="AX16" s="71">
        <v>0</v>
      </c>
      <c r="AY16" s="71">
        <v>1</v>
      </c>
      <c r="AZ16" s="71">
        <v>0</v>
      </c>
      <c r="BA16" s="71">
        <v>0</v>
      </c>
      <c r="BB16" s="71">
        <v>3</v>
      </c>
      <c r="BC16" s="71">
        <v>2</v>
      </c>
      <c r="BD16" s="71">
        <v>2</v>
      </c>
      <c r="BE16" s="71">
        <v>2</v>
      </c>
      <c r="BF16" s="71">
        <v>2</v>
      </c>
      <c r="BG16" s="71">
        <v>3</v>
      </c>
      <c r="BH16" s="71">
        <v>2</v>
      </c>
      <c r="BI16" s="71">
        <v>2</v>
      </c>
      <c r="BJ16" s="71">
        <v>2</v>
      </c>
      <c r="BK16" s="71">
        <v>3</v>
      </c>
      <c r="BL16" s="71">
        <v>2</v>
      </c>
      <c r="BM16" s="71">
        <v>2</v>
      </c>
      <c r="BN16" s="71">
        <v>3</v>
      </c>
      <c r="BO16" s="71">
        <v>3</v>
      </c>
      <c r="BP16" s="71">
        <v>2</v>
      </c>
      <c r="BQ16" s="71">
        <v>2</v>
      </c>
      <c r="BR16" s="71">
        <v>2</v>
      </c>
      <c r="BS16" s="71">
        <v>2</v>
      </c>
      <c r="BT16" s="71">
        <v>3</v>
      </c>
      <c r="BU16" s="71">
        <v>3</v>
      </c>
      <c r="BV16" s="71">
        <v>2</v>
      </c>
      <c r="BW16" s="71">
        <v>2</v>
      </c>
      <c r="BX16" s="71">
        <v>2</v>
      </c>
      <c r="BY16" s="71">
        <v>2</v>
      </c>
      <c r="BZ16" s="71">
        <v>2</v>
      </c>
      <c r="CA16" s="71">
        <v>0</v>
      </c>
      <c r="CB16" s="71">
        <v>2</v>
      </c>
      <c r="CC16" s="71">
        <v>3</v>
      </c>
      <c r="CD16" s="71">
        <v>2</v>
      </c>
      <c r="CE16" s="71">
        <v>2</v>
      </c>
      <c r="CF16" s="71">
        <v>3</v>
      </c>
      <c r="CG16" s="71">
        <v>2</v>
      </c>
      <c r="CH16" s="71">
        <v>0</v>
      </c>
      <c r="CI16" s="71">
        <v>2</v>
      </c>
      <c r="CJ16" s="71">
        <v>2</v>
      </c>
      <c r="CK16" s="71">
        <v>2</v>
      </c>
      <c r="CL16" s="71">
        <v>2</v>
      </c>
      <c r="CM16" s="71">
        <v>1</v>
      </c>
      <c r="CN16" s="71">
        <v>2</v>
      </c>
      <c r="CO16" s="71" t="s">
        <v>475</v>
      </c>
      <c r="CP16" s="71" t="s">
        <v>451</v>
      </c>
      <c r="CQ16" s="71" t="s">
        <v>476</v>
      </c>
      <c r="CR16" s="71" t="s">
        <v>477</v>
      </c>
      <c r="CS16" s="71" t="s">
        <v>421</v>
      </c>
      <c r="CT16" s="71" t="s">
        <v>422</v>
      </c>
      <c r="CU16" s="71" t="s">
        <v>423</v>
      </c>
      <c r="CV16" s="71" t="s">
        <v>416</v>
      </c>
    </row>
    <row r="17" spans="1:100" ht="57.6" x14ac:dyDescent="0.3">
      <c r="A17" s="71" t="s">
        <v>15</v>
      </c>
      <c r="B17" s="71" t="s">
        <v>474</v>
      </c>
      <c r="C17" s="71">
        <v>27</v>
      </c>
      <c r="D17" s="71" t="s">
        <v>462</v>
      </c>
      <c r="E17" s="71">
        <v>0</v>
      </c>
      <c r="F17" s="71">
        <v>0</v>
      </c>
      <c r="G17" s="71">
        <v>0</v>
      </c>
      <c r="H17" s="71">
        <v>0</v>
      </c>
      <c r="I17" s="71">
        <v>0</v>
      </c>
      <c r="J17" s="71">
        <v>0</v>
      </c>
      <c r="K17" s="71">
        <v>0</v>
      </c>
      <c r="L17" s="71">
        <v>0</v>
      </c>
      <c r="M17" s="71">
        <v>0</v>
      </c>
      <c r="N17" s="71">
        <v>0</v>
      </c>
      <c r="O17" s="71">
        <v>0</v>
      </c>
      <c r="P17" s="71">
        <v>0</v>
      </c>
      <c r="Q17" s="71">
        <v>1</v>
      </c>
      <c r="R17" s="71">
        <v>0</v>
      </c>
      <c r="S17" s="71">
        <v>1</v>
      </c>
      <c r="T17" s="71">
        <v>0</v>
      </c>
      <c r="U17" s="71">
        <v>0</v>
      </c>
      <c r="V17" s="71">
        <v>0</v>
      </c>
      <c r="W17" s="71">
        <v>1</v>
      </c>
      <c r="X17" s="71">
        <v>1</v>
      </c>
      <c r="Y17" s="71">
        <v>0</v>
      </c>
      <c r="Z17" s="71">
        <v>0</v>
      </c>
      <c r="AA17" s="71">
        <v>0</v>
      </c>
      <c r="AB17" s="71">
        <v>0</v>
      </c>
      <c r="AC17" s="71">
        <v>0</v>
      </c>
      <c r="AD17" s="71">
        <v>0</v>
      </c>
      <c r="AE17" s="71">
        <v>0</v>
      </c>
      <c r="AF17" s="71">
        <v>1</v>
      </c>
      <c r="AG17" s="71">
        <v>0</v>
      </c>
      <c r="AH17" s="71">
        <v>1</v>
      </c>
      <c r="AI17" s="71">
        <v>0</v>
      </c>
      <c r="AJ17" s="71">
        <v>0</v>
      </c>
      <c r="AK17" s="71">
        <v>1</v>
      </c>
      <c r="AL17" s="71">
        <v>0</v>
      </c>
      <c r="AM17" s="71">
        <v>1</v>
      </c>
      <c r="AN17" s="71">
        <v>0</v>
      </c>
      <c r="AO17" s="71">
        <v>0</v>
      </c>
      <c r="AP17" s="71">
        <v>0</v>
      </c>
      <c r="AQ17" s="71">
        <v>1</v>
      </c>
      <c r="AR17" s="71">
        <v>0</v>
      </c>
      <c r="AS17" s="71">
        <v>1</v>
      </c>
      <c r="AT17" s="71">
        <v>0</v>
      </c>
      <c r="AU17" s="71">
        <v>0</v>
      </c>
      <c r="AV17" s="71">
        <v>0</v>
      </c>
      <c r="AW17" s="71">
        <v>0</v>
      </c>
      <c r="AX17" s="71">
        <v>0</v>
      </c>
      <c r="AY17" s="71">
        <v>1</v>
      </c>
      <c r="AZ17" s="71">
        <v>0</v>
      </c>
      <c r="BA17" s="71">
        <v>0</v>
      </c>
      <c r="BB17" s="71">
        <v>3</v>
      </c>
      <c r="BC17" s="71">
        <v>3</v>
      </c>
      <c r="BD17" s="71">
        <v>2</v>
      </c>
      <c r="BE17" s="71">
        <v>2</v>
      </c>
      <c r="BF17" s="71">
        <v>2</v>
      </c>
      <c r="BG17" s="71">
        <v>3</v>
      </c>
      <c r="BH17" s="71">
        <v>3</v>
      </c>
      <c r="BI17" s="71">
        <v>2</v>
      </c>
      <c r="BJ17" s="71">
        <v>2</v>
      </c>
      <c r="BK17" s="71">
        <v>3</v>
      </c>
      <c r="BL17" s="71">
        <v>3</v>
      </c>
      <c r="BM17" s="71">
        <v>2</v>
      </c>
      <c r="BN17" s="71">
        <v>3</v>
      </c>
      <c r="BO17" s="71">
        <v>3</v>
      </c>
      <c r="BP17" s="71">
        <v>3</v>
      </c>
      <c r="BQ17" s="71">
        <v>2</v>
      </c>
      <c r="BR17" s="71">
        <v>3</v>
      </c>
      <c r="BS17" s="71">
        <v>2</v>
      </c>
      <c r="BT17" s="71">
        <v>3</v>
      </c>
      <c r="BU17" s="71">
        <v>3</v>
      </c>
      <c r="BV17" s="71">
        <v>3</v>
      </c>
      <c r="BW17" s="71">
        <v>3</v>
      </c>
      <c r="BX17" s="71">
        <v>3</v>
      </c>
      <c r="BY17" s="71">
        <v>3</v>
      </c>
      <c r="BZ17" s="71">
        <v>2</v>
      </c>
      <c r="CA17" s="71">
        <v>0</v>
      </c>
      <c r="CB17" s="71">
        <v>3</v>
      </c>
      <c r="CC17" s="71">
        <v>3</v>
      </c>
      <c r="CD17" s="71">
        <v>3</v>
      </c>
      <c r="CE17" s="71">
        <v>2</v>
      </c>
      <c r="CF17" s="71">
        <v>3</v>
      </c>
      <c r="CG17" s="71">
        <v>3</v>
      </c>
      <c r="CH17" s="71">
        <v>0</v>
      </c>
      <c r="CI17" s="71">
        <v>2</v>
      </c>
      <c r="CJ17" s="71">
        <v>2</v>
      </c>
      <c r="CK17" s="71">
        <v>2</v>
      </c>
      <c r="CL17" s="71">
        <v>2</v>
      </c>
      <c r="CM17" s="71">
        <v>1</v>
      </c>
      <c r="CN17" s="71">
        <v>2</v>
      </c>
      <c r="CO17" s="71" t="s">
        <v>478</v>
      </c>
      <c r="CP17" s="71" t="s">
        <v>451</v>
      </c>
      <c r="CQ17" s="71" t="s">
        <v>479</v>
      </c>
      <c r="CR17" s="71" t="s">
        <v>480</v>
      </c>
      <c r="CS17" s="71" t="s">
        <v>414</v>
      </c>
      <c r="CT17" s="71" t="s">
        <v>415</v>
      </c>
      <c r="CU17" s="71"/>
      <c r="CV17" s="71" t="s">
        <v>416</v>
      </c>
    </row>
    <row r="18" spans="1:100" ht="57.6" x14ac:dyDescent="0.3">
      <c r="A18" s="71" t="s">
        <v>16</v>
      </c>
      <c r="B18" s="71" t="s">
        <v>481</v>
      </c>
      <c r="C18" s="71">
        <v>28</v>
      </c>
      <c r="D18" s="71" t="s">
        <v>393</v>
      </c>
      <c r="E18" s="71">
        <v>0</v>
      </c>
      <c r="F18" s="71">
        <v>0</v>
      </c>
      <c r="G18" s="71">
        <v>0</v>
      </c>
      <c r="H18" s="71">
        <v>0</v>
      </c>
      <c r="I18" s="71">
        <v>0</v>
      </c>
      <c r="J18" s="71">
        <v>0</v>
      </c>
      <c r="K18" s="71">
        <v>1</v>
      </c>
      <c r="L18" s="71">
        <v>0</v>
      </c>
      <c r="M18" s="71">
        <v>0</v>
      </c>
      <c r="N18" s="71">
        <v>0</v>
      </c>
      <c r="O18" s="71">
        <v>0</v>
      </c>
      <c r="P18" s="71">
        <v>0</v>
      </c>
      <c r="Q18" s="71">
        <v>1</v>
      </c>
      <c r="R18" s="71">
        <v>0</v>
      </c>
      <c r="S18" s="71">
        <v>1</v>
      </c>
      <c r="T18" s="71">
        <v>0</v>
      </c>
      <c r="U18" s="71">
        <v>1</v>
      </c>
      <c r="V18" s="71">
        <v>0</v>
      </c>
      <c r="W18" s="71">
        <v>1</v>
      </c>
      <c r="X18" s="71">
        <v>1</v>
      </c>
      <c r="Y18" s="71">
        <v>0</v>
      </c>
      <c r="Z18" s="71">
        <v>0</v>
      </c>
      <c r="AA18" s="71">
        <v>0</v>
      </c>
      <c r="AB18" s="71">
        <v>1</v>
      </c>
      <c r="AC18" s="71">
        <v>0</v>
      </c>
      <c r="AD18" s="71">
        <v>1</v>
      </c>
      <c r="AE18" s="71">
        <v>0</v>
      </c>
      <c r="AF18" s="71">
        <v>1</v>
      </c>
      <c r="AG18" s="71">
        <v>0</v>
      </c>
      <c r="AH18" s="71">
        <v>0</v>
      </c>
      <c r="AI18" s="71">
        <v>0</v>
      </c>
      <c r="AJ18" s="71">
        <v>0</v>
      </c>
      <c r="AK18" s="71">
        <v>1</v>
      </c>
      <c r="AL18" s="71">
        <v>0</v>
      </c>
      <c r="AM18" s="71">
        <v>1</v>
      </c>
      <c r="AN18" s="71">
        <v>0</v>
      </c>
      <c r="AO18" s="71">
        <v>0</v>
      </c>
      <c r="AP18" s="71">
        <v>1</v>
      </c>
      <c r="AQ18" s="71">
        <v>0</v>
      </c>
      <c r="AR18" s="71">
        <v>0</v>
      </c>
      <c r="AS18" s="71">
        <v>1</v>
      </c>
      <c r="AT18" s="71">
        <v>0</v>
      </c>
      <c r="AU18" s="71">
        <v>0</v>
      </c>
      <c r="AV18" s="71">
        <v>0</v>
      </c>
      <c r="AW18" s="71">
        <v>0</v>
      </c>
      <c r="AX18" s="71">
        <v>0</v>
      </c>
      <c r="AY18" s="71">
        <v>0</v>
      </c>
      <c r="AZ18" s="71">
        <v>1</v>
      </c>
      <c r="BA18" s="71">
        <v>0</v>
      </c>
      <c r="BB18" s="71">
        <v>3</v>
      </c>
      <c r="BC18" s="71">
        <v>3</v>
      </c>
      <c r="BD18" s="71">
        <v>2</v>
      </c>
      <c r="BE18" s="71">
        <v>3</v>
      </c>
      <c r="BF18" s="71">
        <v>2</v>
      </c>
      <c r="BG18" s="71">
        <v>3</v>
      </c>
      <c r="BH18" s="71">
        <v>3</v>
      </c>
      <c r="BI18" s="71">
        <v>3</v>
      </c>
      <c r="BJ18" s="71">
        <v>2</v>
      </c>
      <c r="BK18" s="71">
        <v>3</v>
      </c>
      <c r="BL18" s="71">
        <v>3</v>
      </c>
      <c r="BM18" s="71">
        <v>3</v>
      </c>
      <c r="BN18" s="71">
        <v>3</v>
      </c>
      <c r="BO18" s="71">
        <v>3</v>
      </c>
      <c r="BP18" s="71">
        <v>3</v>
      </c>
      <c r="BQ18" s="71">
        <v>3</v>
      </c>
      <c r="BR18" s="71">
        <v>3</v>
      </c>
      <c r="BS18" s="71">
        <v>2</v>
      </c>
      <c r="BT18" s="71">
        <v>3</v>
      </c>
      <c r="BU18" s="71">
        <v>3</v>
      </c>
      <c r="BV18" s="71">
        <v>3</v>
      </c>
      <c r="BW18" s="71">
        <v>3</v>
      </c>
      <c r="BX18" s="71">
        <v>3</v>
      </c>
      <c r="BY18" s="71">
        <v>3</v>
      </c>
      <c r="BZ18" s="71">
        <v>3</v>
      </c>
      <c r="CA18" s="71">
        <v>0</v>
      </c>
      <c r="CB18" s="71">
        <v>3</v>
      </c>
      <c r="CC18" s="71">
        <v>3</v>
      </c>
      <c r="CD18" s="71">
        <v>3</v>
      </c>
      <c r="CE18" s="71">
        <v>3</v>
      </c>
      <c r="CF18" s="71">
        <v>3</v>
      </c>
      <c r="CG18" s="71">
        <v>3</v>
      </c>
      <c r="CH18" s="71">
        <v>0</v>
      </c>
      <c r="CI18" s="71">
        <v>2</v>
      </c>
      <c r="CJ18" s="71">
        <v>2</v>
      </c>
      <c r="CK18" s="71">
        <v>2</v>
      </c>
      <c r="CL18" s="71">
        <v>3</v>
      </c>
      <c r="CM18" s="71">
        <v>1</v>
      </c>
      <c r="CN18" s="71">
        <v>3</v>
      </c>
      <c r="CO18" s="71" t="s">
        <v>482</v>
      </c>
      <c r="CP18" s="71" t="s">
        <v>483</v>
      </c>
      <c r="CQ18" s="71" t="s">
        <v>484</v>
      </c>
      <c r="CR18" s="71" t="s">
        <v>485</v>
      </c>
      <c r="CS18" s="71" t="s">
        <v>414</v>
      </c>
      <c r="CT18" s="71" t="s">
        <v>415</v>
      </c>
      <c r="CU18" s="71"/>
      <c r="CV18" s="71" t="s">
        <v>416</v>
      </c>
    </row>
    <row r="19" spans="1:100" ht="57.6" x14ac:dyDescent="0.3">
      <c r="A19" s="71" t="s">
        <v>17</v>
      </c>
      <c r="B19" s="71" t="s">
        <v>486</v>
      </c>
      <c r="C19" s="71">
        <v>29</v>
      </c>
      <c r="D19" s="71" t="s">
        <v>393</v>
      </c>
      <c r="E19" s="71">
        <v>0</v>
      </c>
      <c r="F19" s="71">
        <v>0</v>
      </c>
      <c r="G19" s="71">
        <v>1</v>
      </c>
      <c r="H19" s="71">
        <v>0</v>
      </c>
      <c r="I19" s="71">
        <v>0</v>
      </c>
      <c r="J19" s="71">
        <v>0</v>
      </c>
      <c r="K19" s="71">
        <v>1</v>
      </c>
      <c r="L19" s="71">
        <v>0</v>
      </c>
      <c r="M19" s="71">
        <v>0</v>
      </c>
      <c r="N19" s="71">
        <v>0</v>
      </c>
      <c r="O19" s="71">
        <v>0</v>
      </c>
      <c r="P19" s="71">
        <v>0</v>
      </c>
      <c r="Q19" s="71">
        <v>1</v>
      </c>
      <c r="R19" s="71">
        <v>0</v>
      </c>
      <c r="S19" s="71">
        <v>1</v>
      </c>
      <c r="T19" s="71">
        <v>0</v>
      </c>
      <c r="U19" s="71">
        <v>1</v>
      </c>
      <c r="V19" s="71">
        <v>1</v>
      </c>
      <c r="W19" s="71">
        <v>0</v>
      </c>
      <c r="X19" s="71">
        <v>1</v>
      </c>
      <c r="Y19" s="71">
        <v>0</v>
      </c>
      <c r="Z19" s="71">
        <v>0</v>
      </c>
      <c r="AA19" s="71">
        <v>0</v>
      </c>
      <c r="AB19" s="71">
        <v>1</v>
      </c>
      <c r="AC19" s="71">
        <v>0</v>
      </c>
      <c r="AD19" s="71">
        <v>1</v>
      </c>
      <c r="AE19" s="71">
        <v>0</v>
      </c>
      <c r="AF19" s="71">
        <v>1</v>
      </c>
      <c r="AG19" s="71">
        <v>0</v>
      </c>
      <c r="AH19" s="71">
        <v>0</v>
      </c>
      <c r="AI19" s="71">
        <v>0</v>
      </c>
      <c r="AJ19" s="71">
        <v>0</v>
      </c>
      <c r="AK19" s="71">
        <v>1</v>
      </c>
      <c r="AL19" s="71">
        <v>0</v>
      </c>
      <c r="AM19" s="71">
        <v>1</v>
      </c>
      <c r="AN19" s="71">
        <v>0</v>
      </c>
      <c r="AO19" s="71">
        <v>0</v>
      </c>
      <c r="AP19" s="71">
        <v>1</v>
      </c>
      <c r="AQ19" s="71">
        <v>0</v>
      </c>
      <c r="AR19" s="71">
        <v>0</v>
      </c>
      <c r="AS19" s="71">
        <v>0</v>
      </c>
      <c r="AT19" s="71">
        <v>0</v>
      </c>
      <c r="AU19" s="71">
        <v>1</v>
      </c>
      <c r="AV19" s="71">
        <v>0</v>
      </c>
      <c r="AW19" s="71">
        <v>0</v>
      </c>
      <c r="AX19" s="71">
        <v>0</v>
      </c>
      <c r="AY19" s="71">
        <v>1</v>
      </c>
      <c r="AZ19" s="71">
        <v>0</v>
      </c>
      <c r="BA19" s="71">
        <v>0</v>
      </c>
      <c r="BB19" s="71">
        <v>3</v>
      </c>
      <c r="BC19" s="71">
        <v>3</v>
      </c>
      <c r="BD19" s="71">
        <v>2</v>
      </c>
      <c r="BE19" s="71">
        <v>3</v>
      </c>
      <c r="BF19" s="71">
        <v>2</v>
      </c>
      <c r="BG19" s="71">
        <v>3</v>
      </c>
      <c r="BH19" s="71">
        <v>3</v>
      </c>
      <c r="BI19" s="71">
        <v>3</v>
      </c>
      <c r="BJ19" s="71">
        <v>3</v>
      </c>
      <c r="BK19" s="71">
        <v>3</v>
      </c>
      <c r="BL19" s="71">
        <v>3</v>
      </c>
      <c r="BM19" s="71">
        <v>3</v>
      </c>
      <c r="BN19" s="71">
        <v>3</v>
      </c>
      <c r="BO19" s="71">
        <v>3</v>
      </c>
      <c r="BP19" s="71">
        <v>3</v>
      </c>
      <c r="BQ19" s="71">
        <v>3</v>
      </c>
      <c r="BR19" s="71">
        <v>3</v>
      </c>
      <c r="BS19" s="71">
        <v>3</v>
      </c>
      <c r="BT19" s="71">
        <v>3</v>
      </c>
      <c r="BU19" s="71">
        <v>3</v>
      </c>
      <c r="BV19" s="71">
        <v>3</v>
      </c>
      <c r="BW19" s="71">
        <v>3</v>
      </c>
      <c r="BX19" s="71">
        <v>3</v>
      </c>
      <c r="BY19" s="71">
        <v>3</v>
      </c>
      <c r="BZ19" s="71">
        <v>3</v>
      </c>
      <c r="CA19" s="71">
        <v>0</v>
      </c>
      <c r="CB19" s="71">
        <v>3</v>
      </c>
      <c r="CC19" s="71">
        <v>3</v>
      </c>
      <c r="CD19" s="71">
        <v>3</v>
      </c>
      <c r="CE19" s="71">
        <v>3</v>
      </c>
      <c r="CF19" s="71">
        <v>3</v>
      </c>
      <c r="CG19" s="71">
        <v>3</v>
      </c>
      <c r="CH19" s="71">
        <v>0</v>
      </c>
      <c r="CI19" s="71">
        <v>3</v>
      </c>
      <c r="CJ19" s="71">
        <v>3</v>
      </c>
      <c r="CK19" s="71">
        <v>2</v>
      </c>
      <c r="CL19" s="71">
        <v>3</v>
      </c>
      <c r="CM19" s="71">
        <v>2</v>
      </c>
      <c r="CN19" s="71">
        <v>3</v>
      </c>
      <c r="CO19" s="71" t="s">
        <v>487</v>
      </c>
      <c r="CP19" s="71" t="s">
        <v>483</v>
      </c>
      <c r="CQ19" s="71" t="s">
        <v>488</v>
      </c>
      <c r="CR19" s="71" t="s">
        <v>489</v>
      </c>
      <c r="CS19" s="71" t="s">
        <v>414</v>
      </c>
      <c r="CT19" s="71" t="s">
        <v>415</v>
      </c>
      <c r="CU19" s="71"/>
      <c r="CV19" s="71" t="s">
        <v>416</v>
      </c>
    </row>
    <row r="20" spans="1:100" ht="72" x14ac:dyDescent="0.3">
      <c r="A20" s="71" t="s">
        <v>18</v>
      </c>
      <c r="B20" s="71" t="s">
        <v>490</v>
      </c>
      <c r="C20" s="71">
        <v>30</v>
      </c>
      <c r="D20" s="71" t="s">
        <v>393</v>
      </c>
      <c r="E20" s="71">
        <v>1</v>
      </c>
      <c r="F20" s="71">
        <v>0</v>
      </c>
      <c r="G20" s="71">
        <v>1</v>
      </c>
      <c r="H20" s="71">
        <v>0</v>
      </c>
      <c r="I20" s="71">
        <v>0</v>
      </c>
      <c r="J20" s="71">
        <v>0</v>
      </c>
      <c r="K20" s="71">
        <v>1</v>
      </c>
      <c r="L20" s="71">
        <v>0</v>
      </c>
      <c r="M20" s="71">
        <v>0</v>
      </c>
      <c r="N20" s="71">
        <v>0</v>
      </c>
      <c r="O20" s="71">
        <v>0</v>
      </c>
      <c r="P20" s="71">
        <v>0</v>
      </c>
      <c r="Q20" s="71">
        <v>1</v>
      </c>
      <c r="R20" s="71">
        <v>0</v>
      </c>
      <c r="S20" s="71">
        <v>1</v>
      </c>
      <c r="T20" s="71">
        <v>0</v>
      </c>
      <c r="U20" s="71">
        <v>1</v>
      </c>
      <c r="V20" s="71">
        <v>1</v>
      </c>
      <c r="W20" s="71">
        <v>0</v>
      </c>
      <c r="X20" s="71">
        <v>1</v>
      </c>
      <c r="Y20" s="71">
        <v>0</v>
      </c>
      <c r="Z20" s="71">
        <v>0</v>
      </c>
      <c r="AA20" s="71">
        <v>0</v>
      </c>
      <c r="AB20" s="71">
        <v>1</v>
      </c>
      <c r="AC20" s="71">
        <v>0</v>
      </c>
      <c r="AD20" s="71">
        <v>1</v>
      </c>
      <c r="AE20" s="71">
        <v>0</v>
      </c>
      <c r="AF20" s="71">
        <v>1</v>
      </c>
      <c r="AG20" s="71">
        <v>0</v>
      </c>
      <c r="AH20" s="71">
        <v>0</v>
      </c>
      <c r="AI20" s="71">
        <v>0</v>
      </c>
      <c r="AJ20" s="71">
        <v>0</v>
      </c>
      <c r="AK20" s="71">
        <v>1</v>
      </c>
      <c r="AL20" s="71">
        <v>0</v>
      </c>
      <c r="AM20" s="71">
        <v>1</v>
      </c>
      <c r="AN20" s="71">
        <v>0</v>
      </c>
      <c r="AO20" s="71">
        <v>0</v>
      </c>
      <c r="AP20" s="71">
        <v>1</v>
      </c>
      <c r="AQ20" s="71">
        <v>0</v>
      </c>
      <c r="AR20" s="71">
        <v>0</v>
      </c>
      <c r="AS20" s="71">
        <v>0</v>
      </c>
      <c r="AT20" s="71">
        <v>0</v>
      </c>
      <c r="AU20" s="71">
        <v>1</v>
      </c>
      <c r="AV20" s="71">
        <v>0</v>
      </c>
      <c r="AW20" s="71">
        <v>0</v>
      </c>
      <c r="AX20" s="71">
        <v>0</v>
      </c>
      <c r="AY20" s="71">
        <v>1</v>
      </c>
      <c r="AZ20" s="71">
        <v>0</v>
      </c>
      <c r="BA20" s="71">
        <v>0</v>
      </c>
      <c r="BB20" s="71">
        <v>3</v>
      </c>
      <c r="BC20" s="71">
        <v>3</v>
      </c>
      <c r="BD20" s="71">
        <v>3</v>
      </c>
      <c r="BE20" s="71">
        <v>3</v>
      </c>
      <c r="BF20" s="71">
        <v>2</v>
      </c>
      <c r="BG20" s="71">
        <v>3</v>
      </c>
      <c r="BH20" s="71">
        <v>3</v>
      </c>
      <c r="BI20" s="71">
        <v>3</v>
      </c>
      <c r="BJ20" s="71">
        <v>3</v>
      </c>
      <c r="BK20" s="71">
        <v>3</v>
      </c>
      <c r="BL20" s="71">
        <v>3</v>
      </c>
      <c r="BM20" s="71">
        <v>3</v>
      </c>
      <c r="BN20" s="71">
        <v>3</v>
      </c>
      <c r="BO20" s="71">
        <v>3</v>
      </c>
      <c r="BP20" s="71">
        <v>3</v>
      </c>
      <c r="BQ20" s="71">
        <v>3</v>
      </c>
      <c r="BR20" s="71">
        <v>3</v>
      </c>
      <c r="BS20" s="71">
        <v>3</v>
      </c>
      <c r="BT20" s="71">
        <v>3</v>
      </c>
      <c r="BU20" s="71">
        <v>3</v>
      </c>
      <c r="BV20" s="71">
        <v>3</v>
      </c>
      <c r="BW20" s="71">
        <v>3</v>
      </c>
      <c r="BX20" s="71">
        <v>3</v>
      </c>
      <c r="BY20" s="71">
        <v>3</v>
      </c>
      <c r="BZ20" s="71">
        <v>3</v>
      </c>
      <c r="CA20" s="71">
        <v>0</v>
      </c>
      <c r="CB20" s="71">
        <v>3</v>
      </c>
      <c r="CC20" s="71">
        <v>3</v>
      </c>
      <c r="CD20" s="71">
        <v>3</v>
      </c>
      <c r="CE20" s="71">
        <v>3</v>
      </c>
      <c r="CF20" s="71">
        <v>3</v>
      </c>
      <c r="CG20" s="71">
        <v>3</v>
      </c>
      <c r="CH20" s="71">
        <v>0</v>
      </c>
      <c r="CI20" s="71">
        <v>3</v>
      </c>
      <c r="CJ20" s="71">
        <v>3</v>
      </c>
      <c r="CK20" s="71">
        <v>2</v>
      </c>
      <c r="CL20" s="71">
        <v>3</v>
      </c>
      <c r="CM20" s="71">
        <v>2</v>
      </c>
      <c r="CN20" s="71">
        <v>3</v>
      </c>
      <c r="CO20" s="71" t="s">
        <v>491</v>
      </c>
      <c r="CP20" s="71" t="s">
        <v>483</v>
      </c>
      <c r="CQ20" s="71" t="s">
        <v>492</v>
      </c>
      <c r="CR20" s="71" t="s">
        <v>493</v>
      </c>
      <c r="CS20" s="71" t="s">
        <v>414</v>
      </c>
      <c r="CT20" s="71" t="s">
        <v>415</v>
      </c>
      <c r="CU20" s="71"/>
      <c r="CV20" s="71" t="s">
        <v>416</v>
      </c>
    </row>
  </sheetData>
  <dataValidations count="3">
    <dataValidation type="list" sqref="E2:BA500" xr:uid="{00000000-0002-0000-0300-000000000000}">
      <formula1>"0,1"</formula1>
    </dataValidation>
    <dataValidation type="list" sqref="BB2:CN500" xr:uid="{00000000-0002-0000-0300-000001000000}">
      <formula1>"1,2,3"</formula1>
    </dataValidation>
    <dataValidation type="list" sqref="CS2:CS20" xr:uid="{00000000-0002-0000-0300-000002000000}">
      <formula1>"SÍ,NO"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67"/>
  <sheetViews>
    <sheetView workbookViewId="0"/>
  </sheetViews>
  <sheetFormatPr baseColWidth="10" defaultColWidth="8.88671875" defaultRowHeight="14.4" x14ac:dyDescent="0.3"/>
  <cols>
    <col min="1" max="1" width="7.77734375" customWidth="1"/>
    <col min="2" max="2" width="58" customWidth="1"/>
    <col min="3" max="3" width="16.109375" customWidth="1"/>
    <col min="4" max="4" width="11.44140625" customWidth="1"/>
    <col min="5" max="13" width="4.5546875" customWidth="1"/>
    <col min="14" max="53" width="5.5546875" customWidth="1"/>
    <col min="54" max="92" width="7.88671875" customWidth="1"/>
    <col min="93" max="93" width="60" customWidth="1"/>
  </cols>
  <sheetData>
    <row r="1" spans="1:93" ht="11.55" customHeight="1" x14ac:dyDescent="0.3">
      <c r="A1" s="92" t="s">
        <v>284</v>
      </c>
      <c r="B1" s="92" t="s">
        <v>285</v>
      </c>
      <c r="C1" s="92" t="s">
        <v>286</v>
      </c>
      <c r="D1" s="92" t="s">
        <v>287</v>
      </c>
      <c r="E1" s="92" t="s">
        <v>27</v>
      </c>
      <c r="F1" s="92" t="s">
        <v>104</v>
      </c>
      <c r="G1" s="92" t="s">
        <v>32</v>
      </c>
      <c r="H1" s="92" t="s">
        <v>167</v>
      </c>
      <c r="I1" s="92" t="s">
        <v>146</v>
      </c>
      <c r="J1" s="92" t="s">
        <v>170</v>
      </c>
      <c r="K1" s="92" t="s">
        <v>43</v>
      </c>
      <c r="L1" s="92" t="s">
        <v>107</v>
      </c>
      <c r="M1" s="92" t="s">
        <v>149</v>
      </c>
      <c r="N1" s="92" t="s">
        <v>173</v>
      </c>
      <c r="O1" s="92" t="s">
        <v>176</v>
      </c>
      <c r="P1" s="92" t="s">
        <v>80</v>
      </c>
      <c r="Q1" s="92" t="s">
        <v>63</v>
      </c>
      <c r="R1" s="92" t="s">
        <v>83</v>
      </c>
      <c r="S1" s="92" t="s">
        <v>46</v>
      </c>
      <c r="T1" s="92" t="s">
        <v>179</v>
      </c>
      <c r="U1" s="92" t="s">
        <v>50</v>
      </c>
      <c r="V1" s="92" t="s">
        <v>40</v>
      </c>
      <c r="W1" s="92" t="s">
        <v>89</v>
      </c>
      <c r="X1" s="92" t="s">
        <v>70</v>
      </c>
      <c r="Y1" s="92" t="s">
        <v>110</v>
      </c>
      <c r="Z1" s="92" t="s">
        <v>158</v>
      </c>
      <c r="AA1" s="92" t="s">
        <v>113</v>
      </c>
      <c r="AB1" s="92" t="s">
        <v>53</v>
      </c>
      <c r="AC1" s="92" t="s">
        <v>116</v>
      </c>
      <c r="AD1" s="92" t="s">
        <v>56</v>
      </c>
      <c r="AE1" s="92" t="s">
        <v>140</v>
      </c>
      <c r="AF1" s="92" t="s">
        <v>60</v>
      </c>
      <c r="AG1" s="92" t="s">
        <v>119</v>
      </c>
      <c r="AH1" s="92" t="s">
        <v>137</v>
      </c>
      <c r="AI1" s="92" t="s">
        <v>125</v>
      </c>
      <c r="AJ1" s="92" t="s">
        <v>122</v>
      </c>
      <c r="AK1" s="92" t="s">
        <v>73</v>
      </c>
      <c r="AL1" s="92" t="s">
        <v>155</v>
      </c>
      <c r="AM1" s="92" t="s">
        <v>131</v>
      </c>
      <c r="AN1" s="92" t="s">
        <v>98</v>
      </c>
      <c r="AO1" s="92" t="s">
        <v>164</v>
      </c>
      <c r="AP1" s="92" t="s">
        <v>67</v>
      </c>
      <c r="AQ1" s="92" t="s">
        <v>92</v>
      </c>
      <c r="AR1" s="92" t="s">
        <v>143</v>
      </c>
      <c r="AS1" s="92" t="s">
        <v>101</v>
      </c>
      <c r="AT1" s="92" t="s">
        <v>161</v>
      </c>
      <c r="AU1" s="92" t="s">
        <v>36</v>
      </c>
      <c r="AV1" s="92" t="s">
        <v>86</v>
      </c>
      <c r="AW1" s="92" t="s">
        <v>152</v>
      </c>
      <c r="AX1" s="92" t="s">
        <v>128</v>
      </c>
      <c r="AY1" s="92" t="s">
        <v>134</v>
      </c>
      <c r="AZ1" s="92" t="s">
        <v>76</v>
      </c>
      <c r="BA1" s="92" t="s">
        <v>95</v>
      </c>
      <c r="BB1" s="92" t="s">
        <v>190</v>
      </c>
      <c r="BC1" s="92" t="s">
        <v>191</v>
      </c>
      <c r="BD1" s="92" t="s">
        <v>192</v>
      </c>
      <c r="BE1" s="92" t="s">
        <v>193</v>
      </c>
      <c r="BF1" s="92" t="s">
        <v>194</v>
      </c>
      <c r="BG1" s="92" t="s">
        <v>195</v>
      </c>
      <c r="BH1" s="92" t="s">
        <v>196</v>
      </c>
      <c r="BI1" s="92" t="s">
        <v>197</v>
      </c>
      <c r="BJ1" s="92" t="s">
        <v>198</v>
      </c>
      <c r="BK1" s="92" t="s">
        <v>199</v>
      </c>
      <c r="BL1" s="92" t="s">
        <v>200</v>
      </c>
      <c r="BM1" s="92" t="s">
        <v>201</v>
      </c>
      <c r="BN1" s="92" t="s">
        <v>202</v>
      </c>
      <c r="BO1" s="92" t="s">
        <v>203</v>
      </c>
      <c r="BP1" s="92" t="s">
        <v>204</v>
      </c>
      <c r="BQ1" s="92" t="s">
        <v>205</v>
      </c>
      <c r="BR1" s="92" t="s">
        <v>206</v>
      </c>
      <c r="BS1" s="92" t="s">
        <v>207</v>
      </c>
      <c r="BT1" s="92" t="s">
        <v>208</v>
      </c>
      <c r="BU1" s="92" t="s">
        <v>209</v>
      </c>
      <c r="BV1" s="92" t="s">
        <v>210</v>
      </c>
      <c r="BW1" s="92" t="s">
        <v>211</v>
      </c>
      <c r="BX1" s="92" t="s">
        <v>212</v>
      </c>
      <c r="BY1" s="92" t="s">
        <v>213</v>
      </c>
      <c r="BZ1" s="92" t="s">
        <v>214</v>
      </c>
      <c r="CA1" s="92" t="s">
        <v>215</v>
      </c>
      <c r="CB1" s="92" t="s">
        <v>216</v>
      </c>
      <c r="CC1" s="92" t="s">
        <v>217</v>
      </c>
      <c r="CD1" s="92" t="s">
        <v>218</v>
      </c>
      <c r="CE1" s="92" t="s">
        <v>219</v>
      </c>
      <c r="CF1" s="92" t="s">
        <v>220</v>
      </c>
      <c r="CG1" s="92" t="s">
        <v>221</v>
      </c>
      <c r="CH1" s="92" t="s">
        <v>222</v>
      </c>
      <c r="CI1" s="92" t="s">
        <v>223</v>
      </c>
      <c r="CJ1" s="92" t="s">
        <v>224</v>
      </c>
      <c r="CK1" s="92" t="s">
        <v>225</v>
      </c>
      <c r="CL1" s="92" t="s">
        <v>226</v>
      </c>
      <c r="CM1" s="92" t="s">
        <v>227</v>
      </c>
      <c r="CN1" s="92" t="s">
        <v>228</v>
      </c>
      <c r="CO1" s="92" t="s">
        <v>229</v>
      </c>
    </row>
    <row r="2" spans="1:93" ht="11.55" customHeight="1" x14ac:dyDescent="0.3">
      <c r="A2" s="81" t="s">
        <v>494</v>
      </c>
      <c r="B2" s="81" t="s">
        <v>495</v>
      </c>
      <c r="C2" s="81" t="s">
        <v>393</v>
      </c>
      <c r="D2" s="94">
        <v>30</v>
      </c>
      <c r="E2" s="81">
        <v>1</v>
      </c>
      <c r="F2" s="81">
        <v>0</v>
      </c>
      <c r="G2" s="81">
        <v>1</v>
      </c>
      <c r="H2" s="81">
        <v>0</v>
      </c>
      <c r="I2" s="81">
        <v>0</v>
      </c>
      <c r="J2" s="81">
        <v>0</v>
      </c>
      <c r="K2" s="81">
        <v>1</v>
      </c>
      <c r="L2" s="81">
        <v>0</v>
      </c>
      <c r="M2" s="81">
        <v>0</v>
      </c>
      <c r="N2" s="81">
        <v>0</v>
      </c>
      <c r="O2" s="81">
        <v>0</v>
      </c>
      <c r="P2" s="81">
        <v>0</v>
      </c>
      <c r="Q2" s="81">
        <v>1</v>
      </c>
      <c r="R2" s="81">
        <v>0</v>
      </c>
      <c r="S2" s="81">
        <v>1</v>
      </c>
      <c r="T2" s="81">
        <v>0</v>
      </c>
      <c r="U2" s="81">
        <v>1</v>
      </c>
      <c r="V2" s="81">
        <v>1</v>
      </c>
      <c r="W2" s="81">
        <v>0</v>
      </c>
      <c r="X2" s="81">
        <v>1</v>
      </c>
      <c r="Y2" s="81">
        <v>0</v>
      </c>
      <c r="Z2" s="81">
        <v>0</v>
      </c>
      <c r="AA2" s="81">
        <v>0</v>
      </c>
      <c r="AB2" s="81">
        <v>1</v>
      </c>
      <c r="AC2" s="81">
        <v>0</v>
      </c>
      <c r="AD2" s="81">
        <v>1</v>
      </c>
      <c r="AE2" s="81">
        <v>0</v>
      </c>
      <c r="AF2" s="81">
        <v>1</v>
      </c>
      <c r="AG2" s="81">
        <v>0</v>
      </c>
      <c r="AH2" s="81">
        <v>0</v>
      </c>
      <c r="AI2" s="81">
        <v>0</v>
      </c>
      <c r="AJ2" s="81">
        <v>0</v>
      </c>
      <c r="AK2" s="81">
        <v>1</v>
      </c>
      <c r="AL2" s="81">
        <v>0</v>
      </c>
      <c r="AM2" s="81">
        <v>1</v>
      </c>
      <c r="AN2" s="81">
        <v>0</v>
      </c>
      <c r="AO2" s="81">
        <v>0</v>
      </c>
      <c r="AP2" s="81">
        <v>1</v>
      </c>
      <c r="AQ2" s="81">
        <v>0</v>
      </c>
      <c r="AR2" s="81">
        <v>0</v>
      </c>
      <c r="AS2" s="81">
        <v>0</v>
      </c>
      <c r="AT2" s="81">
        <v>0</v>
      </c>
      <c r="AU2" s="81">
        <v>1</v>
      </c>
      <c r="AV2" s="81">
        <v>0</v>
      </c>
      <c r="AW2" s="81">
        <v>0</v>
      </c>
      <c r="AX2" s="81">
        <v>0</v>
      </c>
      <c r="AY2" s="81">
        <v>1</v>
      </c>
      <c r="AZ2" s="81">
        <v>0</v>
      </c>
      <c r="BA2" s="81">
        <v>0</v>
      </c>
      <c r="BB2" s="81">
        <v>3</v>
      </c>
      <c r="BC2" s="81">
        <v>3</v>
      </c>
      <c r="BD2" s="81">
        <v>3</v>
      </c>
      <c r="BE2" s="81">
        <v>3</v>
      </c>
      <c r="BF2" s="81">
        <v>2</v>
      </c>
      <c r="BG2" s="81">
        <v>3</v>
      </c>
      <c r="BH2" s="81">
        <v>3</v>
      </c>
      <c r="BI2" s="81">
        <v>3</v>
      </c>
      <c r="BJ2" s="81">
        <v>3</v>
      </c>
      <c r="BK2" s="81">
        <v>3</v>
      </c>
      <c r="BL2" s="81">
        <v>3</v>
      </c>
      <c r="BM2" s="81">
        <v>3</v>
      </c>
      <c r="BN2" s="81">
        <v>3</v>
      </c>
      <c r="BO2" s="81">
        <v>3</v>
      </c>
      <c r="BP2" s="81">
        <v>3</v>
      </c>
      <c r="BQ2" s="81">
        <v>3</v>
      </c>
      <c r="BR2" s="81">
        <v>3</v>
      </c>
      <c r="BS2" s="81">
        <v>3</v>
      </c>
      <c r="BT2" s="81">
        <v>3</v>
      </c>
      <c r="BU2" s="81">
        <v>3</v>
      </c>
      <c r="BV2" s="81">
        <v>3</v>
      </c>
      <c r="BW2" s="81">
        <v>3</v>
      </c>
      <c r="BX2" s="81">
        <v>3</v>
      </c>
      <c r="BY2" s="81">
        <v>3</v>
      </c>
      <c r="BZ2" s="81">
        <v>3</v>
      </c>
      <c r="CA2" s="81">
        <v>0</v>
      </c>
      <c r="CB2" s="81">
        <v>3</v>
      </c>
      <c r="CC2" s="81">
        <v>3</v>
      </c>
      <c r="CD2" s="81">
        <v>3</v>
      </c>
      <c r="CE2" s="81">
        <v>3</v>
      </c>
      <c r="CF2" s="81">
        <v>3</v>
      </c>
      <c r="CG2" s="81">
        <v>3</v>
      </c>
      <c r="CH2" s="81">
        <v>0</v>
      </c>
      <c r="CI2" s="81">
        <v>3</v>
      </c>
      <c r="CJ2" s="81">
        <v>3</v>
      </c>
      <c r="CK2" s="81">
        <v>2</v>
      </c>
      <c r="CL2" s="81">
        <v>3</v>
      </c>
      <c r="CM2" s="81">
        <v>2</v>
      </c>
      <c r="CN2" s="81">
        <v>3</v>
      </c>
      <c r="CO2" s="81" t="s">
        <v>496</v>
      </c>
    </row>
    <row r="3" spans="1:93" ht="11.55" customHeight="1" x14ac:dyDescent="0.3">
      <c r="A3" s="81" t="s">
        <v>497</v>
      </c>
      <c r="B3" s="81" t="s">
        <v>498</v>
      </c>
      <c r="C3" s="81" t="s">
        <v>393</v>
      </c>
      <c r="D3" s="94">
        <v>30</v>
      </c>
      <c r="E3" s="81">
        <v>1</v>
      </c>
      <c r="F3" s="81">
        <v>0</v>
      </c>
      <c r="G3" s="81">
        <v>1</v>
      </c>
      <c r="H3" s="81">
        <v>0</v>
      </c>
      <c r="I3" s="81">
        <v>0</v>
      </c>
      <c r="J3" s="81">
        <v>0</v>
      </c>
      <c r="K3" s="81">
        <v>1</v>
      </c>
      <c r="L3" s="81">
        <v>0</v>
      </c>
      <c r="M3" s="81">
        <v>0</v>
      </c>
      <c r="N3" s="81">
        <v>0</v>
      </c>
      <c r="O3" s="81">
        <v>0</v>
      </c>
      <c r="P3" s="81">
        <v>0</v>
      </c>
      <c r="Q3" s="81">
        <v>1</v>
      </c>
      <c r="R3" s="81">
        <v>0</v>
      </c>
      <c r="S3" s="81">
        <v>1</v>
      </c>
      <c r="T3" s="81">
        <v>0</v>
      </c>
      <c r="U3" s="81">
        <v>1</v>
      </c>
      <c r="V3" s="81">
        <v>1</v>
      </c>
      <c r="W3" s="81">
        <v>0</v>
      </c>
      <c r="X3" s="81">
        <v>1</v>
      </c>
      <c r="Y3" s="81">
        <v>0</v>
      </c>
      <c r="Z3" s="81">
        <v>0</v>
      </c>
      <c r="AA3" s="81">
        <v>0</v>
      </c>
      <c r="AB3" s="81">
        <v>1</v>
      </c>
      <c r="AC3" s="81">
        <v>0</v>
      </c>
      <c r="AD3" s="81">
        <v>1</v>
      </c>
      <c r="AE3" s="81">
        <v>0</v>
      </c>
      <c r="AF3" s="81">
        <v>1</v>
      </c>
      <c r="AG3" s="81">
        <v>0</v>
      </c>
      <c r="AH3" s="81">
        <v>0</v>
      </c>
      <c r="AI3" s="81">
        <v>0</v>
      </c>
      <c r="AJ3" s="81">
        <v>0</v>
      </c>
      <c r="AK3" s="81">
        <v>1</v>
      </c>
      <c r="AL3" s="81">
        <v>0</v>
      </c>
      <c r="AM3" s="81">
        <v>1</v>
      </c>
      <c r="AN3" s="81">
        <v>0</v>
      </c>
      <c r="AO3" s="81">
        <v>0</v>
      </c>
      <c r="AP3" s="81">
        <v>1</v>
      </c>
      <c r="AQ3" s="81">
        <v>0</v>
      </c>
      <c r="AR3" s="81">
        <v>0</v>
      </c>
      <c r="AS3" s="81">
        <v>0</v>
      </c>
      <c r="AT3" s="81">
        <v>0</v>
      </c>
      <c r="AU3" s="81">
        <v>1</v>
      </c>
      <c r="AV3" s="81">
        <v>0</v>
      </c>
      <c r="AW3" s="81">
        <v>0</v>
      </c>
      <c r="AX3" s="81">
        <v>0</v>
      </c>
      <c r="AY3" s="81">
        <v>1</v>
      </c>
      <c r="AZ3" s="81">
        <v>0</v>
      </c>
      <c r="BA3" s="81">
        <v>0</v>
      </c>
      <c r="BB3" s="81">
        <v>3</v>
      </c>
      <c r="BC3" s="81">
        <v>3</v>
      </c>
      <c r="BD3" s="81">
        <v>3</v>
      </c>
      <c r="BE3" s="81">
        <v>3</v>
      </c>
      <c r="BF3" s="81">
        <v>2</v>
      </c>
      <c r="BG3" s="81">
        <v>3</v>
      </c>
      <c r="BH3" s="81">
        <v>3</v>
      </c>
      <c r="BI3" s="81">
        <v>3</v>
      </c>
      <c r="BJ3" s="81">
        <v>3</v>
      </c>
      <c r="BK3" s="81">
        <v>3</v>
      </c>
      <c r="BL3" s="81">
        <v>3</v>
      </c>
      <c r="BM3" s="81">
        <v>3</v>
      </c>
      <c r="BN3" s="81">
        <v>3</v>
      </c>
      <c r="BO3" s="81">
        <v>3</v>
      </c>
      <c r="BP3" s="81">
        <v>3</v>
      </c>
      <c r="BQ3" s="81">
        <v>3</v>
      </c>
      <c r="BR3" s="81">
        <v>3</v>
      </c>
      <c r="BS3" s="81">
        <v>3</v>
      </c>
      <c r="BT3" s="81">
        <v>3</v>
      </c>
      <c r="BU3" s="81">
        <v>3</v>
      </c>
      <c r="BV3" s="81">
        <v>3</v>
      </c>
      <c r="BW3" s="81">
        <v>3</v>
      </c>
      <c r="BX3" s="81">
        <v>3</v>
      </c>
      <c r="BY3" s="81">
        <v>3</v>
      </c>
      <c r="BZ3" s="81">
        <v>3</v>
      </c>
      <c r="CA3" s="81">
        <v>0</v>
      </c>
      <c r="CB3" s="81">
        <v>3</v>
      </c>
      <c r="CC3" s="81">
        <v>3</v>
      </c>
      <c r="CD3" s="81">
        <v>3</v>
      </c>
      <c r="CE3" s="81">
        <v>3</v>
      </c>
      <c r="CF3" s="81">
        <v>3</v>
      </c>
      <c r="CG3" s="81">
        <v>3</v>
      </c>
      <c r="CH3" s="81">
        <v>0</v>
      </c>
      <c r="CI3" s="81">
        <v>3</v>
      </c>
      <c r="CJ3" s="81">
        <v>3</v>
      </c>
      <c r="CK3" s="81">
        <v>2</v>
      </c>
      <c r="CL3" s="81">
        <v>3</v>
      </c>
      <c r="CM3" s="81">
        <v>2</v>
      </c>
      <c r="CN3" s="81">
        <v>3</v>
      </c>
      <c r="CO3" s="81" t="s">
        <v>499</v>
      </c>
    </row>
    <row r="4" spans="1:93" ht="11.55" customHeight="1" x14ac:dyDescent="0.3">
      <c r="A4" s="81" t="s">
        <v>500</v>
      </c>
      <c r="B4" s="81" t="s">
        <v>501</v>
      </c>
      <c r="C4" s="81" t="s">
        <v>393</v>
      </c>
      <c r="D4" s="94">
        <v>29</v>
      </c>
      <c r="E4" s="81">
        <v>0</v>
      </c>
      <c r="F4" s="81">
        <v>0</v>
      </c>
      <c r="G4" s="81">
        <v>1</v>
      </c>
      <c r="H4" s="81">
        <v>0</v>
      </c>
      <c r="I4" s="81">
        <v>0</v>
      </c>
      <c r="J4" s="81">
        <v>0</v>
      </c>
      <c r="K4" s="81">
        <v>1</v>
      </c>
      <c r="L4" s="81">
        <v>0</v>
      </c>
      <c r="M4" s="81">
        <v>0</v>
      </c>
      <c r="N4" s="81">
        <v>0</v>
      </c>
      <c r="O4" s="81">
        <v>0</v>
      </c>
      <c r="P4" s="81">
        <v>0</v>
      </c>
      <c r="Q4" s="81">
        <v>1</v>
      </c>
      <c r="R4" s="81">
        <v>0</v>
      </c>
      <c r="S4" s="81">
        <v>1</v>
      </c>
      <c r="T4" s="81">
        <v>0</v>
      </c>
      <c r="U4" s="81">
        <v>1</v>
      </c>
      <c r="V4" s="81">
        <v>1</v>
      </c>
      <c r="W4" s="81">
        <v>0</v>
      </c>
      <c r="X4" s="81">
        <v>1</v>
      </c>
      <c r="Y4" s="81">
        <v>0</v>
      </c>
      <c r="Z4" s="81">
        <v>0</v>
      </c>
      <c r="AA4" s="81">
        <v>0</v>
      </c>
      <c r="AB4" s="81">
        <v>1</v>
      </c>
      <c r="AC4" s="81">
        <v>0</v>
      </c>
      <c r="AD4" s="81">
        <v>1</v>
      </c>
      <c r="AE4" s="81">
        <v>0</v>
      </c>
      <c r="AF4" s="81">
        <v>1</v>
      </c>
      <c r="AG4" s="81">
        <v>0</v>
      </c>
      <c r="AH4" s="81">
        <v>0</v>
      </c>
      <c r="AI4" s="81">
        <v>0</v>
      </c>
      <c r="AJ4" s="81">
        <v>0</v>
      </c>
      <c r="AK4" s="81">
        <v>1</v>
      </c>
      <c r="AL4" s="81">
        <v>0</v>
      </c>
      <c r="AM4" s="81">
        <v>1</v>
      </c>
      <c r="AN4" s="81">
        <v>0</v>
      </c>
      <c r="AO4" s="81">
        <v>0</v>
      </c>
      <c r="AP4" s="81">
        <v>1</v>
      </c>
      <c r="AQ4" s="81">
        <v>0</v>
      </c>
      <c r="AR4" s="81">
        <v>0</v>
      </c>
      <c r="AS4" s="81">
        <v>0</v>
      </c>
      <c r="AT4" s="81">
        <v>0</v>
      </c>
      <c r="AU4" s="81">
        <v>1</v>
      </c>
      <c r="AV4" s="81">
        <v>0</v>
      </c>
      <c r="AW4" s="81">
        <v>0</v>
      </c>
      <c r="AX4" s="81">
        <v>0</v>
      </c>
      <c r="AY4" s="81">
        <v>1</v>
      </c>
      <c r="AZ4" s="81">
        <v>0</v>
      </c>
      <c r="BA4" s="81">
        <v>0</v>
      </c>
      <c r="BB4" s="81">
        <v>3</v>
      </c>
      <c r="BC4" s="81">
        <v>3</v>
      </c>
      <c r="BD4" s="81">
        <v>2</v>
      </c>
      <c r="BE4" s="81">
        <v>3</v>
      </c>
      <c r="BF4" s="81">
        <v>2</v>
      </c>
      <c r="BG4" s="81">
        <v>3</v>
      </c>
      <c r="BH4" s="81">
        <v>3</v>
      </c>
      <c r="BI4" s="81">
        <v>3</v>
      </c>
      <c r="BJ4" s="81">
        <v>3</v>
      </c>
      <c r="BK4" s="81">
        <v>3</v>
      </c>
      <c r="BL4" s="81">
        <v>3</v>
      </c>
      <c r="BM4" s="81">
        <v>3</v>
      </c>
      <c r="BN4" s="81">
        <v>3</v>
      </c>
      <c r="BO4" s="81">
        <v>3</v>
      </c>
      <c r="BP4" s="81">
        <v>3</v>
      </c>
      <c r="BQ4" s="81">
        <v>3</v>
      </c>
      <c r="BR4" s="81">
        <v>3</v>
      </c>
      <c r="BS4" s="81">
        <v>3</v>
      </c>
      <c r="BT4" s="81">
        <v>3</v>
      </c>
      <c r="BU4" s="81">
        <v>3</v>
      </c>
      <c r="BV4" s="81">
        <v>3</v>
      </c>
      <c r="BW4" s="81">
        <v>3</v>
      </c>
      <c r="BX4" s="81">
        <v>3</v>
      </c>
      <c r="BY4" s="81">
        <v>3</v>
      </c>
      <c r="BZ4" s="81">
        <v>3</v>
      </c>
      <c r="CA4" s="81">
        <v>0</v>
      </c>
      <c r="CB4" s="81">
        <v>3</v>
      </c>
      <c r="CC4" s="81">
        <v>3</v>
      </c>
      <c r="CD4" s="81">
        <v>3</v>
      </c>
      <c r="CE4" s="81">
        <v>3</v>
      </c>
      <c r="CF4" s="81">
        <v>3</v>
      </c>
      <c r="CG4" s="81">
        <v>3</v>
      </c>
      <c r="CH4" s="81">
        <v>0</v>
      </c>
      <c r="CI4" s="81">
        <v>3</v>
      </c>
      <c r="CJ4" s="81">
        <v>3</v>
      </c>
      <c r="CK4" s="81">
        <v>2</v>
      </c>
      <c r="CL4" s="81">
        <v>3</v>
      </c>
      <c r="CM4" s="81">
        <v>2</v>
      </c>
      <c r="CN4" s="81">
        <v>3</v>
      </c>
      <c r="CO4" s="81" t="s">
        <v>502</v>
      </c>
    </row>
    <row r="5" spans="1:93" ht="11.55" customHeight="1" x14ac:dyDescent="0.3">
      <c r="A5" s="81" t="s">
        <v>503</v>
      </c>
      <c r="B5" s="81" t="s">
        <v>504</v>
      </c>
      <c r="C5" s="81" t="s">
        <v>393</v>
      </c>
      <c r="D5" s="94">
        <v>28</v>
      </c>
      <c r="E5" s="81">
        <v>0</v>
      </c>
      <c r="F5" s="81">
        <v>0</v>
      </c>
      <c r="G5" s="81">
        <v>0</v>
      </c>
      <c r="H5" s="81">
        <v>0</v>
      </c>
      <c r="I5" s="81">
        <v>0</v>
      </c>
      <c r="J5" s="81">
        <v>0</v>
      </c>
      <c r="K5" s="81">
        <v>1</v>
      </c>
      <c r="L5" s="81">
        <v>0</v>
      </c>
      <c r="M5" s="81">
        <v>0</v>
      </c>
      <c r="N5" s="81">
        <v>0</v>
      </c>
      <c r="O5" s="81">
        <v>0</v>
      </c>
      <c r="P5" s="81">
        <v>0</v>
      </c>
      <c r="Q5" s="81">
        <v>1</v>
      </c>
      <c r="R5" s="81">
        <v>0</v>
      </c>
      <c r="S5" s="81">
        <v>1</v>
      </c>
      <c r="T5" s="81">
        <v>0</v>
      </c>
      <c r="U5" s="81">
        <v>1</v>
      </c>
      <c r="V5" s="81">
        <v>0</v>
      </c>
      <c r="W5" s="81">
        <v>1</v>
      </c>
      <c r="X5" s="81">
        <v>1</v>
      </c>
      <c r="Y5" s="81">
        <v>0</v>
      </c>
      <c r="Z5" s="81">
        <v>0</v>
      </c>
      <c r="AA5" s="81">
        <v>0</v>
      </c>
      <c r="AB5" s="81">
        <v>1</v>
      </c>
      <c r="AC5" s="81">
        <v>0</v>
      </c>
      <c r="AD5" s="81">
        <v>1</v>
      </c>
      <c r="AE5" s="81">
        <v>0</v>
      </c>
      <c r="AF5" s="81">
        <v>1</v>
      </c>
      <c r="AG5" s="81">
        <v>0</v>
      </c>
      <c r="AH5" s="81">
        <v>0</v>
      </c>
      <c r="AI5" s="81">
        <v>0</v>
      </c>
      <c r="AJ5" s="81">
        <v>0</v>
      </c>
      <c r="AK5" s="81">
        <v>1</v>
      </c>
      <c r="AL5" s="81">
        <v>0</v>
      </c>
      <c r="AM5" s="81">
        <v>1</v>
      </c>
      <c r="AN5" s="81">
        <v>0</v>
      </c>
      <c r="AO5" s="81">
        <v>0</v>
      </c>
      <c r="AP5" s="81">
        <v>1</v>
      </c>
      <c r="AQ5" s="81">
        <v>0</v>
      </c>
      <c r="AR5" s="81">
        <v>0</v>
      </c>
      <c r="AS5" s="81">
        <v>1</v>
      </c>
      <c r="AT5" s="81">
        <v>0</v>
      </c>
      <c r="AU5" s="81">
        <v>0</v>
      </c>
      <c r="AV5" s="81">
        <v>0</v>
      </c>
      <c r="AW5" s="81">
        <v>0</v>
      </c>
      <c r="AX5" s="81">
        <v>0</v>
      </c>
      <c r="AY5" s="81">
        <v>0</v>
      </c>
      <c r="AZ5" s="81">
        <v>1</v>
      </c>
      <c r="BA5" s="81">
        <v>0</v>
      </c>
      <c r="BB5" s="81">
        <v>3</v>
      </c>
      <c r="BC5" s="81">
        <v>3</v>
      </c>
      <c r="BD5" s="81">
        <v>2</v>
      </c>
      <c r="BE5" s="81">
        <v>3</v>
      </c>
      <c r="BF5" s="81">
        <v>2</v>
      </c>
      <c r="BG5" s="81">
        <v>3</v>
      </c>
      <c r="BH5" s="81">
        <v>3</v>
      </c>
      <c r="BI5" s="81">
        <v>3</v>
      </c>
      <c r="BJ5" s="81">
        <v>2</v>
      </c>
      <c r="BK5" s="81">
        <v>3</v>
      </c>
      <c r="BL5" s="81">
        <v>3</v>
      </c>
      <c r="BM5" s="81">
        <v>3</v>
      </c>
      <c r="BN5" s="81">
        <v>3</v>
      </c>
      <c r="BO5" s="81">
        <v>3</v>
      </c>
      <c r="BP5" s="81">
        <v>3</v>
      </c>
      <c r="BQ5" s="81">
        <v>3</v>
      </c>
      <c r="BR5" s="81">
        <v>3</v>
      </c>
      <c r="BS5" s="81">
        <v>2</v>
      </c>
      <c r="BT5" s="81">
        <v>3</v>
      </c>
      <c r="BU5" s="81">
        <v>3</v>
      </c>
      <c r="BV5" s="81">
        <v>3</v>
      </c>
      <c r="BW5" s="81">
        <v>3</v>
      </c>
      <c r="BX5" s="81">
        <v>3</v>
      </c>
      <c r="BY5" s="81">
        <v>3</v>
      </c>
      <c r="BZ5" s="81">
        <v>3</v>
      </c>
      <c r="CA5" s="81">
        <v>0</v>
      </c>
      <c r="CB5" s="81">
        <v>3</v>
      </c>
      <c r="CC5" s="81">
        <v>3</v>
      </c>
      <c r="CD5" s="81">
        <v>3</v>
      </c>
      <c r="CE5" s="81">
        <v>3</v>
      </c>
      <c r="CF5" s="81">
        <v>3</v>
      </c>
      <c r="CG5" s="81">
        <v>3</v>
      </c>
      <c r="CH5" s="81">
        <v>0</v>
      </c>
      <c r="CI5" s="81">
        <v>2</v>
      </c>
      <c r="CJ5" s="81">
        <v>2</v>
      </c>
      <c r="CK5" s="81">
        <v>2</v>
      </c>
      <c r="CL5" s="81">
        <v>3</v>
      </c>
      <c r="CM5" s="81">
        <v>1</v>
      </c>
      <c r="CN5" s="81">
        <v>3</v>
      </c>
      <c r="CO5" s="81" t="s">
        <v>505</v>
      </c>
    </row>
    <row r="6" spans="1:93" ht="11.55" customHeight="1" x14ac:dyDescent="0.3">
      <c r="A6" s="81" t="s">
        <v>506</v>
      </c>
      <c r="B6" s="81" t="s">
        <v>504</v>
      </c>
      <c r="C6" s="81" t="s">
        <v>393</v>
      </c>
      <c r="D6" s="94">
        <v>28</v>
      </c>
      <c r="E6" s="81">
        <v>0</v>
      </c>
      <c r="F6" s="81">
        <v>0</v>
      </c>
      <c r="G6" s="81">
        <v>0</v>
      </c>
      <c r="H6" s="81">
        <v>0</v>
      </c>
      <c r="I6" s="81">
        <v>0</v>
      </c>
      <c r="J6" s="81">
        <v>0</v>
      </c>
      <c r="K6" s="81">
        <v>1</v>
      </c>
      <c r="L6" s="81">
        <v>0</v>
      </c>
      <c r="M6" s="81">
        <v>0</v>
      </c>
      <c r="N6" s="81">
        <v>0</v>
      </c>
      <c r="O6" s="81">
        <v>0</v>
      </c>
      <c r="P6" s="81">
        <v>0</v>
      </c>
      <c r="Q6" s="81">
        <v>1</v>
      </c>
      <c r="R6" s="81">
        <v>0</v>
      </c>
      <c r="S6" s="81">
        <v>1</v>
      </c>
      <c r="T6" s="81">
        <v>0</v>
      </c>
      <c r="U6" s="81">
        <v>1</v>
      </c>
      <c r="V6" s="81">
        <v>0</v>
      </c>
      <c r="W6" s="81">
        <v>1</v>
      </c>
      <c r="X6" s="81">
        <v>1</v>
      </c>
      <c r="Y6" s="81">
        <v>0</v>
      </c>
      <c r="Z6" s="81">
        <v>0</v>
      </c>
      <c r="AA6" s="81">
        <v>0</v>
      </c>
      <c r="AB6" s="81">
        <v>1</v>
      </c>
      <c r="AC6" s="81">
        <v>0</v>
      </c>
      <c r="AD6" s="81">
        <v>1</v>
      </c>
      <c r="AE6" s="81">
        <v>0</v>
      </c>
      <c r="AF6" s="81">
        <v>1</v>
      </c>
      <c r="AG6" s="81">
        <v>0</v>
      </c>
      <c r="AH6" s="81">
        <v>0</v>
      </c>
      <c r="AI6" s="81">
        <v>0</v>
      </c>
      <c r="AJ6" s="81">
        <v>0</v>
      </c>
      <c r="AK6" s="81">
        <v>1</v>
      </c>
      <c r="AL6" s="81">
        <v>0</v>
      </c>
      <c r="AM6" s="81">
        <v>1</v>
      </c>
      <c r="AN6" s="81">
        <v>0</v>
      </c>
      <c r="AO6" s="81">
        <v>0</v>
      </c>
      <c r="AP6" s="81">
        <v>1</v>
      </c>
      <c r="AQ6" s="81">
        <v>0</v>
      </c>
      <c r="AR6" s="81">
        <v>0</v>
      </c>
      <c r="AS6" s="81">
        <v>1</v>
      </c>
      <c r="AT6" s="81">
        <v>0</v>
      </c>
      <c r="AU6" s="81">
        <v>0</v>
      </c>
      <c r="AV6" s="81">
        <v>0</v>
      </c>
      <c r="AW6" s="81">
        <v>0</v>
      </c>
      <c r="AX6" s="81">
        <v>0</v>
      </c>
      <c r="AY6" s="81">
        <v>0</v>
      </c>
      <c r="AZ6" s="81">
        <v>1</v>
      </c>
      <c r="BA6" s="81">
        <v>0</v>
      </c>
      <c r="BB6" s="81">
        <v>3</v>
      </c>
      <c r="BC6" s="81">
        <v>3</v>
      </c>
      <c r="BD6" s="81">
        <v>2</v>
      </c>
      <c r="BE6" s="81">
        <v>3</v>
      </c>
      <c r="BF6" s="81">
        <v>2</v>
      </c>
      <c r="BG6" s="81">
        <v>3</v>
      </c>
      <c r="BH6" s="81">
        <v>3</v>
      </c>
      <c r="BI6" s="81">
        <v>3</v>
      </c>
      <c r="BJ6" s="81">
        <v>2</v>
      </c>
      <c r="BK6" s="81">
        <v>3</v>
      </c>
      <c r="BL6" s="81">
        <v>3</v>
      </c>
      <c r="BM6" s="81">
        <v>3</v>
      </c>
      <c r="BN6" s="81">
        <v>3</v>
      </c>
      <c r="BO6" s="81">
        <v>3</v>
      </c>
      <c r="BP6" s="81">
        <v>3</v>
      </c>
      <c r="BQ6" s="81">
        <v>3</v>
      </c>
      <c r="BR6" s="81">
        <v>3</v>
      </c>
      <c r="BS6" s="81">
        <v>2</v>
      </c>
      <c r="BT6" s="81">
        <v>3</v>
      </c>
      <c r="BU6" s="81">
        <v>3</v>
      </c>
      <c r="BV6" s="81">
        <v>3</v>
      </c>
      <c r="BW6" s="81">
        <v>3</v>
      </c>
      <c r="BX6" s="81">
        <v>3</v>
      </c>
      <c r="BY6" s="81">
        <v>3</v>
      </c>
      <c r="BZ6" s="81">
        <v>3</v>
      </c>
      <c r="CA6" s="81">
        <v>0</v>
      </c>
      <c r="CB6" s="81">
        <v>3</v>
      </c>
      <c r="CC6" s="81">
        <v>3</v>
      </c>
      <c r="CD6" s="81">
        <v>3</v>
      </c>
      <c r="CE6" s="81">
        <v>3</v>
      </c>
      <c r="CF6" s="81">
        <v>3</v>
      </c>
      <c r="CG6" s="81">
        <v>3</v>
      </c>
      <c r="CH6" s="81">
        <v>0</v>
      </c>
      <c r="CI6" s="81">
        <v>2</v>
      </c>
      <c r="CJ6" s="81">
        <v>2</v>
      </c>
      <c r="CK6" s="81">
        <v>2</v>
      </c>
      <c r="CL6" s="81">
        <v>3</v>
      </c>
      <c r="CM6" s="81">
        <v>1</v>
      </c>
      <c r="CN6" s="81">
        <v>3</v>
      </c>
      <c r="CO6" s="81" t="s">
        <v>505</v>
      </c>
    </row>
    <row r="7" spans="1:93" ht="11.55" customHeight="1" x14ac:dyDescent="0.3">
      <c r="A7" s="81" t="s">
        <v>507</v>
      </c>
      <c r="B7" s="81" t="s">
        <v>508</v>
      </c>
      <c r="C7" s="81" t="s">
        <v>393</v>
      </c>
      <c r="D7" s="94">
        <v>28</v>
      </c>
      <c r="E7" s="81">
        <v>0</v>
      </c>
      <c r="F7" s="81">
        <v>0</v>
      </c>
      <c r="G7" s="81">
        <v>0</v>
      </c>
      <c r="H7" s="81">
        <v>0</v>
      </c>
      <c r="I7" s="81">
        <v>0</v>
      </c>
      <c r="J7" s="81">
        <v>0</v>
      </c>
      <c r="K7" s="81">
        <v>1</v>
      </c>
      <c r="L7" s="81">
        <v>0</v>
      </c>
      <c r="M7" s="81">
        <v>0</v>
      </c>
      <c r="N7" s="81">
        <v>0</v>
      </c>
      <c r="O7" s="81">
        <v>0</v>
      </c>
      <c r="P7" s="81">
        <v>0</v>
      </c>
      <c r="Q7" s="81">
        <v>1</v>
      </c>
      <c r="R7" s="81">
        <v>0</v>
      </c>
      <c r="S7" s="81">
        <v>1</v>
      </c>
      <c r="T7" s="81">
        <v>0</v>
      </c>
      <c r="U7" s="81">
        <v>1</v>
      </c>
      <c r="V7" s="81">
        <v>0</v>
      </c>
      <c r="W7" s="81">
        <v>1</v>
      </c>
      <c r="X7" s="81">
        <v>1</v>
      </c>
      <c r="Y7" s="81">
        <v>0</v>
      </c>
      <c r="Z7" s="81">
        <v>0</v>
      </c>
      <c r="AA7" s="81">
        <v>0</v>
      </c>
      <c r="AB7" s="81">
        <v>1</v>
      </c>
      <c r="AC7" s="81">
        <v>0</v>
      </c>
      <c r="AD7" s="81">
        <v>1</v>
      </c>
      <c r="AE7" s="81">
        <v>0</v>
      </c>
      <c r="AF7" s="81">
        <v>1</v>
      </c>
      <c r="AG7" s="81">
        <v>0</v>
      </c>
      <c r="AH7" s="81">
        <v>0</v>
      </c>
      <c r="AI7" s="81">
        <v>0</v>
      </c>
      <c r="AJ7" s="81">
        <v>0</v>
      </c>
      <c r="AK7" s="81">
        <v>1</v>
      </c>
      <c r="AL7" s="81">
        <v>0</v>
      </c>
      <c r="AM7" s="81">
        <v>1</v>
      </c>
      <c r="AN7" s="81">
        <v>0</v>
      </c>
      <c r="AO7" s="81">
        <v>0</v>
      </c>
      <c r="AP7" s="81">
        <v>1</v>
      </c>
      <c r="AQ7" s="81">
        <v>0</v>
      </c>
      <c r="AR7" s="81">
        <v>0</v>
      </c>
      <c r="AS7" s="81">
        <v>1</v>
      </c>
      <c r="AT7" s="81">
        <v>0</v>
      </c>
      <c r="AU7" s="81">
        <v>0</v>
      </c>
      <c r="AV7" s="81">
        <v>0</v>
      </c>
      <c r="AW7" s="81">
        <v>0</v>
      </c>
      <c r="AX7" s="81">
        <v>0</v>
      </c>
      <c r="AY7" s="81">
        <v>0</v>
      </c>
      <c r="AZ7" s="81">
        <v>1</v>
      </c>
      <c r="BA7" s="81">
        <v>0</v>
      </c>
      <c r="BB7" s="81">
        <v>3</v>
      </c>
      <c r="BC7" s="81">
        <v>3</v>
      </c>
      <c r="BD7" s="81">
        <v>2</v>
      </c>
      <c r="BE7" s="81">
        <v>3</v>
      </c>
      <c r="BF7" s="81">
        <v>2</v>
      </c>
      <c r="BG7" s="81">
        <v>3</v>
      </c>
      <c r="BH7" s="81">
        <v>3</v>
      </c>
      <c r="BI7" s="81">
        <v>3</v>
      </c>
      <c r="BJ7" s="81">
        <v>2</v>
      </c>
      <c r="BK7" s="81">
        <v>3</v>
      </c>
      <c r="BL7" s="81">
        <v>3</v>
      </c>
      <c r="BM7" s="81">
        <v>3</v>
      </c>
      <c r="BN7" s="81">
        <v>3</v>
      </c>
      <c r="BO7" s="81">
        <v>3</v>
      </c>
      <c r="BP7" s="81">
        <v>3</v>
      </c>
      <c r="BQ7" s="81">
        <v>3</v>
      </c>
      <c r="BR7" s="81">
        <v>3</v>
      </c>
      <c r="BS7" s="81">
        <v>2</v>
      </c>
      <c r="BT7" s="81">
        <v>3</v>
      </c>
      <c r="BU7" s="81">
        <v>3</v>
      </c>
      <c r="BV7" s="81">
        <v>3</v>
      </c>
      <c r="BW7" s="81">
        <v>3</v>
      </c>
      <c r="BX7" s="81">
        <v>3</v>
      </c>
      <c r="BY7" s="81">
        <v>3</v>
      </c>
      <c r="BZ7" s="81">
        <v>3</v>
      </c>
      <c r="CA7" s="81">
        <v>0</v>
      </c>
      <c r="CB7" s="81">
        <v>3</v>
      </c>
      <c r="CC7" s="81">
        <v>3</v>
      </c>
      <c r="CD7" s="81">
        <v>3</v>
      </c>
      <c r="CE7" s="81">
        <v>3</v>
      </c>
      <c r="CF7" s="81">
        <v>3</v>
      </c>
      <c r="CG7" s="81">
        <v>3</v>
      </c>
      <c r="CH7" s="81">
        <v>0</v>
      </c>
      <c r="CI7" s="81">
        <v>2</v>
      </c>
      <c r="CJ7" s="81">
        <v>2</v>
      </c>
      <c r="CK7" s="81">
        <v>2</v>
      </c>
      <c r="CL7" s="81">
        <v>3</v>
      </c>
      <c r="CM7" s="81">
        <v>1</v>
      </c>
      <c r="CN7" s="81">
        <v>3</v>
      </c>
      <c r="CO7" s="81" t="s">
        <v>509</v>
      </c>
    </row>
    <row r="8" spans="1:93" ht="11.55" customHeight="1" x14ac:dyDescent="0.3">
      <c r="A8" s="81" t="s">
        <v>510</v>
      </c>
      <c r="B8" s="81" t="s">
        <v>511</v>
      </c>
      <c r="C8" s="81" t="s">
        <v>393</v>
      </c>
      <c r="D8" s="94">
        <v>27</v>
      </c>
      <c r="E8" s="81">
        <v>0</v>
      </c>
      <c r="F8" s="81">
        <v>0</v>
      </c>
      <c r="G8" s="81">
        <v>0</v>
      </c>
      <c r="H8" s="81">
        <v>0</v>
      </c>
      <c r="I8" s="81">
        <v>0</v>
      </c>
      <c r="J8" s="81">
        <v>0</v>
      </c>
      <c r="K8" s="81">
        <v>0</v>
      </c>
      <c r="L8" s="81">
        <v>0</v>
      </c>
      <c r="M8" s="81">
        <v>0</v>
      </c>
      <c r="N8" s="81">
        <v>0</v>
      </c>
      <c r="O8" s="81">
        <v>0</v>
      </c>
      <c r="P8" s="81">
        <v>0</v>
      </c>
      <c r="Q8" s="81">
        <v>1</v>
      </c>
      <c r="R8" s="81">
        <v>0</v>
      </c>
      <c r="S8" s="81">
        <v>1</v>
      </c>
      <c r="T8" s="81">
        <v>0</v>
      </c>
      <c r="U8" s="81">
        <v>0</v>
      </c>
      <c r="V8" s="81">
        <v>0</v>
      </c>
      <c r="W8" s="81">
        <v>1</v>
      </c>
      <c r="X8" s="81">
        <v>1</v>
      </c>
      <c r="Y8" s="81">
        <v>0</v>
      </c>
      <c r="Z8" s="81">
        <v>0</v>
      </c>
      <c r="AA8" s="81">
        <v>0</v>
      </c>
      <c r="AB8" s="81">
        <v>0</v>
      </c>
      <c r="AC8" s="81">
        <v>0</v>
      </c>
      <c r="AD8" s="81">
        <v>0</v>
      </c>
      <c r="AE8" s="81">
        <v>0</v>
      </c>
      <c r="AF8" s="81">
        <v>1</v>
      </c>
      <c r="AG8" s="81">
        <v>0</v>
      </c>
      <c r="AH8" s="81">
        <v>1</v>
      </c>
      <c r="AI8" s="81">
        <v>0</v>
      </c>
      <c r="AJ8" s="81">
        <v>0</v>
      </c>
      <c r="AK8" s="81">
        <v>1</v>
      </c>
      <c r="AL8" s="81">
        <v>0</v>
      </c>
      <c r="AM8" s="81">
        <v>1</v>
      </c>
      <c r="AN8" s="81">
        <v>0</v>
      </c>
      <c r="AO8" s="81">
        <v>0</v>
      </c>
      <c r="AP8" s="81">
        <v>0</v>
      </c>
      <c r="AQ8" s="81">
        <v>1</v>
      </c>
      <c r="AR8" s="81">
        <v>0</v>
      </c>
      <c r="AS8" s="81">
        <v>1</v>
      </c>
      <c r="AT8" s="81">
        <v>0</v>
      </c>
      <c r="AU8" s="81">
        <v>0</v>
      </c>
      <c r="AV8" s="81">
        <v>0</v>
      </c>
      <c r="AW8" s="81">
        <v>0</v>
      </c>
      <c r="AX8" s="81">
        <v>0</v>
      </c>
      <c r="AY8" s="81">
        <v>1</v>
      </c>
      <c r="AZ8" s="81">
        <v>0</v>
      </c>
      <c r="BA8" s="81">
        <v>0</v>
      </c>
      <c r="BB8" s="81">
        <v>3</v>
      </c>
      <c r="BC8" s="81">
        <v>3</v>
      </c>
      <c r="BD8" s="81">
        <v>2</v>
      </c>
      <c r="BE8" s="81">
        <v>2</v>
      </c>
      <c r="BF8" s="81">
        <v>2</v>
      </c>
      <c r="BG8" s="81">
        <v>3</v>
      </c>
      <c r="BH8" s="81">
        <v>3</v>
      </c>
      <c r="BI8" s="81">
        <v>2</v>
      </c>
      <c r="BJ8" s="81">
        <v>2</v>
      </c>
      <c r="BK8" s="81">
        <v>3</v>
      </c>
      <c r="BL8" s="81">
        <v>3</v>
      </c>
      <c r="BM8" s="81">
        <v>2</v>
      </c>
      <c r="BN8" s="81">
        <v>3</v>
      </c>
      <c r="BO8" s="81">
        <v>3</v>
      </c>
      <c r="BP8" s="81">
        <v>3</v>
      </c>
      <c r="BQ8" s="81">
        <v>2</v>
      </c>
      <c r="BR8" s="81">
        <v>3</v>
      </c>
      <c r="BS8" s="81">
        <v>2</v>
      </c>
      <c r="BT8" s="81">
        <v>3</v>
      </c>
      <c r="BU8" s="81">
        <v>3</v>
      </c>
      <c r="BV8" s="81">
        <v>3</v>
      </c>
      <c r="BW8" s="81">
        <v>3</v>
      </c>
      <c r="BX8" s="81">
        <v>3</v>
      </c>
      <c r="BY8" s="81">
        <v>3</v>
      </c>
      <c r="BZ8" s="81">
        <v>2</v>
      </c>
      <c r="CA8" s="81">
        <v>0</v>
      </c>
      <c r="CB8" s="81">
        <v>3</v>
      </c>
      <c r="CC8" s="81">
        <v>3</v>
      </c>
      <c r="CD8" s="81">
        <v>3</v>
      </c>
      <c r="CE8" s="81">
        <v>2</v>
      </c>
      <c r="CF8" s="81">
        <v>3</v>
      </c>
      <c r="CG8" s="81">
        <v>3</v>
      </c>
      <c r="CH8" s="81">
        <v>0</v>
      </c>
      <c r="CI8" s="81">
        <v>2</v>
      </c>
      <c r="CJ8" s="81">
        <v>2</v>
      </c>
      <c r="CK8" s="81">
        <v>2</v>
      </c>
      <c r="CL8" s="81">
        <v>2</v>
      </c>
      <c r="CM8" s="81">
        <v>1</v>
      </c>
      <c r="CN8" s="81">
        <v>2</v>
      </c>
      <c r="CO8" s="81" t="s">
        <v>512</v>
      </c>
    </row>
    <row r="9" spans="1:93" ht="11.55" customHeight="1" x14ac:dyDescent="0.3">
      <c r="A9" s="81" t="s">
        <v>513</v>
      </c>
      <c r="B9" s="81" t="s">
        <v>511</v>
      </c>
      <c r="C9" s="81" t="s">
        <v>393</v>
      </c>
      <c r="D9" s="94">
        <v>26</v>
      </c>
      <c r="E9" s="81">
        <v>0</v>
      </c>
      <c r="F9" s="81">
        <v>0</v>
      </c>
      <c r="G9" s="81">
        <v>0</v>
      </c>
      <c r="H9" s="81">
        <v>0</v>
      </c>
      <c r="I9" s="81">
        <v>0</v>
      </c>
      <c r="J9" s="81">
        <v>0</v>
      </c>
      <c r="K9" s="81">
        <v>0</v>
      </c>
      <c r="L9" s="81">
        <v>0</v>
      </c>
      <c r="M9" s="81">
        <v>0</v>
      </c>
      <c r="N9" s="81">
        <v>0</v>
      </c>
      <c r="O9" s="81">
        <v>0</v>
      </c>
      <c r="P9" s="81">
        <v>0</v>
      </c>
      <c r="Q9" s="81">
        <v>1</v>
      </c>
      <c r="R9" s="81">
        <v>0</v>
      </c>
      <c r="S9" s="81">
        <v>1</v>
      </c>
      <c r="T9" s="81">
        <v>0</v>
      </c>
      <c r="U9" s="81">
        <v>0</v>
      </c>
      <c r="V9" s="81">
        <v>0</v>
      </c>
      <c r="W9" s="81">
        <v>1</v>
      </c>
      <c r="X9" s="81">
        <v>1</v>
      </c>
      <c r="Y9" s="81">
        <v>0</v>
      </c>
      <c r="Z9" s="81">
        <v>0</v>
      </c>
      <c r="AA9" s="81">
        <v>0</v>
      </c>
      <c r="AB9" s="81">
        <v>0</v>
      </c>
      <c r="AC9" s="81">
        <v>0</v>
      </c>
      <c r="AD9" s="81">
        <v>0</v>
      </c>
      <c r="AE9" s="81">
        <v>0</v>
      </c>
      <c r="AF9" s="81">
        <v>1</v>
      </c>
      <c r="AG9" s="81">
        <v>0</v>
      </c>
      <c r="AH9" s="81">
        <v>1</v>
      </c>
      <c r="AI9" s="81">
        <v>0</v>
      </c>
      <c r="AJ9" s="81">
        <v>0</v>
      </c>
      <c r="AK9" s="81">
        <v>1</v>
      </c>
      <c r="AL9" s="81">
        <v>0</v>
      </c>
      <c r="AM9" s="81">
        <v>1</v>
      </c>
      <c r="AN9" s="81">
        <v>0</v>
      </c>
      <c r="AO9" s="81">
        <v>0</v>
      </c>
      <c r="AP9" s="81">
        <v>0</v>
      </c>
      <c r="AQ9" s="81">
        <v>1</v>
      </c>
      <c r="AR9" s="81">
        <v>0</v>
      </c>
      <c r="AS9" s="81">
        <v>1</v>
      </c>
      <c r="AT9" s="81">
        <v>0</v>
      </c>
      <c r="AU9" s="81">
        <v>0</v>
      </c>
      <c r="AV9" s="81">
        <v>0</v>
      </c>
      <c r="AW9" s="81">
        <v>0</v>
      </c>
      <c r="AX9" s="81">
        <v>0</v>
      </c>
      <c r="AY9" s="81">
        <v>1</v>
      </c>
      <c r="AZ9" s="81">
        <v>0</v>
      </c>
      <c r="BA9" s="81">
        <v>0</v>
      </c>
      <c r="BB9" s="81">
        <v>3</v>
      </c>
      <c r="BC9" s="81">
        <v>2</v>
      </c>
      <c r="BD9" s="81">
        <v>2</v>
      </c>
      <c r="BE9" s="81">
        <v>2</v>
      </c>
      <c r="BF9" s="81">
        <v>2</v>
      </c>
      <c r="BG9" s="81">
        <v>3</v>
      </c>
      <c r="BH9" s="81">
        <v>2</v>
      </c>
      <c r="BI9" s="81">
        <v>2</v>
      </c>
      <c r="BJ9" s="81">
        <v>2</v>
      </c>
      <c r="BK9" s="81">
        <v>3</v>
      </c>
      <c r="BL9" s="81">
        <v>2</v>
      </c>
      <c r="BM9" s="81">
        <v>2</v>
      </c>
      <c r="BN9" s="81">
        <v>3</v>
      </c>
      <c r="BO9" s="81">
        <v>3</v>
      </c>
      <c r="BP9" s="81">
        <v>2</v>
      </c>
      <c r="BQ9" s="81">
        <v>2</v>
      </c>
      <c r="BR9" s="81">
        <v>2</v>
      </c>
      <c r="BS9" s="81">
        <v>2</v>
      </c>
      <c r="BT9" s="81">
        <v>3</v>
      </c>
      <c r="BU9" s="81">
        <v>3</v>
      </c>
      <c r="BV9" s="81">
        <v>2</v>
      </c>
      <c r="BW9" s="81">
        <v>2</v>
      </c>
      <c r="BX9" s="81">
        <v>2</v>
      </c>
      <c r="BY9" s="81">
        <v>2</v>
      </c>
      <c r="BZ9" s="81">
        <v>2</v>
      </c>
      <c r="CA9" s="81">
        <v>0</v>
      </c>
      <c r="CB9" s="81">
        <v>2</v>
      </c>
      <c r="CC9" s="81">
        <v>3</v>
      </c>
      <c r="CD9" s="81">
        <v>2</v>
      </c>
      <c r="CE9" s="81">
        <v>2</v>
      </c>
      <c r="CF9" s="81">
        <v>3</v>
      </c>
      <c r="CG9" s="81">
        <v>2</v>
      </c>
      <c r="CH9" s="81">
        <v>0</v>
      </c>
      <c r="CI9" s="81">
        <v>2</v>
      </c>
      <c r="CJ9" s="81">
        <v>2</v>
      </c>
      <c r="CK9" s="81">
        <v>2</v>
      </c>
      <c r="CL9" s="81">
        <v>2</v>
      </c>
      <c r="CM9" s="81">
        <v>1</v>
      </c>
      <c r="CN9" s="81">
        <v>2</v>
      </c>
      <c r="CO9" s="81" t="s">
        <v>514</v>
      </c>
    </row>
    <row r="10" spans="1:93" ht="11.55" customHeight="1" x14ac:dyDescent="0.3">
      <c r="A10" s="81" t="s">
        <v>515</v>
      </c>
      <c r="B10" s="81" t="s">
        <v>516</v>
      </c>
      <c r="C10" s="81" t="s">
        <v>393</v>
      </c>
      <c r="D10" s="94">
        <v>27</v>
      </c>
      <c r="E10" s="81">
        <v>0</v>
      </c>
      <c r="F10" s="81">
        <v>0</v>
      </c>
      <c r="G10" s="81">
        <v>0</v>
      </c>
      <c r="H10" s="81">
        <v>0</v>
      </c>
      <c r="I10" s="81">
        <v>0</v>
      </c>
      <c r="J10" s="81">
        <v>0</v>
      </c>
      <c r="K10" s="81">
        <v>0</v>
      </c>
      <c r="L10" s="81">
        <v>0</v>
      </c>
      <c r="M10" s="81">
        <v>0</v>
      </c>
      <c r="N10" s="81">
        <v>0</v>
      </c>
      <c r="O10" s="81">
        <v>0</v>
      </c>
      <c r="P10" s="81">
        <v>0</v>
      </c>
      <c r="Q10" s="81">
        <v>1</v>
      </c>
      <c r="R10" s="81">
        <v>0</v>
      </c>
      <c r="S10" s="81">
        <v>1</v>
      </c>
      <c r="T10" s="81">
        <v>0</v>
      </c>
      <c r="U10" s="81">
        <v>0</v>
      </c>
      <c r="V10" s="81">
        <v>0</v>
      </c>
      <c r="W10" s="81">
        <v>1</v>
      </c>
      <c r="X10" s="81">
        <v>1</v>
      </c>
      <c r="Y10" s="81">
        <v>0</v>
      </c>
      <c r="Z10" s="81">
        <v>0</v>
      </c>
      <c r="AA10" s="81">
        <v>0</v>
      </c>
      <c r="AB10" s="81">
        <v>0</v>
      </c>
      <c r="AC10" s="81">
        <v>0</v>
      </c>
      <c r="AD10" s="81">
        <v>0</v>
      </c>
      <c r="AE10" s="81">
        <v>0</v>
      </c>
      <c r="AF10" s="81">
        <v>1</v>
      </c>
      <c r="AG10" s="81">
        <v>0</v>
      </c>
      <c r="AH10" s="81">
        <v>1</v>
      </c>
      <c r="AI10" s="81">
        <v>0</v>
      </c>
      <c r="AJ10" s="81">
        <v>0</v>
      </c>
      <c r="AK10" s="81">
        <v>1</v>
      </c>
      <c r="AL10" s="81">
        <v>0</v>
      </c>
      <c r="AM10" s="81">
        <v>1</v>
      </c>
      <c r="AN10" s="81">
        <v>0</v>
      </c>
      <c r="AO10" s="81">
        <v>0</v>
      </c>
      <c r="AP10" s="81">
        <v>0</v>
      </c>
      <c r="AQ10" s="81">
        <v>1</v>
      </c>
      <c r="AR10" s="81">
        <v>0</v>
      </c>
      <c r="AS10" s="81">
        <v>1</v>
      </c>
      <c r="AT10" s="81">
        <v>0</v>
      </c>
      <c r="AU10" s="81">
        <v>0</v>
      </c>
      <c r="AV10" s="81">
        <v>0</v>
      </c>
      <c r="AW10" s="81">
        <v>0</v>
      </c>
      <c r="AX10" s="81">
        <v>0</v>
      </c>
      <c r="AY10" s="81">
        <v>1</v>
      </c>
      <c r="AZ10" s="81">
        <v>0</v>
      </c>
      <c r="BA10" s="81">
        <v>0</v>
      </c>
      <c r="BB10" s="81">
        <v>3</v>
      </c>
      <c r="BC10" s="81">
        <v>3</v>
      </c>
      <c r="BD10" s="81">
        <v>2</v>
      </c>
      <c r="BE10" s="81">
        <v>2</v>
      </c>
      <c r="BF10" s="81">
        <v>2</v>
      </c>
      <c r="BG10" s="81">
        <v>3</v>
      </c>
      <c r="BH10" s="81">
        <v>3</v>
      </c>
      <c r="BI10" s="81">
        <v>2</v>
      </c>
      <c r="BJ10" s="81">
        <v>2</v>
      </c>
      <c r="BK10" s="81">
        <v>3</v>
      </c>
      <c r="BL10" s="81">
        <v>3</v>
      </c>
      <c r="BM10" s="81">
        <v>2</v>
      </c>
      <c r="BN10" s="81">
        <v>3</v>
      </c>
      <c r="BO10" s="81">
        <v>3</v>
      </c>
      <c r="BP10" s="81">
        <v>3</v>
      </c>
      <c r="BQ10" s="81">
        <v>2</v>
      </c>
      <c r="BR10" s="81">
        <v>3</v>
      </c>
      <c r="BS10" s="81">
        <v>2</v>
      </c>
      <c r="BT10" s="81">
        <v>3</v>
      </c>
      <c r="BU10" s="81">
        <v>3</v>
      </c>
      <c r="BV10" s="81">
        <v>3</v>
      </c>
      <c r="BW10" s="81">
        <v>3</v>
      </c>
      <c r="BX10" s="81">
        <v>3</v>
      </c>
      <c r="BY10" s="81">
        <v>3</v>
      </c>
      <c r="BZ10" s="81">
        <v>2</v>
      </c>
      <c r="CA10" s="81">
        <v>0</v>
      </c>
      <c r="CB10" s="81">
        <v>3</v>
      </c>
      <c r="CC10" s="81">
        <v>3</v>
      </c>
      <c r="CD10" s="81">
        <v>3</v>
      </c>
      <c r="CE10" s="81">
        <v>2</v>
      </c>
      <c r="CF10" s="81">
        <v>3</v>
      </c>
      <c r="CG10" s="81">
        <v>3</v>
      </c>
      <c r="CH10" s="81">
        <v>0</v>
      </c>
      <c r="CI10" s="81">
        <v>2</v>
      </c>
      <c r="CJ10" s="81">
        <v>2</v>
      </c>
      <c r="CK10" s="81">
        <v>2</v>
      </c>
      <c r="CL10" s="81">
        <v>2</v>
      </c>
      <c r="CM10" s="81">
        <v>1</v>
      </c>
      <c r="CN10" s="81">
        <v>2</v>
      </c>
      <c r="CO10" s="81" t="s">
        <v>512</v>
      </c>
    </row>
    <row r="11" spans="1:93" ht="11.55" customHeight="1" x14ac:dyDescent="0.3">
      <c r="A11" s="81" t="s">
        <v>517</v>
      </c>
      <c r="B11" s="81" t="s">
        <v>518</v>
      </c>
      <c r="C11" s="81" t="s">
        <v>393</v>
      </c>
      <c r="D11" s="94">
        <v>27</v>
      </c>
      <c r="E11" s="81">
        <v>0</v>
      </c>
      <c r="F11" s="81">
        <v>0</v>
      </c>
      <c r="G11" s="81">
        <v>0</v>
      </c>
      <c r="H11" s="81">
        <v>0</v>
      </c>
      <c r="I11" s="81">
        <v>0</v>
      </c>
      <c r="J11" s="81">
        <v>0</v>
      </c>
      <c r="K11" s="81">
        <v>0</v>
      </c>
      <c r="L11" s="81">
        <v>0</v>
      </c>
      <c r="M11" s="81">
        <v>0</v>
      </c>
      <c r="N11" s="81">
        <v>0</v>
      </c>
      <c r="O11" s="81">
        <v>0</v>
      </c>
      <c r="P11" s="81">
        <v>0</v>
      </c>
      <c r="Q11" s="81">
        <v>1</v>
      </c>
      <c r="R11" s="81">
        <v>0</v>
      </c>
      <c r="S11" s="81">
        <v>1</v>
      </c>
      <c r="T11" s="81">
        <v>0</v>
      </c>
      <c r="U11" s="81">
        <v>0</v>
      </c>
      <c r="V11" s="81">
        <v>0</v>
      </c>
      <c r="W11" s="81">
        <v>1</v>
      </c>
      <c r="X11" s="81">
        <v>1</v>
      </c>
      <c r="Y11" s="81">
        <v>0</v>
      </c>
      <c r="Z11" s="81">
        <v>0</v>
      </c>
      <c r="AA11" s="81">
        <v>0</v>
      </c>
      <c r="AB11" s="81">
        <v>0</v>
      </c>
      <c r="AC11" s="81">
        <v>0</v>
      </c>
      <c r="AD11" s="81">
        <v>0</v>
      </c>
      <c r="AE11" s="81">
        <v>0</v>
      </c>
      <c r="AF11" s="81">
        <v>1</v>
      </c>
      <c r="AG11" s="81">
        <v>0</v>
      </c>
      <c r="AH11" s="81">
        <v>1</v>
      </c>
      <c r="AI11" s="81">
        <v>0</v>
      </c>
      <c r="AJ11" s="81">
        <v>0</v>
      </c>
      <c r="AK11" s="81">
        <v>1</v>
      </c>
      <c r="AL11" s="81">
        <v>0</v>
      </c>
      <c r="AM11" s="81">
        <v>1</v>
      </c>
      <c r="AN11" s="81">
        <v>0</v>
      </c>
      <c r="AO11" s="81">
        <v>0</v>
      </c>
      <c r="AP11" s="81">
        <v>0</v>
      </c>
      <c r="AQ11" s="81">
        <v>1</v>
      </c>
      <c r="AR11" s="81">
        <v>0</v>
      </c>
      <c r="AS11" s="81">
        <v>1</v>
      </c>
      <c r="AT11" s="81">
        <v>0</v>
      </c>
      <c r="AU11" s="81">
        <v>0</v>
      </c>
      <c r="AV11" s="81">
        <v>0</v>
      </c>
      <c r="AW11" s="81">
        <v>0</v>
      </c>
      <c r="AX11" s="81">
        <v>0</v>
      </c>
      <c r="AY11" s="81">
        <v>1</v>
      </c>
      <c r="AZ11" s="81">
        <v>0</v>
      </c>
      <c r="BA11" s="81">
        <v>0</v>
      </c>
      <c r="BB11" s="81">
        <v>3</v>
      </c>
      <c r="BC11" s="81">
        <v>3</v>
      </c>
      <c r="BD11" s="81">
        <v>2</v>
      </c>
      <c r="BE11" s="81">
        <v>2</v>
      </c>
      <c r="BF11" s="81">
        <v>2</v>
      </c>
      <c r="BG11" s="81">
        <v>3</v>
      </c>
      <c r="BH11" s="81">
        <v>3</v>
      </c>
      <c r="BI11" s="81">
        <v>2</v>
      </c>
      <c r="BJ11" s="81">
        <v>2</v>
      </c>
      <c r="BK11" s="81">
        <v>3</v>
      </c>
      <c r="BL11" s="81">
        <v>3</v>
      </c>
      <c r="BM11" s="81">
        <v>2</v>
      </c>
      <c r="BN11" s="81">
        <v>3</v>
      </c>
      <c r="BO11" s="81">
        <v>3</v>
      </c>
      <c r="BP11" s="81">
        <v>3</v>
      </c>
      <c r="BQ11" s="81">
        <v>2</v>
      </c>
      <c r="BR11" s="81">
        <v>3</v>
      </c>
      <c r="BS11" s="81">
        <v>2</v>
      </c>
      <c r="BT11" s="81">
        <v>3</v>
      </c>
      <c r="BU11" s="81">
        <v>3</v>
      </c>
      <c r="BV11" s="81">
        <v>3</v>
      </c>
      <c r="BW11" s="81">
        <v>3</v>
      </c>
      <c r="BX11" s="81">
        <v>3</v>
      </c>
      <c r="BY11" s="81">
        <v>3</v>
      </c>
      <c r="BZ11" s="81">
        <v>2</v>
      </c>
      <c r="CA11" s="81">
        <v>0</v>
      </c>
      <c r="CB11" s="81">
        <v>3</v>
      </c>
      <c r="CC11" s="81">
        <v>3</v>
      </c>
      <c r="CD11" s="81">
        <v>3</v>
      </c>
      <c r="CE11" s="81">
        <v>2</v>
      </c>
      <c r="CF11" s="81">
        <v>3</v>
      </c>
      <c r="CG11" s="81">
        <v>3</v>
      </c>
      <c r="CH11" s="81">
        <v>0</v>
      </c>
      <c r="CI11" s="81">
        <v>2</v>
      </c>
      <c r="CJ11" s="81">
        <v>2</v>
      </c>
      <c r="CK11" s="81">
        <v>2</v>
      </c>
      <c r="CL11" s="81">
        <v>2</v>
      </c>
      <c r="CM11" s="81">
        <v>1</v>
      </c>
      <c r="CN11" s="81">
        <v>2</v>
      </c>
      <c r="CO11" s="81" t="s">
        <v>512</v>
      </c>
    </row>
    <row r="12" spans="1:93" ht="11.55" customHeight="1" x14ac:dyDescent="0.3">
      <c r="A12" s="81" t="s">
        <v>519</v>
      </c>
      <c r="B12" s="81" t="s">
        <v>520</v>
      </c>
      <c r="C12" s="81" t="s">
        <v>393</v>
      </c>
      <c r="D12" s="94">
        <v>27</v>
      </c>
      <c r="E12" s="81">
        <v>0</v>
      </c>
      <c r="F12" s="81">
        <v>0</v>
      </c>
      <c r="G12" s="81">
        <v>0</v>
      </c>
      <c r="H12" s="81">
        <v>0</v>
      </c>
      <c r="I12" s="81">
        <v>0</v>
      </c>
      <c r="J12" s="81">
        <v>0</v>
      </c>
      <c r="K12" s="81">
        <v>0</v>
      </c>
      <c r="L12" s="81">
        <v>0</v>
      </c>
      <c r="M12" s="81">
        <v>0</v>
      </c>
      <c r="N12" s="81">
        <v>0</v>
      </c>
      <c r="O12" s="81">
        <v>0</v>
      </c>
      <c r="P12" s="81">
        <v>0</v>
      </c>
      <c r="Q12" s="81">
        <v>1</v>
      </c>
      <c r="R12" s="81">
        <v>0</v>
      </c>
      <c r="S12" s="81">
        <v>1</v>
      </c>
      <c r="T12" s="81">
        <v>0</v>
      </c>
      <c r="U12" s="81">
        <v>0</v>
      </c>
      <c r="V12" s="81">
        <v>0</v>
      </c>
      <c r="W12" s="81">
        <v>1</v>
      </c>
      <c r="X12" s="81">
        <v>1</v>
      </c>
      <c r="Y12" s="81">
        <v>0</v>
      </c>
      <c r="Z12" s="81">
        <v>0</v>
      </c>
      <c r="AA12" s="81">
        <v>0</v>
      </c>
      <c r="AB12" s="81">
        <v>0</v>
      </c>
      <c r="AC12" s="81">
        <v>0</v>
      </c>
      <c r="AD12" s="81">
        <v>0</v>
      </c>
      <c r="AE12" s="81">
        <v>0</v>
      </c>
      <c r="AF12" s="81">
        <v>1</v>
      </c>
      <c r="AG12" s="81">
        <v>0</v>
      </c>
      <c r="AH12" s="81">
        <v>1</v>
      </c>
      <c r="AI12" s="81">
        <v>0</v>
      </c>
      <c r="AJ12" s="81">
        <v>0</v>
      </c>
      <c r="AK12" s="81">
        <v>1</v>
      </c>
      <c r="AL12" s="81">
        <v>0</v>
      </c>
      <c r="AM12" s="81">
        <v>1</v>
      </c>
      <c r="AN12" s="81">
        <v>0</v>
      </c>
      <c r="AO12" s="81">
        <v>0</v>
      </c>
      <c r="AP12" s="81">
        <v>0</v>
      </c>
      <c r="AQ12" s="81">
        <v>1</v>
      </c>
      <c r="AR12" s="81">
        <v>0</v>
      </c>
      <c r="AS12" s="81">
        <v>1</v>
      </c>
      <c r="AT12" s="81">
        <v>0</v>
      </c>
      <c r="AU12" s="81">
        <v>0</v>
      </c>
      <c r="AV12" s="81">
        <v>0</v>
      </c>
      <c r="AW12" s="81">
        <v>0</v>
      </c>
      <c r="AX12" s="81">
        <v>0</v>
      </c>
      <c r="AY12" s="81">
        <v>1</v>
      </c>
      <c r="AZ12" s="81">
        <v>0</v>
      </c>
      <c r="BA12" s="81">
        <v>0</v>
      </c>
      <c r="BB12" s="81">
        <v>3</v>
      </c>
      <c r="BC12" s="81">
        <v>3</v>
      </c>
      <c r="BD12" s="81">
        <v>2</v>
      </c>
      <c r="BE12" s="81">
        <v>2</v>
      </c>
      <c r="BF12" s="81">
        <v>2</v>
      </c>
      <c r="BG12" s="81">
        <v>3</v>
      </c>
      <c r="BH12" s="81">
        <v>3</v>
      </c>
      <c r="BI12" s="81">
        <v>2</v>
      </c>
      <c r="BJ12" s="81">
        <v>2</v>
      </c>
      <c r="BK12" s="81">
        <v>3</v>
      </c>
      <c r="BL12" s="81">
        <v>3</v>
      </c>
      <c r="BM12" s="81">
        <v>2</v>
      </c>
      <c r="BN12" s="81">
        <v>3</v>
      </c>
      <c r="BO12" s="81">
        <v>3</v>
      </c>
      <c r="BP12" s="81">
        <v>3</v>
      </c>
      <c r="BQ12" s="81">
        <v>2</v>
      </c>
      <c r="BR12" s="81">
        <v>3</v>
      </c>
      <c r="BS12" s="81">
        <v>2</v>
      </c>
      <c r="BT12" s="81">
        <v>3</v>
      </c>
      <c r="BU12" s="81">
        <v>3</v>
      </c>
      <c r="BV12" s="81">
        <v>3</v>
      </c>
      <c r="BW12" s="81">
        <v>3</v>
      </c>
      <c r="BX12" s="81">
        <v>3</v>
      </c>
      <c r="BY12" s="81">
        <v>3</v>
      </c>
      <c r="BZ12" s="81">
        <v>2</v>
      </c>
      <c r="CA12" s="81">
        <v>0</v>
      </c>
      <c r="CB12" s="81">
        <v>3</v>
      </c>
      <c r="CC12" s="81">
        <v>3</v>
      </c>
      <c r="CD12" s="81">
        <v>3</v>
      </c>
      <c r="CE12" s="81">
        <v>2</v>
      </c>
      <c r="CF12" s="81">
        <v>3</v>
      </c>
      <c r="CG12" s="81">
        <v>3</v>
      </c>
      <c r="CH12" s="81">
        <v>0</v>
      </c>
      <c r="CI12" s="81">
        <v>2</v>
      </c>
      <c r="CJ12" s="81">
        <v>2</v>
      </c>
      <c r="CK12" s="81">
        <v>2</v>
      </c>
      <c r="CL12" s="81">
        <v>2</v>
      </c>
      <c r="CM12" s="81">
        <v>1</v>
      </c>
      <c r="CN12" s="81">
        <v>2</v>
      </c>
      <c r="CO12" s="81" t="s">
        <v>512</v>
      </c>
    </row>
    <row r="13" spans="1:93" ht="11.55" customHeight="1" x14ac:dyDescent="0.3">
      <c r="A13" s="81" t="s">
        <v>521</v>
      </c>
      <c r="B13" s="81" t="s">
        <v>522</v>
      </c>
      <c r="C13" s="81" t="s">
        <v>393</v>
      </c>
      <c r="D13" s="94">
        <v>27</v>
      </c>
      <c r="E13" s="81">
        <v>0</v>
      </c>
      <c r="F13" s="81">
        <v>0</v>
      </c>
      <c r="G13" s="81">
        <v>0</v>
      </c>
      <c r="H13" s="81">
        <v>0</v>
      </c>
      <c r="I13" s="81">
        <v>0</v>
      </c>
      <c r="J13" s="81">
        <v>0</v>
      </c>
      <c r="K13" s="81">
        <v>0</v>
      </c>
      <c r="L13" s="81">
        <v>0</v>
      </c>
      <c r="M13" s="81">
        <v>0</v>
      </c>
      <c r="N13" s="81">
        <v>0</v>
      </c>
      <c r="O13" s="81">
        <v>0</v>
      </c>
      <c r="P13" s="81">
        <v>0</v>
      </c>
      <c r="Q13" s="81">
        <v>1</v>
      </c>
      <c r="R13" s="81">
        <v>0</v>
      </c>
      <c r="S13" s="81">
        <v>1</v>
      </c>
      <c r="T13" s="81">
        <v>0</v>
      </c>
      <c r="U13" s="81">
        <v>0</v>
      </c>
      <c r="V13" s="81">
        <v>0</v>
      </c>
      <c r="W13" s="81">
        <v>1</v>
      </c>
      <c r="X13" s="81">
        <v>1</v>
      </c>
      <c r="Y13" s="81">
        <v>0</v>
      </c>
      <c r="Z13" s="81">
        <v>0</v>
      </c>
      <c r="AA13" s="81">
        <v>0</v>
      </c>
      <c r="AB13" s="81">
        <v>0</v>
      </c>
      <c r="AC13" s="81">
        <v>0</v>
      </c>
      <c r="AD13" s="81">
        <v>0</v>
      </c>
      <c r="AE13" s="81">
        <v>0</v>
      </c>
      <c r="AF13" s="81">
        <v>1</v>
      </c>
      <c r="AG13" s="81">
        <v>0</v>
      </c>
      <c r="AH13" s="81">
        <v>1</v>
      </c>
      <c r="AI13" s="81">
        <v>0</v>
      </c>
      <c r="AJ13" s="81">
        <v>0</v>
      </c>
      <c r="AK13" s="81">
        <v>1</v>
      </c>
      <c r="AL13" s="81">
        <v>0</v>
      </c>
      <c r="AM13" s="81">
        <v>1</v>
      </c>
      <c r="AN13" s="81">
        <v>0</v>
      </c>
      <c r="AO13" s="81">
        <v>0</v>
      </c>
      <c r="AP13" s="81">
        <v>0</v>
      </c>
      <c r="AQ13" s="81">
        <v>1</v>
      </c>
      <c r="AR13" s="81">
        <v>0</v>
      </c>
      <c r="AS13" s="81">
        <v>1</v>
      </c>
      <c r="AT13" s="81">
        <v>0</v>
      </c>
      <c r="AU13" s="81">
        <v>0</v>
      </c>
      <c r="AV13" s="81">
        <v>0</v>
      </c>
      <c r="AW13" s="81">
        <v>0</v>
      </c>
      <c r="AX13" s="81">
        <v>0</v>
      </c>
      <c r="AY13" s="81">
        <v>1</v>
      </c>
      <c r="AZ13" s="81">
        <v>0</v>
      </c>
      <c r="BA13" s="81">
        <v>0</v>
      </c>
      <c r="BB13" s="81">
        <v>3</v>
      </c>
      <c r="BC13" s="81">
        <v>3</v>
      </c>
      <c r="BD13" s="81">
        <v>2</v>
      </c>
      <c r="BE13" s="81">
        <v>2</v>
      </c>
      <c r="BF13" s="81">
        <v>2</v>
      </c>
      <c r="BG13" s="81">
        <v>3</v>
      </c>
      <c r="BH13" s="81">
        <v>3</v>
      </c>
      <c r="BI13" s="81">
        <v>2</v>
      </c>
      <c r="BJ13" s="81">
        <v>2</v>
      </c>
      <c r="BK13" s="81">
        <v>3</v>
      </c>
      <c r="BL13" s="81">
        <v>3</v>
      </c>
      <c r="BM13" s="81">
        <v>2</v>
      </c>
      <c r="BN13" s="81">
        <v>3</v>
      </c>
      <c r="BO13" s="81">
        <v>3</v>
      </c>
      <c r="BP13" s="81">
        <v>3</v>
      </c>
      <c r="BQ13" s="81">
        <v>2</v>
      </c>
      <c r="BR13" s="81">
        <v>3</v>
      </c>
      <c r="BS13" s="81">
        <v>2</v>
      </c>
      <c r="BT13" s="81">
        <v>3</v>
      </c>
      <c r="BU13" s="81">
        <v>3</v>
      </c>
      <c r="BV13" s="81">
        <v>3</v>
      </c>
      <c r="BW13" s="81">
        <v>3</v>
      </c>
      <c r="BX13" s="81">
        <v>3</v>
      </c>
      <c r="BY13" s="81">
        <v>3</v>
      </c>
      <c r="BZ13" s="81">
        <v>2</v>
      </c>
      <c r="CA13" s="81">
        <v>0</v>
      </c>
      <c r="CB13" s="81">
        <v>3</v>
      </c>
      <c r="CC13" s="81">
        <v>3</v>
      </c>
      <c r="CD13" s="81">
        <v>3</v>
      </c>
      <c r="CE13" s="81">
        <v>2</v>
      </c>
      <c r="CF13" s="81">
        <v>3</v>
      </c>
      <c r="CG13" s="81">
        <v>3</v>
      </c>
      <c r="CH13" s="81">
        <v>0</v>
      </c>
      <c r="CI13" s="81">
        <v>2</v>
      </c>
      <c r="CJ13" s="81">
        <v>2</v>
      </c>
      <c r="CK13" s="81">
        <v>2</v>
      </c>
      <c r="CL13" s="81">
        <v>2</v>
      </c>
      <c r="CM13" s="81">
        <v>1</v>
      </c>
      <c r="CN13" s="81">
        <v>2</v>
      </c>
      <c r="CO13" s="81" t="s">
        <v>512</v>
      </c>
    </row>
    <row r="14" spans="1:93" ht="11.55" customHeight="1" x14ac:dyDescent="0.3">
      <c r="A14" s="81" t="s">
        <v>523</v>
      </c>
      <c r="B14" s="81" t="s">
        <v>524</v>
      </c>
      <c r="C14" s="81" t="s">
        <v>393</v>
      </c>
      <c r="D14" s="94">
        <v>26</v>
      </c>
      <c r="E14" s="81">
        <v>0</v>
      </c>
      <c r="F14" s="81">
        <v>0</v>
      </c>
      <c r="G14" s="81">
        <v>0</v>
      </c>
      <c r="H14" s="81">
        <v>0</v>
      </c>
      <c r="I14" s="81">
        <v>0</v>
      </c>
      <c r="J14" s="81">
        <v>0</v>
      </c>
      <c r="K14" s="81">
        <v>0</v>
      </c>
      <c r="L14" s="81">
        <v>0</v>
      </c>
      <c r="M14" s="81">
        <v>0</v>
      </c>
      <c r="N14" s="81">
        <v>0</v>
      </c>
      <c r="O14" s="81">
        <v>0</v>
      </c>
      <c r="P14" s="81">
        <v>0</v>
      </c>
      <c r="Q14" s="81">
        <v>1</v>
      </c>
      <c r="R14" s="81">
        <v>0</v>
      </c>
      <c r="S14" s="81">
        <v>1</v>
      </c>
      <c r="T14" s="81">
        <v>0</v>
      </c>
      <c r="U14" s="81">
        <v>0</v>
      </c>
      <c r="V14" s="81">
        <v>0</v>
      </c>
      <c r="W14" s="81">
        <v>1</v>
      </c>
      <c r="X14" s="81">
        <v>1</v>
      </c>
      <c r="Y14" s="81">
        <v>0</v>
      </c>
      <c r="Z14" s="81">
        <v>0</v>
      </c>
      <c r="AA14" s="81">
        <v>0</v>
      </c>
      <c r="AB14" s="81">
        <v>0</v>
      </c>
      <c r="AC14" s="81">
        <v>0</v>
      </c>
      <c r="AD14" s="81">
        <v>0</v>
      </c>
      <c r="AE14" s="81">
        <v>0</v>
      </c>
      <c r="AF14" s="81">
        <v>1</v>
      </c>
      <c r="AG14" s="81">
        <v>0</v>
      </c>
      <c r="AH14" s="81">
        <v>1</v>
      </c>
      <c r="AI14" s="81">
        <v>0</v>
      </c>
      <c r="AJ14" s="81">
        <v>0</v>
      </c>
      <c r="AK14" s="81">
        <v>1</v>
      </c>
      <c r="AL14" s="81">
        <v>0</v>
      </c>
      <c r="AM14" s="81">
        <v>1</v>
      </c>
      <c r="AN14" s="81">
        <v>0</v>
      </c>
      <c r="AO14" s="81">
        <v>0</v>
      </c>
      <c r="AP14" s="81">
        <v>0</v>
      </c>
      <c r="AQ14" s="81">
        <v>1</v>
      </c>
      <c r="AR14" s="81">
        <v>0</v>
      </c>
      <c r="AS14" s="81">
        <v>1</v>
      </c>
      <c r="AT14" s="81">
        <v>0</v>
      </c>
      <c r="AU14" s="81">
        <v>0</v>
      </c>
      <c r="AV14" s="81">
        <v>0</v>
      </c>
      <c r="AW14" s="81">
        <v>0</v>
      </c>
      <c r="AX14" s="81">
        <v>0</v>
      </c>
      <c r="AY14" s="81">
        <v>1</v>
      </c>
      <c r="AZ14" s="81">
        <v>0</v>
      </c>
      <c r="BA14" s="81">
        <v>0</v>
      </c>
      <c r="BB14" s="81">
        <v>3</v>
      </c>
      <c r="BC14" s="81">
        <v>2</v>
      </c>
      <c r="BD14" s="81">
        <v>2</v>
      </c>
      <c r="BE14" s="81">
        <v>2</v>
      </c>
      <c r="BF14" s="81">
        <v>2</v>
      </c>
      <c r="BG14" s="81">
        <v>3</v>
      </c>
      <c r="BH14" s="81">
        <v>2</v>
      </c>
      <c r="BI14" s="81">
        <v>2</v>
      </c>
      <c r="BJ14" s="81">
        <v>2</v>
      </c>
      <c r="BK14" s="81">
        <v>3</v>
      </c>
      <c r="BL14" s="81">
        <v>2</v>
      </c>
      <c r="BM14" s="81">
        <v>2</v>
      </c>
      <c r="BN14" s="81">
        <v>3</v>
      </c>
      <c r="BO14" s="81">
        <v>3</v>
      </c>
      <c r="BP14" s="81">
        <v>2</v>
      </c>
      <c r="BQ14" s="81">
        <v>2</v>
      </c>
      <c r="BR14" s="81">
        <v>2</v>
      </c>
      <c r="BS14" s="81">
        <v>2</v>
      </c>
      <c r="BT14" s="81">
        <v>3</v>
      </c>
      <c r="BU14" s="81">
        <v>3</v>
      </c>
      <c r="BV14" s="81">
        <v>2</v>
      </c>
      <c r="BW14" s="81">
        <v>2</v>
      </c>
      <c r="BX14" s="81">
        <v>2</v>
      </c>
      <c r="BY14" s="81">
        <v>2</v>
      </c>
      <c r="BZ14" s="81">
        <v>2</v>
      </c>
      <c r="CA14" s="81">
        <v>0</v>
      </c>
      <c r="CB14" s="81">
        <v>2</v>
      </c>
      <c r="CC14" s="81">
        <v>3</v>
      </c>
      <c r="CD14" s="81">
        <v>2</v>
      </c>
      <c r="CE14" s="81">
        <v>2</v>
      </c>
      <c r="CF14" s="81">
        <v>3</v>
      </c>
      <c r="CG14" s="81">
        <v>2</v>
      </c>
      <c r="CH14" s="81">
        <v>0</v>
      </c>
      <c r="CI14" s="81">
        <v>2</v>
      </c>
      <c r="CJ14" s="81">
        <v>2</v>
      </c>
      <c r="CK14" s="81">
        <v>2</v>
      </c>
      <c r="CL14" s="81">
        <v>2</v>
      </c>
      <c r="CM14" s="81">
        <v>1</v>
      </c>
      <c r="CN14" s="81">
        <v>2</v>
      </c>
      <c r="CO14" s="81" t="s">
        <v>525</v>
      </c>
    </row>
    <row r="15" spans="1:93" ht="11.55" customHeight="1" x14ac:dyDescent="0.3">
      <c r="A15" s="81" t="s">
        <v>526</v>
      </c>
      <c r="B15" s="81" t="s">
        <v>527</v>
      </c>
      <c r="C15" s="81" t="s">
        <v>395</v>
      </c>
      <c r="D15" s="94">
        <v>26</v>
      </c>
      <c r="E15" s="81">
        <v>0</v>
      </c>
      <c r="F15" s="81">
        <v>0</v>
      </c>
      <c r="G15" s="81">
        <v>0</v>
      </c>
      <c r="H15" s="81">
        <v>0</v>
      </c>
      <c r="I15" s="81">
        <v>0</v>
      </c>
      <c r="J15" s="81">
        <v>0</v>
      </c>
      <c r="K15" s="81">
        <v>0</v>
      </c>
      <c r="L15" s="81">
        <v>0</v>
      </c>
      <c r="M15" s="81">
        <v>0</v>
      </c>
      <c r="N15" s="81">
        <v>0</v>
      </c>
      <c r="O15" s="81">
        <v>0</v>
      </c>
      <c r="P15" s="81">
        <v>0</v>
      </c>
      <c r="Q15" s="81">
        <v>1</v>
      </c>
      <c r="R15" s="81">
        <v>0</v>
      </c>
      <c r="S15" s="81">
        <v>1</v>
      </c>
      <c r="T15" s="81">
        <v>0</v>
      </c>
      <c r="U15" s="81">
        <v>0</v>
      </c>
      <c r="V15" s="81">
        <v>0</v>
      </c>
      <c r="W15" s="81">
        <v>1</v>
      </c>
      <c r="X15" s="81">
        <v>1</v>
      </c>
      <c r="Y15" s="81">
        <v>0</v>
      </c>
      <c r="Z15" s="81">
        <v>0</v>
      </c>
      <c r="AA15" s="81">
        <v>0</v>
      </c>
      <c r="AB15" s="81">
        <v>0</v>
      </c>
      <c r="AC15" s="81">
        <v>0</v>
      </c>
      <c r="AD15" s="81">
        <v>0</v>
      </c>
      <c r="AE15" s="81">
        <v>0</v>
      </c>
      <c r="AF15" s="81">
        <v>1</v>
      </c>
      <c r="AG15" s="81">
        <v>0</v>
      </c>
      <c r="AH15" s="81">
        <v>1</v>
      </c>
      <c r="AI15" s="81">
        <v>0</v>
      </c>
      <c r="AJ15" s="81">
        <v>0</v>
      </c>
      <c r="AK15" s="81">
        <v>1</v>
      </c>
      <c r="AL15" s="81">
        <v>0</v>
      </c>
      <c r="AM15" s="81">
        <v>1</v>
      </c>
      <c r="AN15" s="81">
        <v>0</v>
      </c>
      <c r="AO15" s="81">
        <v>0</v>
      </c>
      <c r="AP15" s="81">
        <v>0</v>
      </c>
      <c r="AQ15" s="81">
        <v>1</v>
      </c>
      <c r="AR15" s="81">
        <v>0</v>
      </c>
      <c r="AS15" s="81">
        <v>1</v>
      </c>
      <c r="AT15" s="81">
        <v>0</v>
      </c>
      <c r="AU15" s="81">
        <v>0</v>
      </c>
      <c r="AV15" s="81">
        <v>0</v>
      </c>
      <c r="AW15" s="81">
        <v>0</v>
      </c>
      <c r="AX15" s="81">
        <v>0</v>
      </c>
      <c r="AY15" s="81">
        <v>1</v>
      </c>
      <c r="AZ15" s="81">
        <v>0</v>
      </c>
      <c r="BA15" s="81">
        <v>0</v>
      </c>
      <c r="BB15" s="81">
        <v>3</v>
      </c>
      <c r="BC15" s="81">
        <v>2</v>
      </c>
      <c r="BD15" s="81">
        <v>2</v>
      </c>
      <c r="BE15" s="81">
        <v>2</v>
      </c>
      <c r="BF15" s="81">
        <v>2</v>
      </c>
      <c r="BG15" s="81">
        <v>3</v>
      </c>
      <c r="BH15" s="81">
        <v>2</v>
      </c>
      <c r="BI15" s="81">
        <v>2</v>
      </c>
      <c r="BJ15" s="81">
        <v>2</v>
      </c>
      <c r="BK15" s="81">
        <v>3</v>
      </c>
      <c r="BL15" s="81">
        <v>2</v>
      </c>
      <c r="BM15" s="81">
        <v>2</v>
      </c>
      <c r="BN15" s="81">
        <v>3</v>
      </c>
      <c r="BO15" s="81">
        <v>3</v>
      </c>
      <c r="BP15" s="81">
        <v>2</v>
      </c>
      <c r="BQ15" s="81">
        <v>2</v>
      </c>
      <c r="BR15" s="81">
        <v>2</v>
      </c>
      <c r="BS15" s="81">
        <v>2</v>
      </c>
      <c r="BT15" s="81">
        <v>3</v>
      </c>
      <c r="BU15" s="81">
        <v>3</v>
      </c>
      <c r="BV15" s="81">
        <v>2</v>
      </c>
      <c r="BW15" s="81">
        <v>2</v>
      </c>
      <c r="BX15" s="81">
        <v>2</v>
      </c>
      <c r="BY15" s="81">
        <v>2</v>
      </c>
      <c r="BZ15" s="81">
        <v>2</v>
      </c>
      <c r="CA15" s="81">
        <v>0</v>
      </c>
      <c r="CB15" s="81">
        <v>2</v>
      </c>
      <c r="CC15" s="81">
        <v>3</v>
      </c>
      <c r="CD15" s="81">
        <v>2</v>
      </c>
      <c r="CE15" s="81">
        <v>2</v>
      </c>
      <c r="CF15" s="81">
        <v>3</v>
      </c>
      <c r="CG15" s="81">
        <v>2</v>
      </c>
      <c r="CH15" s="81">
        <v>0</v>
      </c>
      <c r="CI15" s="81">
        <v>2</v>
      </c>
      <c r="CJ15" s="81">
        <v>2</v>
      </c>
      <c r="CK15" s="81">
        <v>2</v>
      </c>
      <c r="CL15" s="81">
        <v>2</v>
      </c>
      <c r="CM15" s="81">
        <v>1</v>
      </c>
      <c r="CN15" s="81">
        <v>2</v>
      </c>
      <c r="CO15" s="81" t="s">
        <v>528</v>
      </c>
    </row>
    <row r="16" spans="1:93" ht="11.55" customHeight="1" x14ac:dyDescent="0.3">
      <c r="A16" s="81" t="s">
        <v>529</v>
      </c>
      <c r="B16" s="81" t="s">
        <v>530</v>
      </c>
      <c r="C16" s="81" t="s">
        <v>393</v>
      </c>
      <c r="D16" s="94">
        <v>25</v>
      </c>
      <c r="E16" s="81">
        <v>0</v>
      </c>
      <c r="F16" s="81">
        <v>1</v>
      </c>
      <c r="G16" s="81">
        <v>0</v>
      </c>
      <c r="H16" s="81">
        <v>0</v>
      </c>
      <c r="I16" s="81">
        <v>0</v>
      </c>
      <c r="J16" s="81">
        <v>0</v>
      </c>
      <c r="K16" s="81">
        <v>0</v>
      </c>
      <c r="L16" s="81">
        <v>1</v>
      </c>
      <c r="M16" s="81">
        <v>0</v>
      </c>
      <c r="N16" s="81">
        <v>0</v>
      </c>
      <c r="O16" s="81">
        <v>0</v>
      </c>
      <c r="P16" s="81">
        <v>0</v>
      </c>
      <c r="Q16" s="81">
        <v>0</v>
      </c>
      <c r="R16" s="81">
        <v>0</v>
      </c>
      <c r="S16" s="81">
        <v>0</v>
      </c>
      <c r="T16" s="81">
        <v>0</v>
      </c>
      <c r="U16" s="81">
        <v>0</v>
      </c>
      <c r="V16" s="81">
        <v>0</v>
      </c>
      <c r="W16" s="81">
        <v>0</v>
      </c>
      <c r="X16" s="81">
        <v>0</v>
      </c>
      <c r="Y16" s="81">
        <v>1</v>
      </c>
      <c r="Z16" s="81">
        <v>0</v>
      </c>
      <c r="AA16" s="81">
        <v>1</v>
      </c>
      <c r="AB16" s="81">
        <v>0</v>
      </c>
      <c r="AC16" s="81">
        <v>1</v>
      </c>
      <c r="AD16" s="81">
        <v>0</v>
      </c>
      <c r="AE16" s="81">
        <v>1</v>
      </c>
      <c r="AF16" s="81">
        <v>0</v>
      </c>
      <c r="AG16" s="81">
        <v>1</v>
      </c>
      <c r="AH16" s="81">
        <v>0</v>
      </c>
      <c r="AI16" s="81">
        <v>1</v>
      </c>
      <c r="AJ16" s="81">
        <v>1</v>
      </c>
      <c r="AK16" s="81">
        <v>0</v>
      </c>
      <c r="AL16" s="81">
        <v>0</v>
      </c>
      <c r="AM16" s="81">
        <v>1</v>
      </c>
      <c r="AN16" s="81">
        <v>1</v>
      </c>
      <c r="AO16" s="81">
        <v>0</v>
      </c>
      <c r="AP16" s="81">
        <v>0</v>
      </c>
      <c r="AQ16" s="81">
        <v>0</v>
      </c>
      <c r="AR16" s="81">
        <v>0</v>
      </c>
      <c r="AS16" s="81">
        <v>0</v>
      </c>
      <c r="AT16" s="81">
        <v>0</v>
      </c>
      <c r="AU16" s="81">
        <v>0</v>
      </c>
      <c r="AV16" s="81">
        <v>0</v>
      </c>
      <c r="AW16" s="81">
        <v>0</v>
      </c>
      <c r="AX16" s="81">
        <v>1</v>
      </c>
      <c r="AY16" s="81">
        <v>0</v>
      </c>
      <c r="AZ16" s="81">
        <v>0</v>
      </c>
      <c r="BA16" s="81">
        <v>1</v>
      </c>
      <c r="BB16" s="81">
        <v>3</v>
      </c>
      <c r="BC16" s="81">
        <v>3</v>
      </c>
      <c r="BD16" s="81">
        <v>2</v>
      </c>
      <c r="BE16" s="81">
        <v>2</v>
      </c>
      <c r="BF16" s="81">
        <v>3</v>
      </c>
      <c r="BG16" s="81">
        <v>2</v>
      </c>
      <c r="BH16" s="81">
        <v>2</v>
      </c>
      <c r="BI16" s="81">
        <v>2</v>
      </c>
      <c r="BJ16" s="81">
        <v>2</v>
      </c>
      <c r="BK16" s="81">
        <v>2</v>
      </c>
      <c r="BL16" s="81">
        <v>2</v>
      </c>
      <c r="BM16" s="81">
        <v>1</v>
      </c>
      <c r="BN16" s="81">
        <v>3</v>
      </c>
      <c r="BO16" s="81">
        <v>3</v>
      </c>
      <c r="BP16" s="81">
        <v>3</v>
      </c>
      <c r="BQ16" s="81">
        <v>2</v>
      </c>
      <c r="BR16" s="81">
        <v>2</v>
      </c>
      <c r="BS16" s="81">
        <v>2</v>
      </c>
      <c r="BT16" s="81">
        <v>3</v>
      </c>
      <c r="BU16" s="81">
        <v>0</v>
      </c>
      <c r="BV16" s="81">
        <v>1</v>
      </c>
      <c r="BW16" s="81">
        <v>0</v>
      </c>
      <c r="BX16" s="81">
        <v>0</v>
      </c>
      <c r="BY16" s="81">
        <v>0</v>
      </c>
      <c r="BZ16" s="81">
        <v>1</v>
      </c>
      <c r="CA16" s="81">
        <v>0</v>
      </c>
      <c r="CB16" s="81">
        <v>2</v>
      </c>
      <c r="CC16" s="81">
        <v>2</v>
      </c>
      <c r="CD16" s="81">
        <v>2</v>
      </c>
      <c r="CE16" s="81">
        <v>3</v>
      </c>
      <c r="CF16" s="81">
        <v>3</v>
      </c>
      <c r="CG16" s="81">
        <v>2</v>
      </c>
      <c r="CH16" s="81">
        <v>0</v>
      </c>
      <c r="CI16" s="81">
        <v>1</v>
      </c>
      <c r="CJ16" s="81">
        <v>0</v>
      </c>
      <c r="CK16" s="81">
        <v>1</v>
      </c>
      <c r="CL16" s="81">
        <v>1</v>
      </c>
      <c r="CM16" s="81">
        <v>0</v>
      </c>
      <c r="CN16" s="81">
        <v>1</v>
      </c>
      <c r="CO16" s="81" t="s">
        <v>531</v>
      </c>
    </row>
    <row r="17" spans="1:93" ht="11.55" customHeight="1" x14ac:dyDescent="0.3">
      <c r="A17" s="81" t="s">
        <v>532</v>
      </c>
      <c r="B17" s="81" t="s">
        <v>533</v>
      </c>
      <c r="C17" s="81" t="s">
        <v>393</v>
      </c>
      <c r="D17" s="94">
        <v>25</v>
      </c>
      <c r="E17" s="81">
        <v>0</v>
      </c>
      <c r="F17" s="81">
        <v>1</v>
      </c>
      <c r="G17" s="81">
        <v>0</v>
      </c>
      <c r="H17" s="81">
        <v>0</v>
      </c>
      <c r="I17" s="81">
        <v>0</v>
      </c>
      <c r="J17" s="81">
        <v>0</v>
      </c>
      <c r="K17" s="81">
        <v>0</v>
      </c>
      <c r="L17" s="81">
        <v>1</v>
      </c>
      <c r="M17" s="81">
        <v>0</v>
      </c>
      <c r="N17" s="81">
        <v>0</v>
      </c>
      <c r="O17" s="81">
        <v>0</v>
      </c>
      <c r="P17" s="81">
        <v>0</v>
      </c>
      <c r="Q17" s="81">
        <v>0</v>
      </c>
      <c r="R17" s="81">
        <v>0</v>
      </c>
      <c r="S17" s="81">
        <v>0</v>
      </c>
      <c r="T17" s="81">
        <v>0</v>
      </c>
      <c r="U17" s="81">
        <v>0</v>
      </c>
      <c r="V17" s="81">
        <v>0</v>
      </c>
      <c r="W17" s="81">
        <v>0</v>
      </c>
      <c r="X17" s="81">
        <v>0</v>
      </c>
      <c r="Y17" s="81">
        <v>1</v>
      </c>
      <c r="Z17" s="81">
        <v>0</v>
      </c>
      <c r="AA17" s="81">
        <v>1</v>
      </c>
      <c r="AB17" s="81">
        <v>0</v>
      </c>
      <c r="AC17" s="81">
        <v>1</v>
      </c>
      <c r="AD17" s="81">
        <v>0</v>
      </c>
      <c r="AE17" s="81">
        <v>1</v>
      </c>
      <c r="AF17" s="81">
        <v>0</v>
      </c>
      <c r="AG17" s="81">
        <v>1</v>
      </c>
      <c r="AH17" s="81">
        <v>0</v>
      </c>
      <c r="AI17" s="81">
        <v>1</v>
      </c>
      <c r="AJ17" s="81">
        <v>1</v>
      </c>
      <c r="AK17" s="81">
        <v>0</v>
      </c>
      <c r="AL17" s="81">
        <v>0</v>
      </c>
      <c r="AM17" s="81">
        <v>1</v>
      </c>
      <c r="AN17" s="81">
        <v>1</v>
      </c>
      <c r="AO17" s="81">
        <v>0</v>
      </c>
      <c r="AP17" s="81">
        <v>0</v>
      </c>
      <c r="AQ17" s="81">
        <v>0</v>
      </c>
      <c r="AR17" s="81">
        <v>0</v>
      </c>
      <c r="AS17" s="81">
        <v>0</v>
      </c>
      <c r="AT17" s="81">
        <v>0</v>
      </c>
      <c r="AU17" s="81">
        <v>0</v>
      </c>
      <c r="AV17" s="81">
        <v>0</v>
      </c>
      <c r="AW17" s="81">
        <v>0</v>
      </c>
      <c r="AX17" s="81">
        <v>1</v>
      </c>
      <c r="AY17" s="81">
        <v>0</v>
      </c>
      <c r="AZ17" s="81">
        <v>0</v>
      </c>
      <c r="BA17" s="81">
        <v>1</v>
      </c>
      <c r="BB17" s="81">
        <v>3</v>
      </c>
      <c r="BC17" s="81">
        <v>3</v>
      </c>
      <c r="BD17" s="81">
        <v>2</v>
      </c>
      <c r="BE17" s="81">
        <v>2</v>
      </c>
      <c r="BF17" s="81">
        <v>3</v>
      </c>
      <c r="BG17" s="81">
        <v>2</v>
      </c>
      <c r="BH17" s="81">
        <v>2</v>
      </c>
      <c r="BI17" s="81">
        <v>2</v>
      </c>
      <c r="BJ17" s="81">
        <v>2</v>
      </c>
      <c r="BK17" s="81">
        <v>2</v>
      </c>
      <c r="BL17" s="81">
        <v>2</v>
      </c>
      <c r="BM17" s="81">
        <v>1</v>
      </c>
      <c r="BN17" s="81">
        <v>3</v>
      </c>
      <c r="BO17" s="81">
        <v>3</v>
      </c>
      <c r="BP17" s="81">
        <v>3</v>
      </c>
      <c r="BQ17" s="81">
        <v>2</v>
      </c>
      <c r="BR17" s="81">
        <v>2</v>
      </c>
      <c r="BS17" s="81">
        <v>2</v>
      </c>
      <c r="BT17" s="81">
        <v>3</v>
      </c>
      <c r="BU17" s="81">
        <v>0</v>
      </c>
      <c r="BV17" s="81">
        <v>1</v>
      </c>
      <c r="BW17" s="81">
        <v>0</v>
      </c>
      <c r="BX17" s="81">
        <v>0</v>
      </c>
      <c r="BY17" s="81">
        <v>0</v>
      </c>
      <c r="BZ17" s="81">
        <v>1</v>
      </c>
      <c r="CA17" s="81">
        <v>0</v>
      </c>
      <c r="CB17" s="81">
        <v>2</v>
      </c>
      <c r="CC17" s="81">
        <v>2</v>
      </c>
      <c r="CD17" s="81">
        <v>2</v>
      </c>
      <c r="CE17" s="81">
        <v>3</v>
      </c>
      <c r="CF17" s="81">
        <v>3</v>
      </c>
      <c r="CG17" s="81">
        <v>2</v>
      </c>
      <c r="CH17" s="81">
        <v>0</v>
      </c>
      <c r="CI17" s="81">
        <v>1</v>
      </c>
      <c r="CJ17" s="81">
        <v>0</v>
      </c>
      <c r="CK17" s="81">
        <v>1</v>
      </c>
      <c r="CL17" s="81">
        <v>1</v>
      </c>
      <c r="CM17" s="81">
        <v>0</v>
      </c>
      <c r="CN17" s="81">
        <v>1</v>
      </c>
      <c r="CO17" s="81" t="s">
        <v>531</v>
      </c>
    </row>
    <row r="18" spans="1:93" ht="11.55" customHeight="1" x14ac:dyDescent="0.3">
      <c r="A18" s="81" t="s">
        <v>534</v>
      </c>
      <c r="B18" s="81" t="s">
        <v>535</v>
      </c>
      <c r="C18" s="81" t="s">
        <v>393</v>
      </c>
      <c r="D18" s="94">
        <v>25</v>
      </c>
      <c r="E18" s="81">
        <v>0</v>
      </c>
      <c r="F18" s="81">
        <v>1</v>
      </c>
      <c r="G18" s="81">
        <v>0</v>
      </c>
      <c r="H18" s="81">
        <v>0</v>
      </c>
      <c r="I18" s="81">
        <v>0</v>
      </c>
      <c r="J18" s="81">
        <v>0</v>
      </c>
      <c r="K18" s="81">
        <v>0</v>
      </c>
      <c r="L18" s="81">
        <v>1</v>
      </c>
      <c r="M18" s="81">
        <v>0</v>
      </c>
      <c r="N18" s="81">
        <v>0</v>
      </c>
      <c r="O18" s="81">
        <v>0</v>
      </c>
      <c r="P18" s="81">
        <v>0</v>
      </c>
      <c r="Q18" s="81">
        <v>0</v>
      </c>
      <c r="R18" s="81">
        <v>0</v>
      </c>
      <c r="S18" s="81">
        <v>0</v>
      </c>
      <c r="T18" s="81">
        <v>0</v>
      </c>
      <c r="U18" s="81">
        <v>0</v>
      </c>
      <c r="V18" s="81">
        <v>0</v>
      </c>
      <c r="W18" s="81">
        <v>0</v>
      </c>
      <c r="X18" s="81">
        <v>0</v>
      </c>
      <c r="Y18" s="81">
        <v>1</v>
      </c>
      <c r="Z18" s="81">
        <v>0</v>
      </c>
      <c r="AA18" s="81">
        <v>1</v>
      </c>
      <c r="AB18" s="81">
        <v>0</v>
      </c>
      <c r="AC18" s="81">
        <v>1</v>
      </c>
      <c r="AD18" s="81">
        <v>0</v>
      </c>
      <c r="AE18" s="81">
        <v>1</v>
      </c>
      <c r="AF18" s="81">
        <v>0</v>
      </c>
      <c r="AG18" s="81">
        <v>1</v>
      </c>
      <c r="AH18" s="81">
        <v>0</v>
      </c>
      <c r="AI18" s="81">
        <v>1</v>
      </c>
      <c r="AJ18" s="81">
        <v>1</v>
      </c>
      <c r="AK18" s="81">
        <v>0</v>
      </c>
      <c r="AL18" s="81">
        <v>0</v>
      </c>
      <c r="AM18" s="81">
        <v>1</v>
      </c>
      <c r="AN18" s="81">
        <v>1</v>
      </c>
      <c r="AO18" s="81">
        <v>0</v>
      </c>
      <c r="AP18" s="81">
        <v>0</v>
      </c>
      <c r="AQ18" s="81">
        <v>0</v>
      </c>
      <c r="AR18" s="81">
        <v>0</v>
      </c>
      <c r="AS18" s="81">
        <v>0</v>
      </c>
      <c r="AT18" s="81">
        <v>0</v>
      </c>
      <c r="AU18" s="81">
        <v>0</v>
      </c>
      <c r="AV18" s="81">
        <v>0</v>
      </c>
      <c r="AW18" s="81">
        <v>0</v>
      </c>
      <c r="AX18" s="81">
        <v>1</v>
      </c>
      <c r="AY18" s="81">
        <v>0</v>
      </c>
      <c r="AZ18" s="81">
        <v>0</v>
      </c>
      <c r="BA18" s="81">
        <v>1</v>
      </c>
      <c r="BB18" s="81">
        <v>3</v>
      </c>
      <c r="BC18" s="81">
        <v>3</v>
      </c>
      <c r="BD18" s="81">
        <v>2</v>
      </c>
      <c r="BE18" s="81">
        <v>2</v>
      </c>
      <c r="BF18" s="81">
        <v>3</v>
      </c>
      <c r="BG18" s="81">
        <v>2</v>
      </c>
      <c r="BH18" s="81">
        <v>2</v>
      </c>
      <c r="BI18" s="81">
        <v>2</v>
      </c>
      <c r="BJ18" s="81">
        <v>2</v>
      </c>
      <c r="BK18" s="81">
        <v>2</v>
      </c>
      <c r="BL18" s="81">
        <v>2</v>
      </c>
      <c r="BM18" s="81">
        <v>1</v>
      </c>
      <c r="BN18" s="81">
        <v>3</v>
      </c>
      <c r="BO18" s="81">
        <v>3</v>
      </c>
      <c r="BP18" s="81">
        <v>3</v>
      </c>
      <c r="BQ18" s="81">
        <v>2</v>
      </c>
      <c r="BR18" s="81">
        <v>2</v>
      </c>
      <c r="BS18" s="81">
        <v>2</v>
      </c>
      <c r="BT18" s="81">
        <v>3</v>
      </c>
      <c r="BU18" s="81">
        <v>0</v>
      </c>
      <c r="BV18" s="81">
        <v>1</v>
      </c>
      <c r="BW18" s="81">
        <v>0</v>
      </c>
      <c r="BX18" s="81">
        <v>0</v>
      </c>
      <c r="BY18" s="81">
        <v>0</v>
      </c>
      <c r="BZ18" s="81">
        <v>1</v>
      </c>
      <c r="CA18" s="81">
        <v>0</v>
      </c>
      <c r="CB18" s="81">
        <v>2</v>
      </c>
      <c r="CC18" s="81">
        <v>2</v>
      </c>
      <c r="CD18" s="81">
        <v>2</v>
      </c>
      <c r="CE18" s="81">
        <v>3</v>
      </c>
      <c r="CF18" s="81">
        <v>3</v>
      </c>
      <c r="CG18" s="81">
        <v>2</v>
      </c>
      <c r="CH18" s="81">
        <v>0</v>
      </c>
      <c r="CI18" s="81">
        <v>1</v>
      </c>
      <c r="CJ18" s="81">
        <v>0</v>
      </c>
      <c r="CK18" s="81">
        <v>1</v>
      </c>
      <c r="CL18" s="81">
        <v>1</v>
      </c>
      <c r="CM18" s="81">
        <v>0</v>
      </c>
      <c r="CN18" s="81">
        <v>1</v>
      </c>
      <c r="CO18" s="81" t="s">
        <v>531</v>
      </c>
    </row>
    <row r="19" spans="1:93" ht="11.55" customHeight="1" x14ac:dyDescent="0.3">
      <c r="A19" s="81" t="s">
        <v>536</v>
      </c>
      <c r="B19" s="81" t="s">
        <v>537</v>
      </c>
      <c r="C19" s="81" t="s">
        <v>393</v>
      </c>
      <c r="D19" s="94">
        <v>25</v>
      </c>
      <c r="E19" s="81">
        <v>0</v>
      </c>
      <c r="F19" s="81">
        <v>1</v>
      </c>
      <c r="G19" s="81">
        <v>0</v>
      </c>
      <c r="H19" s="81">
        <v>0</v>
      </c>
      <c r="I19" s="81">
        <v>0</v>
      </c>
      <c r="J19" s="81">
        <v>0</v>
      </c>
      <c r="K19" s="81">
        <v>0</v>
      </c>
      <c r="L19" s="81">
        <v>1</v>
      </c>
      <c r="M19" s="81">
        <v>0</v>
      </c>
      <c r="N19" s="81">
        <v>0</v>
      </c>
      <c r="O19" s="81">
        <v>0</v>
      </c>
      <c r="P19" s="81">
        <v>0</v>
      </c>
      <c r="Q19" s="81">
        <v>0</v>
      </c>
      <c r="R19" s="81">
        <v>0</v>
      </c>
      <c r="S19" s="81">
        <v>0</v>
      </c>
      <c r="T19" s="81">
        <v>0</v>
      </c>
      <c r="U19" s="81">
        <v>0</v>
      </c>
      <c r="V19" s="81">
        <v>0</v>
      </c>
      <c r="W19" s="81">
        <v>0</v>
      </c>
      <c r="X19" s="81">
        <v>0</v>
      </c>
      <c r="Y19" s="81">
        <v>1</v>
      </c>
      <c r="Z19" s="81">
        <v>0</v>
      </c>
      <c r="AA19" s="81">
        <v>1</v>
      </c>
      <c r="AB19" s="81">
        <v>0</v>
      </c>
      <c r="AC19" s="81">
        <v>1</v>
      </c>
      <c r="AD19" s="81">
        <v>0</v>
      </c>
      <c r="AE19" s="81">
        <v>1</v>
      </c>
      <c r="AF19" s="81">
        <v>0</v>
      </c>
      <c r="AG19" s="81">
        <v>1</v>
      </c>
      <c r="AH19" s="81">
        <v>0</v>
      </c>
      <c r="AI19" s="81">
        <v>1</v>
      </c>
      <c r="AJ19" s="81">
        <v>1</v>
      </c>
      <c r="AK19" s="81">
        <v>0</v>
      </c>
      <c r="AL19" s="81">
        <v>0</v>
      </c>
      <c r="AM19" s="81">
        <v>1</v>
      </c>
      <c r="AN19" s="81">
        <v>1</v>
      </c>
      <c r="AO19" s="81">
        <v>0</v>
      </c>
      <c r="AP19" s="81">
        <v>0</v>
      </c>
      <c r="AQ19" s="81">
        <v>0</v>
      </c>
      <c r="AR19" s="81">
        <v>0</v>
      </c>
      <c r="AS19" s="81">
        <v>0</v>
      </c>
      <c r="AT19" s="81">
        <v>0</v>
      </c>
      <c r="AU19" s="81">
        <v>0</v>
      </c>
      <c r="AV19" s="81">
        <v>0</v>
      </c>
      <c r="AW19" s="81">
        <v>0</v>
      </c>
      <c r="AX19" s="81">
        <v>1</v>
      </c>
      <c r="AY19" s="81">
        <v>0</v>
      </c>
      <c r="AZ19" s="81">
        <v>0</v>
      </c>
      <c r="BA19" s="81">
        <v>1</v>
      </c>
      <c r="BB19" s="81">
        <v>3</v>
      </c>
      <c r="BC19" s="81">
        <v>3</v>
      </c>
      <c r="BD19" s="81">
        <v>2</v>
      </c>
      <c r="BE19" s="81">
        <v>2</v>
      </c>
      <c r="BF19" s="81">
        <v>3</v>
      </c>
      <c r="BG19" s="81">
        <v>2</v>
      </c>
      <c r="BH19" s="81">
        <v>2</v>
      </c>
      <c r="BI19" s="81">
        <v>2</v>
      </c>
      <c r="BJ19" s="81">
        <v>2</v>
      </c>
      <c r="BK19" s="81">
        <v>2</v>
      </c>
      <c r="BL19" s="81">
        <v>2</v>
      </c>
      <c r="BM19" s="81">
        <v>1</v>
      </c>
      <c r="BN19" s="81">
        <v>3</v>
      </c>
      <c r="BO19" s="81">
        <v>3</v>
      </c>
      <c r="BP19" s="81">
        <v>3</v>
      </c>
      <c r="BQ19" s="81">
        <v>2</v>
      </c>
      <c r="BR19" s="81">
        <v>2</v>
      </c>
      <c r="BS19" s="81">
        <v>2</v>
      </c>
      <c r="BT19" s="81">
        <v>3</v>
      </c>
      <c r="BU19" s="81">
        <v>0</v>
      </c>
      <c r="BV19" s="81">
        <v>1</v>
      </c>
      <c r="BW19" s="81">
        <v>0</v>
      </c>
      <c r="BX19" s="81">
        <v>0</v>
      </c>
      <c r="BY19" s="81">
        <v>0</v>
      </c>
      <c r="BZ19" s="81">
        <v>1</v>
      </c>
      <c r="CA19" s="81">
        <v>0</v>
      </c>
      <c r="CB19" s="81">
        <v>2</v>
      </c>
      <c r="CC19" s="81">
        <v>2</v>
      </c>
      <c r="CD19" s="81">
        <v>2</v>
      </c>
      <c r="CE19" s="81">
        <v>3</v>
      </c>
      <c r="CF19" s="81">
        <v>3</v>
      </c>
      <c r="CG19" s="81">
        <v>2</v>
      </c>
      <c r="CH19" s="81">
        <v>0</v>
      </c>
      <c r="CI19" s="81">
        <v>1</v>
      </c>
      <c r="CJ19" s="81">
        <v>0</v>
      </c>
      <c r="CK19" s="81">
        <v>1</v>
      </c>
      <c r="CL19" s="81">
        <v>1</v>
      </c>
      <c r="CM19" s="81">
        <v>0</v>
      </c>
      <c r="CN19" s="81">
        <v>1</v>
      </c>
      <c r="CO19" s="81" t="s">
        <v>531</v>
      </c>
    </row>
    <row r="20" spans="1:93" ht="11.55" customHeight="1" x14ac:dyDescent="0.3">
      <c r="A20" s="81" t="s">
        <v>538</v>
      </c>
      <c r="B20" s="81" t="s">
        <v>539</v>
      </c>
      <c r="C20" s="81" t="s">
        <v>393</v>
      </c>
      <c r="D20" s="94">
        <v>25</v>
      </c>
      <c r="E20" s="81">
        <v>0</v>
      </c>
      <c r="F20" s="81">
        <v>1</v>
      </c>
      <c r="G20" s="81">
        <v>0</v>
      </c>
      <c r="H20" s="81">
        <v>0</v>
      </c>
      <c r="I20" s="81">
        <v>0</v>
      </c>
      <c r="J20" s="81">
        <v>0</v>
      </c>
      <c r="K20" s="81">
        <v>0</v>
      </c>
      <c r="L20" s="81">
        <v>1</v>
      </c>
      <c r="M20" s="81">
        <v>0</v>
      </c>
      <c r="N20" s="81">
        <v>0</v>
      </c>
      <c r="O20" s="81">
        <v>0</v>
      </c>
      <c r="P20" s="81">
        <v>0</v>
      </c>
      <c r="Q20" s="81">
        <v>0</v>
      </c>
      <c r="R20" s="81">
        <v>0</v>
      </c>
      <c r="S20" s="81">
        <v>0</v>
      </c>
      <c r="T20" s="81">
        <v>0</v>
      </c>
      <c r="U20" s="81">
        <v>0</v>
      </c>
      <c r="V20" s="81">
        <v>0</v>
      </c>
      <c r="W20" s="81">
        <v>0</v>
      </c>
      <c r="X20" s="81">
        <v>0</v>
      </c>
      <c r="Y20" s="81">
        <v>1</v>
      </c>
      <c r="Z20" s="81">
        <v>0</v>
      </c>
      <c r="AA20" s="81">
        <v>1</v>
      </c>
      <c r="AB20" s="81">
        <v>0</v>
      </c>
      <c r="AC20" s="81">
        <v>1</v>
      </c>
      <c r="AD20" s="81">
        <v>0</v>
      </c>
      <c r="AE20" s="81">
        <v>1</v>
      </c>
      <c r="AF20" s="81">
        <v>0</v>
      </c>
      <c r="AG20" s="81">
        <v>1</v>
      </c>
      <c r="AH20" s="81">
        <v>0</v>
      </c>
      <c r="AI20" s="81">
        <v>1</v>
      </c>
      <c r="AJ20" s="81">
        <v>1</v>
      </c>
      <c r="AK20" s="81">
        <v>0</v>
      </c>
      <c r="AL20" s="81">
        <v>0</v>
      </c>
      <c r="AM20" s="81">
        <v>1</v>
      </c>
      <c r="AN20" s="81">
        <v>1</v>
      </c>
      <c r="AO20" s="81">
        <v>0</v>
      </c>
      <c r="AP20" s="81">
        <v>0</v>
      </c>
      <c r="AQ20" s="81">
        <v>0</v>
      </c>
      <c r="AR20" s="81">
        <v>0</v>
      </c>
      <c r="AS20" s="81">
        <v>0</v>
      </c>
      <c r="AT20" s="81">
        <v>0</v>
      </c>
      <c r="AU20" s="81">
        <v>0</v>
      </c>
      <c r="AV20" s="81">
        <v>0</v>
      </c>
      <c r="AW20" s="81">
        <v>0</v>
      </c>
      <c r="AX20" s="81">
        <v>1</v>
      </c>
      <c r="AY20" s="81">
        <v>0</v>
      </c>
      <c r="AZ20" s="81">
        <v>0</v>
      </c>
      <c r="BA20" s="81">
        <v>1</v>
      </c>
      <c r="BB20" s="81">
        <v>3</v>
      </c>
      <c r="BC20" s="81">
        <v>3</v>
      </c>
      <c r="BD20" s="81">
        <v>2</v>
      </c>
      <c r="BE20" s="81">
        <v>2</v>
      </c>
      <c r="BF20" s="81">
        <v>3</v>
      </c>
      <c r="BG20" s="81">
        <v>2</v>
      </c>
      <c r="BH20" s="81">
        <v>2</v>
      </c>
      <c r="BI20" s="81">
        <v>2</v>
      </c>
      <c r="BJ20" s="81">
        <v>2</v>
      </c>
      <c r="BK20" s="81">
        <v>2</v>
      </c>
      <c r="BL20" s="81">
        <v>2</v>
      </c>
      <c r="BM20" s="81">
        <v>1</v>
      </c>
      <c r="BN20" s="81">
        <v>3</v>
      </c>
      <c r="BO20" s="81">
        <v>3</v>
      </c>
      <c r="BP20" s="81">
        <v>3</v>
      </c>
      <c r="BQ20" s="81">
        <v>2</v>
      </c>
      <c r="BR20" s="81">
        <v>2</v>
      </c>
      <c r="BS20" s="81">
        <v>2</v>
      </c>
      <c r="BT20" s="81">
        <v>3</v>
      </c>
      <c r="BU20" s="81">
        <v>0</v>
      </c>
      <c r="BV20" s="81">
        <v>1</v>
      </c>
      <c r="BW20" s="81">
        <v>0</v>
      </c>
      <c r="BX20" s="81">
        <v>0</v>
      </c>
      <c r="BY20" s="81">
        <v>0</v>
      </c>
      <c r="BZ20" s="81">
        <v>1</v>
      </c>
      <c r="CA20" s="81">
        <v>0</v>
      </c>
      <c r="CB20" s="81">
        <v>2</v>
      </c>
      <c r="CC20" s="81">
        <v>2</v>
      </c>
      <c r="CD20" s="81">
        <v>2</v>
      </c>
      <c r="CE20" s="81">
        <v>3</v>
      </c>
      <c r="CF20" s="81">
        <v>3</v>
      </c>
      <c r="CG20" s="81">
        <v>2</v>
      </c>
      <c r="CH20" s="81">
        <v>0</v>
      </c>
      <c r="CI20" s="81">
        <v>1</v>
      </c>
      <c r="CJ20" s="81">
        <v>0</v>
      </c>
      <c r="CK20" s="81">
        <v>1</v>
      </c>
      <c r="CL20" s="81">
        <v>1</v>
      </c>
      <c r="CM20" s="81">
        <v>0</v>
      </c>
      <c r="CN20" s="81">
        <v>1</v>
      </c>
      <c r="CO20" s="81" t="s">
        <v>531</v>
      </c>
    </row>
    <row r="21" spans="1:93" ht="11.55" customHeight="1" x14ac:dyDescent="0.3">
      <c r="A21" s="81" t="s">
        <v>540</v>
      </c>
      <c r="B21" s="81" t="s">
        <v>541</v>
      </c>
      <c r="C21" s="81" t="s">
        <v>393</v>
      </c>
      <c r="D21" s="94">
        <v>25</v>
      </c>
      <c r="E21" s="81">
        <v>0</v>
      </c>
      <c r="F21" s="81">
        <v>1</v>
      </c>
      <c r="G21" s="81">
        <v>0</v>
      </c>
      <c r="H21" s="81">
        <v>0</v>
      </c>
      <c r="I21" s="81">
        <v>0</v>
      </c>
      <c r="J21" s="81">
        <v>0</v>
      </c>
      <c r="K21" s="81">
        <v>0</v>
      </c>
      <c r="L21" s="81">
        <v>1</v>
      </c>
      <c r="M21" s="81">
        <v>0</v>
      </c>
      <c r="N21" s="81">
        <v>0</v>
      </c>
      <c r="O21" s="81">
        <v>0</v>
      </c>
      <c r="P21" s="81">
        <v>0</v>
      </c>
      <c r="Q21" s="81">
        <v>0</v>
      </c>
      <c r="R21" s="81">
        <v>0</v>
      </c>
      <c r="S21" s="81">
        <v>0</v>
      </c>
      <c r="T21" s="81">
        <v>0</v>
      </c>
      <c r="U21" s="81">
        <v>0</v>
      </c>
      <c r="V21" s="81">
        <v>0</v>
      </c>
      <c r="W21" s="81">
        <v>0</v>
      </c>
      <c r="X21" s="81">
        <v>0</v>
      </c>
      <c r="Y21" s="81">
        <v>1</v>
      </c>
      <c r="Z21" s="81">
        <v>0</v>
      </c>
      <c r="AA21" s="81">
        <v>1</v>
      </c>
      <c r="AB21" s="81">
        <v>0</v>
      </c>
      <c r="AC21" s="81">
        <v>1</v>
      </c>
      <c r="AD21" s="81">
        <v>0</v>
      </c>
      <c r="AE21" s="81">
        <v>1</v>
      </c>
      <c r="AF21" s="81">
        <v>0</v>
      </c>
      <c r="AG21" s="81">
        <v>1</v>
      </c>
      <c r="AH21" s="81">
        <v>0</v>
      </c>
      <c r="AI21" s="81">
        <v>1</v>
      </c>
      <c r="AJ21" s="81">
        <v>1</v>
      </c>
      <c r="AK21" s="81">
        <v>0</v>
      </c>
      <c r="AL21" s="81">
        <v>0</v>
      </c>
      <c r="AM21" s="81">
        <v>1</v>
      </c>
      <c r="AN21" s="81">
        <v>1</v>
      </c>
      <c r="AO21" s="81">
        <v>0</v>
      </c>
      <c r="AP21" s="81">
        <v>0</v>
      </c>
      <c r="AQ21" s="81">
        <v>0</v>
      </c>
      <c r="AR21" s="81">
        <v>0</v>
      </c>
      <c r="AS21" s="81">
        <v>0</v>
      </c>
      <c r="AT21" s="81">
        <v>0</v>
      </c>
      <c r="AU21" s="81">
        <v>0</v>
      </c>
      <c r="AV21" s="81">
        <v>0</v>
      </c>
      <c r="AW21" s="81">
        <v>0</v>
      </c>
      <c r="AX21" s="81">
        <v>1</v>
      </c>
      <c r="AY21" s="81">
        <v>0</v>
      </c>
      <c r="AZ21" s="81">
        <v>0</v>
      </c>
      <c r="BA21" s="81">
        <v>1</v>
      </c>
      <c r="BB21" s="81">
        <v>3</v>
      </c>
      <c r="BC21" s="81">
        <v>3</v>
      </c>
      <c r="BD21" s="81">
        <v>2</v>
      </c>
      <c r="BE21" s="81">
        <v>2</v>
      </c>
      <c r="BF21" s="81">
        <v>3</v>
      </c>
      <c r="BG21" s="81">
        <v>2</v>
      </c>
      <c r="BH21" s="81">
        <v>2</v>
      </c>
      <c r="BI21" s="81">
        <v>2</v>
      </c>
      <c r="BJ21" s="81">
        <v>2</v>
      </c>
      <c r="BK21" s="81">
        <v>2</v>
      </c>
      <c r="BL21" s="81">
        <v>2</v>
      </c>
      <c r="BM21" s="81">
        <v>1</v>
      </c>
      <c r="BN21" s="81">
        <v>3</v>
      </c>
      <c r="BO21" s="81">
        <v>3</v>
      </c>
      <c r="BP21" s="81">
        <v>3</v>
      </c>
      <c r="BQ21" s="81">
        <v>2</v>
      </c>
      <c r="BR21" s="81">
        <v>2</v>
      </c>
      <c r="BS21" s="81">
        <v>2</v>
      </c>
      <c r="BT21" s="81">
        <v>3</v>
      </c>
      <c r="BU21" s="81">
        <v>0</v>
      </c>
      <c r="BV21" s="81">
        <v>1</v>
      </c>
      <c r="BW21" s="81">
        <v>0</v>
      </c>
      <c r="BX21" s="81">
        <v>0</v>
      </c>
      <c r="BY21" s="81">
        <v>0</v>
      </c>
      <c r="BZ21" s="81">
        <v>1</v>
      </c>
      <c r="CA21" s="81">
        <v>0</v>
      </c>
      <c r="CB21" s="81">
        <v>2</v>
      </c>
      <c r="CC21" s="81">
        <v>2</v>
      </c>
      <c r="CD21" s="81">
        <v>2</v>
      </c>
      <c r="CE21" s="81">
        <v>3</v>
      </c>
      <c r="CF21" s="81">
        <v>3</v>
      </c>
      <c r="CG21" s="81">
        <v>2</v>
      </c>
      <c r="CH21" s="81">
        <v>0</v>
      </c>
      <c r="CI21" s="81">
        <v>1</v>
      </c>
      <c r="CJ21" s="81">
        <v>0</v>
      </c>
      <c r="CK21" s="81">
        <v>1</v>
      </c>
      <c r="CL21" s="81">
        <v>1</v>
      </c>
      <c r="CM21" s="81">
        <v>0</v>
      </c>
      <c r="CN21" s="81">
        <v>1</v>
      </c>
      <c r="CO21" s="81" t="s">
        <v>531</v>
      </c>
    </row>
    <row r="22" spans="1:93" ht="11.55" customHeight="1" x14ac:dyDescent="0.3">
      <c r="A22" s="81" t="s">
        <v>542</v>
      </c>
      <c r="B22" s="81" t="s">
        <v>543</v>
      </c>
      <c r="C22" s="81" t="s">
        <v>393</v>
      </c>
      <c r="D22" s="94">
        <v>25</v>
      </c>
      <c r="E22" s="81">
        <v>0</v>
      </c>
      <c r="F22" s="81">
        <v>1</v>
      </c>
      <c r="G22" s="81">
        <v>0</v>
      </c>
      <c r="H22" s="81">
        <v>0</v>
      </c>
      <c r="I22" s="81">
        <v>0</v>
      </c>
      <c r="J22" s="81">
        <v>0</v>
      </c>
      <c r="K22" s="81">
        <v>0</v>
      </c>
      <c r="L22" s="81">
        <v>1</v>
      </c>
      <c r="M22" s="81">
        <v>0</v>
      </c>
      <c r="N22" s="81">
        <v>0</v>
      </c>
      <c r="O22" s="81">
        <v>0</v>
      </c>
      <c r="P22" s="81">
        <v>0</v>
      </c>
      <c r="Q22" s="81">
        <v>0</v>
      </c>
      <c r="R22" s="81">
        <v>0</v>
      </c>
      <c r="S22" s="81">
        <v>0</v>
      </c>
      <c r="T22" s="81">
        <v>0</v>
      </c>
      <c r="U22" s="81">
        <v>0</v>
      </c>
      <c r="V22" s="81">
        <v>0</v>
      </c>
      <c r="W22" s="81">
        <v>0</v>
      </c>
      <c r="X22" s="81">
        <v>0</v>
      </c>
      <c r="Y22" s="81">
        <v>1</v>
      </c>
      <c r="Z22" s="81">
        <v>0</v>
      </c>
      <c r="AA22" s="81">
        <v>1</v>
      </c>
      <c r="AB22" s="81">
        <v>0</v>
      </c>
      <c r="AC22" s="81">
        <v>1</v>
      </c>
      <c r="AD22" s="81">
        <v>0</v>
      </c>
      <c r="AE22" s="81">
        <v>1</v>
      </c>
      <c r="AF22" s="81">
        <v>0</v>
      </c>
      <c r="AG22" s="81">
        <v>1</v>
      </c>
      <c r="AH22" s="81">
        <v>0</v>
      </c>
      <c r="AI22" s="81">
        <v>1</v>
      </c>
      <c r="AJ22" s="81">
        <v>1</v>
      </c>
      <c r="AK22" s="81">
        <v>0</v>
      </c>
      <c r="AL22" s="81">
        <v>0</v>
      </c>
      <c r="AM22" s="81">
        <v>1</v>
      </c>
      <c r="AN22" s="81">
        <v>1</v>
      </c>
      <c r="AO22" s="81">
        <v>0</v>
      </c>
      <c r="AP22" s="81">
        <v>0</v>
      </c>
      <c r="AQ22" s="81">
        <v>0</v>
      </c>
      <c r="AR22" s="81">
        <v>0</v>
      </c>
      <c r="AS22" s="81">
        <v>0</v>
      </c>
      <c r="AT22" s="81">
        <v>0</v>
      </c>
      <c r="AU22" s="81">
        <v>0</v>
      </c>
      <c r="AV22" s="81">
        <v>0</v>
      </c>
      <c r="AW22" s="81">
        <v>0</v>
      </c>
      <c r="AX22" s="81">
        <v>1</v>
      </c>
      <c r="AY22" s="81">
        <v>0</v>
      </c>
      <c r="AZ22" s="81">
        <v>0</v>
      </c>
      <c r="BA22" s="81">
        <v>1</v>
      </c>
      <c r="BB22" s="81">
        <v>3</v>
      </c>
      <c r="BC22" s="81">
        <v>3</v>
      </c>
      <c r="BD22" s="81">
        <v>2</v>
      </c>
      <c r="BE22" s="81">
        <v>2</v>
      </c>
      <c r="BF22" s="81">
        <v>3</v>
      </c>
      <c r="BG22" s="81">
        <v>2</v>
      </c>
      <c r="BH22" s="81">
        <v>2</v>
      </c>
      <c r="BI22" s="81">
        <v>2</v>
      </c>
      <c r="BJ22" s="81">
        <v>2</v>
      </c>
      <c r="BK22" s="81">
        <v>2</v>
      </c>
      <c r="BL22" s="81">
        <v>2</v>
      </c>
      <c r="BM22" s="81">
        <v>1</v>
      </c>
      <c r="BN22" s="81">
        <v>3</v>
      </c>
      <c r="BO22" s="81">
        <v>3</v>
      </c>
      <c r="BP22" s="81">
        <v>3</v>
      </c>
      <c r="BQ22" s="81">
        <v>2</v>
      </c>
      <c r="BR22" s="81">
        <v>2</v>
      </c>
      <c r="BS22" s="81">
        <v>2</v>
      </c>
      <c r="BT22" s="81">
        <v>3</v>
      </c>
      <c r="BU22" s="81">
        <v>0</v>
      </c>
      <c r="BV22" s="81">
        <v>1</v>
      </c>
      <c r="BW22" s="81">
        <v>0</v>
      </c>
      <c r="BX22" s="81">
        <v>0</v>
      </c>
      <c r="BY22" s="81">
        <v>0</v>
      </c>
      <c r="BZ22" s="81">
        <v>1</v>
      </c>
      <c r="CA22" s="81">
        <v>0</v>
      </c>
      <c r="CB22" s="81">
        <v>2</v>
      </c>
      <c r="CC22" s="81">
        <v>2</v>
      </c>
      <c r="CD22" s="81">
        <v>2</v>
      </c>
      <c r="CE22" s="81">
        <v>3</v>
      </c>
      <c r="CF22" s="81">
        <v>3</v>
      </c>
      <c r="CG22" s="81">
        <v>2</v>
      </c>
      <c r="CH22" s="81">
        <v>0</v>
      </c>
      <c r="CI22" s="81">
        <v>1</v>
      </c>
      <c r="CJ22" s="81">
        <v>0</v>
      </c>
      <c r="CK22" s="81">
        <v>1</v>
      </c>
      <c r="CL22" s="81">
        <v>1</v>
      </c>
      <c r="CM22" s="81">
        <v>0</v>
      </c>
      <c r="CN22" s="81">
        <v>1</v>
      </c>
      <c r="CO22" s="81" t="s">
        <v>531</v>
      </c>
    </row>
    <row r="23" spans="1:93" ht="11.55" customHeight="1" x14ac:dyDescent="0.3">
      <c r="A23" s="81" t="s">
        <v>544</v>
      </c>
      <c r="B23" s="81" t="s">
        <v>545</v>
      </c>
      <c r="C23" s="81" t="s">
        <v>393</v>
      </c>
      <c r="D23" s="94">
        <v>25</v>
      </c>
      <c r="E23" s="81">
        <v>0</v>
      </c>
      <c r="F23" s="81">
        <v>1</v>
      </c>
      <c r="G23" s="81">
        <v>0</v>
      </c>
      <c r="H23" s="81">
        <v>0</v>
      </c>
      <c r="I23" s="81">
        <v>0</v>
      </c>
      <c r="J23" s="81">
        <v>0</v>
      </c>
      <c r="K23" s="81">
        <v>0</v>
      </c>
      <c r="L23" s="81">
        <v>1</v>
      </c>
      <c r="M23" s="81">
        <v>0</v>
      </c>
      <c r="N23" s="81">
        <v>0</v>
      </c>
      <c r="O23" s="81">
        <v>0</v>
      </c>
      <c r="P23" s="81">
        <v>0</v>
      </c>
      <c r="Q23" s="81">
        <v>0</v>
      </c>
      <c r="R23" s="81">
        <v>0</v>
      </c>
      <c r="S23" s="81">
        <v>0</v>
      </c>
      <c r="T23" s="81">
        <v>0</v>
      </c>
      <c r="U23" s="81">
        <v>0</v>
      </c>
      <c r="V23" s="81">
        <v>0</v>
      </c>
      <c r="W23" s="81">
        <v>0</v>
      </c>
      <c r="X23" s="81">
        <v>0</v>
      </c>
      <c r="Y23" s="81">
        <v>1</v>
      </c>
      <c r="Z23" s="81">
        <v>0</v>
      </c>
      <c r="AA23" s="81">
        <v>1</v>
      </c>
      <c r="AB23" s="81">
        <v>0</v>
      </c>
      <c r="AC23" s="81">
        <v>1</v>
      </c>
      <c r="AD23" s="81">
        <v>0</v>
      </c>
      <c r="AE23" s="81">
        <v>1</v>
      </c>
      <c r="AF23" s="81">
        <v>0</v>
      </c>
      <c r="AG23" s="81">
        <v>1</v>
      </c>
      <c r="AH23" s="81">
        <v>0</v>
      </c>
      <c r="AI23" s="81">
        <v>1</v>
      </c>
      <c r="AJ23" s="81">
        <v>1</v>
      </c>
      <c r="AK23" s="81">
        <v>0</v>
      </c>
      <c r="AL23" s="81">
        <v>0</v>
      </c>
      <c r="AM23" s="81">
        <v>1</v>
      </c>
      <c r="AN23" s="81">
        <v>1</v>
      </c>
      <c r="AO23" s="81">
        <v>0</v>
      </c>
      <c r="AP23" s="81">
        <v>0</v>
      </c>
      <c r="AQ23" s="81">
        <v>0</v>
      </c>
      <c r="AR23" s="81">
        <v>0</v>
      </c>
      <c r="AS23" s="81">
        <v>0</v>
      </c>
      <c r="AT23" s="81">
        <v>0</v>
      </c>
      <c r="AU23" s="81">
        <v>0</v>
      </c>
      <c r="AV23" s="81">
        <v>0</v>
      </c>
      <c r="AW23" s="81">
        <v>0</v>
      </c>
      <c r="AX23" s="81">
        <v>1</v>
      </c>
      <c r="AY23" s="81">
        <v>0</v>
      </c>
      <c r="AZ23" s="81">
        <v>0</v>
      </c>
      <c r="BA23" s="81">
        <v>1</v>
      </c>
      <c r="BB23" s="81">
        <v>3</v>
      </c>
      <c r="BC23" s="81">
        <v>3</v>
      </c>
      <c r="BD23" s="81">
        <v>2</v>
      </c>
      <c r="BE23" s="81">
        <v>2</v>
      </c>
      <c r="BF23" s="81">
        <v>3</v>
      </c>
      <c r="BG23" s="81">
        <v>2</v>
      </c>
      <c r="BH23" s="81">
        <v>2</v>
      </c>
      <c r="BI23" s="81">
        <v>2</v>
      </c>
      <c r="BJ23" s="81">
        <v>2</v>
      </c>
      <c r="BK23" s="81">
        <v>2</v>
      </c>
      <c r="BL23" s="81">
        <v>2</v>
      </c>
      <c r="BM23" s="81">
        <v>1</v>
      </c>
      <c r="BN23" s="81">
        <v>3</v>
      </c>
      <c r="BO23" s="81">
        <v>3</v>
      </c>
      <c r="BP23" s="81">
        <v>3</v>
      </c>
      <c r="BQ23" s="81">
        <v>2</v>
      </c>
      <c r="BR23" s="81">
        <v>2</v>
      </c>
      <c r="BS23" s="81">
        <v>2</v>
      </c>
      <c r="BT23" s="81">
        <v>3</v>
      </c>
      <c r="BU23" s="81">
        <v>0</v>
      </c>
      <c r="BV23" s="81">
        <v>1</v>
      </c>
      <c r="BW23" s="81">
        <v>0</v>
      </c>
      <c r="BX23" s="81">
        <v>0</v>
      </c>
      <c r="BY23" s="81">
        <v>0</v>
      </c>
      <c r="BZ23" s="81">
        <v>1</v>
      </c>
      <c r="CA23" s="81">
        <v>0</v>
      </c>
      <c r="CB23" s="81">
        <v>2</v>
      </c>
      <c r="CC23" s="81">
        <v>2</v>
      </c>
      <c r="CD23" s="81">
        <v>2</v>
      </c>
      <c r="CE23" s="81">
        <v>3</v>
      </c>
      <c r="CF23" s="81">
        <v>3</v>
      </c>
      <c r="CG23" s="81">
        <v>2</v>
      </c>
      <c r="CH23" s="81">
        <v>0</v>
      </c>
      <c r="CI23" s="81">
        <v>1</v>
      </c>
      <c r="CJ23" s="81">
        <v>0</v>
      </c>
      <c r="CK23" s="81">
        <v>1</v>
      </c>
      <c r="CL23" s="81">
        <v>1</v>
      </c>
      <c r="CM23" s="81">
        <v>0</v>
      </c>
      <c r="CN23" s="81">
        <v>1</v>
      </c>
      <c r="CO23" s="81" t="s">
        <v>531</v>
      </c>
    </row>
    <row r="24" spans="1:93" ht="11.55" customHeight="1" x14ac:dyDescent="0.3">
      <c r="A24" s="81" t="s">
        <v>546</v>
      </c>
      <c r="B24" s="81" t="s">
        <v>547</v>
      </c>
      <c r="C24" s="81" t="s">
        <v>393</v>
      </c>
      <c r="D24" s="94">
        <v>25</v>
      </c>
      <c r="E24" s="81">
        <v>0</v>
      </c>
      <c r="F24" s="81">
        <v>1</v>
      </c>
      <c r="G24" s="81">
        <v>0</v>
      </c>
      <c r="H24" s="81">
        <v>0</v>
      </c>
      <c r="I24" s="81">
        <v>0</v>
      </c>
      <c r="J24" s="81">
        <v>0</v>
      </c>
      <c r="K24" s="81">
        <v>0</v>
      </c>
      <c r="L24" s="81">
        <v>1</v>
      </c>
      <c r="M24" s="81">
        <v>0</v>
      </c>
      <c r="N24" s="81">
        <v>0</v>
      </c>
      <c r="O24" s="81">
        <v>0</v>
      </c>
      <c r="P24" s="81">
        <v>0</v>
      </c>
      <c r="Q24" s="81">
        <v>0</v>
      </c>
      <c r="R24" s="81">
        <v>0</v>
      </c>
      <c r="S24" s="81">
        <v>0</v>
      </c>
      <c r="T24" s="81">
        <v>0</v>
      </c>
      <c r="U24" s="81">
        <v>0</v>
      </c>
      <c r="V24" s="81">
        <v>0</v>
      </c>
      <c r="W24" s="81">
        <v>0</v>
      </c>
      <c r="X24" s="81">
        <v>0</v>
      </c>
      <c r="Y24" s="81">
        <v>1</v>
      </c>
      <c r="Z24" s="81">
        <v>0</v>
      </c>
      <c r="AA24" s="81">
        <v>1</v>
      </c>
      <c r="AB24" s="81">
        <v>0</v>
      </c>
      <c r="AC24" s="81">
        <v>1</v>
      </c>
      <c r="AD24" s="81">
        <v>0</v>
      </c>
      <c r="AE24" s="81">
        <v>1</v>
      </c>
      <c r="AF24" s="81">
        <v>0</v>
      </c>
      <c r="AG24" s="81">
        <v>1</v>
      </c>
      <c r="AH24" s="81">
        <v>0</v>
      </c>
      <c r="AI24" s="81">
        <v>1</v>
      </c>
      <c r="AJ24" s="81">
        <v>1</v>
      </c>
      <c r="AK24" s="81">
        <v>0</v>
      </c>
      <c r="AL24" s="81">
        <v>0</v>
      </c>
      <c r="AM24" s="81">
        <v>1</v>
      </c>
      <c r="AN24" s="81">
        <v>1</v>
      </c>
      <c r="AO24" s="81">
        <v>0</v>
      </c>
      <c r="AP24" s="81">
        <v>0</v>
      </c>
      <c r="AQ24" s="81">
        <v>0</v>
      </c>
      <c r="AR24" s="81">
        <v>0</v>
      </c>
      <c r="AS24" s="81">
        <v>0</v>
      </c>
      <c r="AT24" s="81">
        <v>0</v>
      </c>
      <c r="AU24" s="81">
        <v>0</v>
      </c>
      <c r="AV24" s="81">
        <v>0</v>
      </c>
      <c r="AW24" s="81">
        <v>0</v>
      </c>
      <c r="AX24" s="81">
        <v>1</v>
      </c>
      <c r="AY24" s="81">
        <v>0</v>
      </c>
      <c r="AZ24" s="81">
        <v>0</v>
      </c>
      <c r="BA24" s="81">
        <v>1</v>
      </c>
      <c r="BB24" s="81">
        <v>3</v>
      </c>
      <c r="BC24" s="81">
        <v>3</v>
      </c>
      <c r="BD24" s="81">
        <v>2</v>
      </c>
      <c r="BE24" s="81">
        <v>2</v>
      </c>
      <c r="BF24" s="81">
        <v>3</v>
      </c>
      <c r="BG24" s="81">
        <v>2</v>
      </c>
      <c r="BH24" s="81">
        <v>2</v>
      </c>
      <c r="BI24" s="81">
        <v>2</v>
      </c>
      <c r="BJ24" s="81">
        <v>2</v>
      </c>
      <c r="BK24" s="81">
        <v>2</v>
      </c>
      <c r="BL24" s="81">
        <v>2</v>
      </c>
      <c r="BM24" s="81">
        <v>1</v>
      </c>
      <c r="BN24" s="81">
        <v>3</v>
      </c>
      <c r="BO24" s="81">
        <v>3</v>
      </c>
      <c r="BP24" s="81">
        <v>3</v>
      </c>
      <c r="BQ24" s="81">
        <v>2</v>
      </c>
      <c r="BR24" s="81">
        <v>2</v>
      </c>
      <c r="BS24" s="81">
        <v>2</v>
      </c>
      <c r="BT24" s="81">
        <v>3</v>
      </c>
      <c r="BU24" s="81">
        <v>0</v>
      </c>
      <c r="BV24" s="81">
        <v>1</v>
      </c>
      <c r="BW24" s="81">
        <v>0</v>
      </c>
      <c r="BX24" s="81">
        <v>0</v>
      </c>
      <c r="BY24" s="81">
        <v>0</v>
      </c>
      <c r="BZ24" s="81">
        <v>1</v>
      </c>
      <c r="CA24" s="81">
        <v>0</v>
      </c>
      <c r="CB24" s="81">
        <v>2</v>
      </c>
      <c r="CC24" s="81">
        <v>2</v>
      </c>
      <c r="CD24" s="81">
        <v>2</v>
      </c>
      <c r="CE24" s="81">
        <v>3</v>
      </c>
      <c r="CF24" s="81">
        <v>3</v>
      </c>
      <c r="CG24" s="81">
        <v>2</v>
      </c>
      <c r="CH24" s="81">
        <v>0</v>
      </c>
      <c r="CI24" s="81">
        <v>1</v>
      </c>
      <c r="CJ24" s="81">
        <v>0</v>
      </c>
      <c r="CK24" s="81">
        <v>1</v>
      </c>
      <c r="CL24" s="81">
        <v>1</v>
      </c>
      <c r="CM24" s="81">
        <v>0</v>
      </c>
      <c r="CN24" s="81">
        <v>1</v>
      </c>
      <c r="CO24" s="81" t="s">
        <v>531</v>
      </c>
    </row>
    <row r="25" spans="1:93" ht="11.55" customHeight="1" x14ac:dyDescent="0.3">
      <c r="A25" s="81" t="s">
        <v>548</v>
      </c>
      <c r="B25" s="81" t="s">
        <v>549</v>
      </c>
      <c r="C25" s="81" t="s">
        <v>393</v>
      </c>
      <c r="D25" s="94">
        <v>25</v>
      </c>
      <c r="E25" s="81">
        <v>0</v>
      </c>
      <c r="F25" s="81">
        <v>1</v>
      </c>
      <c r="G25" s="81">
        <v>0</v>
      </c>
      <c r="H25" s="81">
        <v>0</v>
      </c>
      <c r="I25" s="81">
        <v>0</v>
      </c>
      <c r="J25" s="81">
        <v>0</v>
      </c>
      <c r="K25" s="81">
        <v>0</v>
      </c>
      <c r="L25" s="81">
        <v>1</v>
      </c>
      <c r="M25" s="81">
        <v>0</v>
      </c>
      <c r="N25" s="81">
        <v>0</v>
      </c>
      <c r="O25" s="81">
        <v>0</v>
      </c>
      <c r="P25" s="81">
        <v>0</v>
      </c>
      <c r="Q25" s="81">
        <v>0</v>
      </c>
      <c r="R25" s="81">
        <v>0</v>
      </c>
      <c r="S25" s="81">
        <v>0</v>
      </c>
      <c r="T25" s="81">
        <v>0</v>
      </c>
      <c r="U25" s="81">
        <v>0</v>
      </c>
      <c r="V25" s="81">
        <v>0</v>
      </c>
      <c r="W25" s="81">
        <v>0</v>
      </c>
      <c r="X25" s="81">
        <v>0</v>
      </c>
      <c r="Y25" s="81">
        <v>1</v>
      </c>
      <c r="Z25" s="81">
        <v>0</v>
      </c>
      <c r="AA25" s="81">
        <v>1</v>
      </c>
      <c r="AB25" s="81">
        <v>0</v>
      </c>
      <c r="AC25" s="81">
        <v>1</v>
      </c>
      <c r="AD25" s="81">
        <v>0</v>
      </c>
      <c r="AE25" s="81">
        <v>1</v>
      </c>
      <c r="AF25" s="81">
        <v>0</v>
      </c>
      <c r="AG25" s="81">
        <v>1</v>
      </c>
      <c r="AH25" s="81">
        <v>0</v>
      </c>
      <c r="AI25" s="81">
        <v>1</v>
      </c>
      <c r="AJ25" s="81">
        <v>1</v>
      </c>
      <c r="AK25" s="81">
        <v>0</v>
      </c>
      <c r="AL25" s="81">
        <v>0</v>
      </c>
      <c r="AM25" s="81">
        <v>1</v>
      </c>
      <c r="AN25" s="81">
        <v>1</v>
      </c>
      <c r="AO25" s="81">
        <v>0</v>
      </c>
      <c r="AP25" s="81">
        <v>0</v>
      </c>
      <c r="AQ25" s="81">
        <v>0</v>
      </c>
      <c r="AR25" s="81">
        <v>0</v>
      </c>
      <c r="AS25" s="81">
        <v>0</v>
      </c>
      <c r="AT25" s="81">
        <v>0</v>
      </c>
      <c r="AU25" s="81">
        <v>0</v>
      </c>
      <c r="AV25" s="81">
        <v>0</v>
      </c>
      <c r="AW25" s="81">
        <v>0</v>
      </c>
      <c r="AX25" s="81">
        <v>1</v>
      </c>
      <c r="AY25" s="81">
        <v>0</v>
      </c>
      <c r="AZ25" s="81">
        <v>0</v>
      </c>
      <c r="BA25" s="81">
        <v>1</v>
      </c>
      <c r="BB25" s="81">
        <v>3</v>
      </c>
      <c r="BC25" s="81">
        <v>3</v>
      </c>
      <c r="BD25" s="81">
        <v>2</v>
      </c>
      <c r="BE25" s="81">
        <v>2</v>
      </c>
      <c r="BF25" s="81">
        <v>3</v>
      </c>
      <c r="BG25" s="81">
        <v>2</v>
      </c>
      <c r="BH25" s="81">
        <v>2</v>
      </c>
      <c r="BI25" s="81">
        <v>2</v>
      </c>
      <c r="BJ25" s="81">
        <v>2</v>
      </c>
      <c r="BK25" s="81">
        <v>2</v>
      </c>
      <c r="BL25" s="81">
        <v>2</v>
      </c>
      <c r="BM25" s="81">
        <v>1</v>
      </c>
      <c r="BN25" s="81">
        <v>3</v>
      </c>
      <c r="BO25" s="81">
        <v>3</v>
      </c>
      <c r="BP25" s="81">
        <v>3</v>
      </c>
      <c r="BQ25" s="81">
        <v>2</v>
      </c>
      <c r="BR25" s="81">
        <v>2</v>
      </c>
      <c r="BS25" s="81">
        <v>2</v>
      </c>
      <c r="BT25" s="81">
        <v>3</v>
      </c>
      <c r="BU25" s="81">
        <v>0</v>
      </c>
      <c r="BV25" s="81">
        <v>1</v>
      </c>
      <c r="BW25" s="81">
        <v>0</v>
      </c>
      <c r="BX25" s="81">
        <v>0</v>
      </c>
      <c r="BY25" s="81">
        <v>0</v>
      </c>
      <c r="BZ25" s="81">
        <v>1</v>
      </c>
      <c r="CA25" s="81">
        <v>0</v>
      </c>
      <c r="CB25" s="81">
        <v>2</v>
      </c>
      <c r="CC25" s="81">
        <v>2</v>
      </c>
      <c r="CD25" s="81">
        <v>2</v>
      </c>
      <c r="CE25" s="81">
        <v>3</v>
      </c>
      <c r="CF25" s="81">
        <v>3</v>
      </c>
      <c r="CG25" s="81">
        <v>2</v>
      </c>
      <c r="CH25" s="81">
        <v>0</v>
      </c>
      <c r="CI25" s="81">
        <v>1</v>
      </c>
      <c r="CJ25" s="81">
        <v>0</v>
      </c>
      <c r="CK25" s="81">
        <v>1</v>
      </c>
      <c r="CL25" s="81">
        <v>1</v>
      </c>
      <c r="CM25" s="81">
        <v>0</v>
      </c>
      <c r="CN25" s="81">
        <v>1</v>
      </c>
      <c r="CO25" s="81" t="s">
        <v>531</v>
      </c>
    </row>
    <row r="26" spans="1:93" ht="11.55" customHeight="1" x14ac:dyDescent="0.3">
      <c r="A26" s="81" t="s">
        <v>550</v>
      </c>
      <c r="B26" s="81" t="s">
        <v>551</v>
      </c>
      <c r="C26" s="81" t="s">
        <v>393</v>
      </c>
      <c r="D26" s="94">
        <v>25</v>
      </c>
      <c r="E26" s="81">
        <v>0</v>
      </c>
      <c r="F26" s="81">
        <v>1</v>
      </c>
      <c r="G26" s="81">
        <v>0</v>
      </c>
      <c r="H26" s="81">
        <v>0</v>
      </c>
      <c r="I26" s="81">
        <v>0</v>
      </c>
      <c r="J26" s="81">
        <v>0</v>
      </c>
      <c r="K26" s="81">
        <v>0</v>
      </c>
      <c r="L26" s="81">
        <v>1</v>
      </c>
      <c r="M26" s="81">
        <v>0</v>
      </c>
      <c r="N26" s="81">
        <v>0</v>
      </c>
      <c r="O26" s="81">
        <v>0</v>
      </c>
      <c r="P26" s="81">
        <v>0</v>
      </c>
      <c r="Q26" s="81">
        <v>0</v>
      </c>
      <c r="R26" s="81">
        <v>0</v>
      </c>
      <c r="S26" s="81">
        <v>0</v>
      </c>
      <c r="T26" s="81">
        <v>0</v>
      </c>
      <c r="U26" s="81">
        <v>0</v>
      </c>
      <c r="V26" s="81">
        <v>0</v>
      </c>
      <c r="W26" s="81">
        <v>0</v>
      </c>
      <c r="X26" s="81">
        <v>0</v>
      </c>
      <c r="Y26" s="81">
        <v>1</v>
      </c>
      <c r="Z26" s="81">
        <v>0</v>
      </c>
      <c r="AA26" s="81">
        <v>1</v>
      </c>
      <c r="AB26" s="81">
        <v>0</v>
      </c>
      <c r="AC26" s="81">
        <v>1</v>
      </c>
      <c r="AD26" s="81">
        <v>0</v>
      </c>
      <c r="AE26" s="81">
        <v>1</v>
      </c>
      <c r="AF26" s="81">
        <v>0</v>
      </c>
      <c r="AG26" s="81">
        <v>1</v>
      </c>
      <c r="AH26" s="81">
        <v>0</v>
      </c>
      <c r="AI26" s="81">
        <v>1</v>
      </c>
      <c r="AJ26" s="81">
        <v>1</v>
      </c>
      <c r="AK26" s="81">
        <v>0</v>
      </c>
      <c r="AL26" s="81">
        <v>0</v>
      </c>
      <c r="AM26" s="81">
        <v>1</v>
      </c>
      <c r="AN26" s="81">
        <v>1</v>
      </c>
      <c r="AO26" s="81">
        <v>0</v>
      </c>
      <c r="AP26" s="81">
        <v>0</v>
      </c>
      <c r="AQ26" s="81">
        <v>0</v>
      </c>
      <c r="AR26" s="81">
        <v>0</v>
      </c>
      <c r="AS26" s="81">
        <v>0</v>
      </c>
      <c r="AT26" s="81">
        <v>0</v>
      </c>
      <c r="AU26" s="81">
        <v>0</v>
      </c>
      <c r="AV26" s="81">
        <v>0</v>
      </c>
      <c r="AW26" s="81">
        <v>0</v>
      </c>
      <c r="AX26" s="81">
        <v>1</v>
      </c>
      <c r="AY26" s="81">
        <v>0</v>
      </c>
      <c r="AZ26" s="81">
        <v>0</v>
      </c>
      <c r="BA26" s="81">
        <v>1</v>
      </c>
      <c r="BB26" s="81">
        <v>3</v>
      </c>
      <c r="BC26" s="81">
        <v>3</v>
      </c>
      <c r="BD26" s="81">
        <v>2</v>
      </c>
      <c r="BE26" s="81">
        <v>2</v>
      </c>
      <c r="BF26" s="81">
        <v>3</v>
      </c>
      <c r="BG26" s="81">
        <v>2</v>
      </c>
      <c r="BH26" s="81">
        <v>2</v>
      </c>
      <c r="BI26" s="81">
        <v>2</v>
      </c>
      <c r="BJ26" s="81">
        <v>2</v>
      </c>
      <c r="BK26" s="81">
        <v>2</v>
      </c>
      <c r="BL26" s="81">
        <v>2</v>
      </c>
      <c r="BM26" s="81">
        <v>1</v>
      </c>
      <c r="BN26" s="81">
        <v>3</v>
      </c>
      <c r="BO26" s="81">
        <v>3</v>
      </c>
      <c r="BP26" s="81">
        <v>3</v>
      </c>
      <c r="BQ26" s="81">
        <v>2</v>
      </c>
      <c r="BR26" s="81">
        <v>2</v>
      </c>
      <c r="BS26" s="81">
        <v>2</v>
      </c>
      <c r="BT26" s="81">
        <v>3</v>
      </c>
      <c r="BU26" s="81">
        <v>0</v>
      </c>
      <c r="BV26" s="81">
        <v>1</v>
      </c>
      <c r="BW26" s="81">
        <v>0</v>
      </c>
      <c r="BX26" s="81">
        <v>0</v>
      </c>
      <c r="BY26" s="81">
        <v>0</v>
      </c>
      <c r="BZ26" s="81">
        <v>1</v>
      </c>
      <c r="CA26" s="81">
        <v>0</v>
      </c>
      <c r="CB26" s="81">
        <v>2</v>
      </c>
      <c r="CC26" s="81">
        <v>2</v>
      </c>
      <c r="CD26" s="81">
        <v>2</v>
      </c>
      <c r="CE26" s="81">
        <v>3</v>
      </c>
      <c r="CF26" s="81">
        <v>3</v>
      </c>
      <c r="CG26" s="81">
        <v>2</v>
      </c>
      <c r="CH26" s="81">
        <v>0</v>
      </c>
      <c r="CI26" s="81">
        <v>1</v>
      </c>
      <c r="CJ26" s="81">
        <v>0</v>
      </c>
      <c r="CK26" s="81">
        <v>1</v>
      </c>
      <c r="CL26" s="81">
        <v>1</v>
      </c>
      <c r="CM26" s="81">
        <v>0</v>
      </c>
      <c r="CN26" s="81">
        <v>1</v>
      </c>
      <c r="CO26" s="81" t="s">
        <v>531</v>
      </c>
    </row>
    <row r="27" spans="1:93" ht="11.55" customHeight="1" x14ac:dyDescent="0.3">
      <c r="A27" s="81" t="s">
        <v>552</v>
      </c>
      <c r="B27" s="81" t="s">
        <v>553</v>
      </c>
      <c r="C27" s="81" t="s">
        <v>393</v>
      </c>
      <c r="D27" s="94">
        <v>25</v>
      </c>
      <c r="E27" s="81">
        <v>0</v>
      </c>
      <c r="F27" s="81">
        <v>1</v>
      </c>
      <c r="G27" s="81">
        <v>0</v>
      </c>
      <c r="H27" s="81">
        <v>0</v>
      </c>
      <c r="I27" s="81">
        <v>0</v>
      </c>
      <c r="J27" s="81">
        <v>0</v>
      </c>
      <c r="K27" s="81">
        <v>0</v>
      </c>
      <c r="L27" s="81">
        <v>1</v>
      </c>
      <c r="M27" s="81">
        <v>0</v>
      </c>
      <c r="N27" s="81">
        <v>0</v>
      </c>
      <c r="O27" s="81">
        <v>0</v>
      </c>
      <c r="P27" s="81">
        <v>0</v>
      </c>
      <c r="Q27" s="81">
        <v>0</v>
      </c>
      <c r="R27" s="81">
        <v>0</v>
      </c>
      <c r="S27" s="81">
        <v>0</v>
      </c>
      <c r="T27" s="81">
        <v>0</v>
      </c>
      <c r="U27" s="81">
        <v>0</v>
      </c>
      <c r="V27" s="81">
        <v>0</v>
      </c>
      <c r="W27" s="81">
        <v>0</v>
      </c>
      <c r="X27" s="81">
        <v>0</v>
      </c>
      <c r="Y27" s="81">
        <v>1</v>
      </c>
      <c r="Z27" s="81">
        <v>0</v>
      </c>
      <c r="AA27" s="81">
        <v>1</v>
      </c>
      <c r="AB27" s="81">
        <v>0</v>
      </c>
      <c r="AC27" s="81">
        <v>1</v>
      </c>
      <c r="AD27" s="81">
        <v>0</v>
      </c>
      <c r="AE27" s="81">
        <v>1</v>
      </c>
      <c r="AF27" s="81">
        <v>0</v>
      </c>
      <c r="AG27" s="81">
        <v>1</v>
      </c>
      <c r="AH27" s="81">
        <v>0</v>
      </c>
      <c r="AI27" s="81">
        <v>1</v>
      </c>
      <c r="AJ27" s="81">
        <v>1</v>
      </c>
      <c r="AK27" s="81">
        <v>0</v>
      </c>
      <c r="AL27" s="81">
        <v>0</v>
      </c>
      <c r="AM27" s="81">
        <v>1</v>
      </c>
      <c r="AN27" s="81">
        <v>1</v>
      </c>
      <c r="AO27" s="81">
        <v>0</v>
      </c>
      <c r="AP27" s="81">
        <v>0</v>
      </c>
      <c r="AQ27" s="81">
        <v>0</v>
      </c>
      <c r="AR27" s="81">
        <v>0</v>
      </c>
      <c r="AS27" s="81">
        <v>0</v>
      </c>
      <c r="AT27" s="81">
        <v>0</v>
      </c>
      <c r="AU27" s="81">
        <v>0</v>
      </c>
      <c r="AV27" s="81">
        <v>0</v>
      </c>
      <c r="AW27" s="81">
        <v>0</v>
      </c>
      <c r="AX27" s="81">
        <v>1</v>
      </c>
      <c r="AY27" s="81">
        <v>0</v>
      </c>
      <c r="AZ27" s="81">
        <v>0</v>
      </c>
      <c r="BA27" s="81">
        <v>1</v>
      </c>
      <c r="BB27" s="81">
        <v>3</v>
      </c>
      <c r="BC27" s="81">
        <v>3</v>
      </c>
      <c r="BD27" s="81">
        <v>2</v>
      </c>
      <c r="BE27" s="81">
        <v>2</v>
      </c>
      <c r="BF27" s="81">
        <v>3</v>
      </c>
      <c r="BG27" s="81">
        <v>2</v>
      </c>
      <c r="BH27" s="81">
        <v>2</v>
      </c>
      <c r="BI27" s="81">
        <v>2</v>
      </c>
      <c r="BJ27" s="81">
        <v>2</v>
      </c>
      <c r="BK27" s="81">
        <v>2</v>
      </c>
      <c r="BL27" s="81">
        <v>2</v>
      </c>
      <c r="BM27" s="81">
        <v>1</v>
      </c>
      <c r="BN27" s="81">
        <v>3</v>
      </c>
      <c r="BO27" s="81">
        <v>3</v>
      </c>
      <c r="BP27" s="81">
        <v>3</v>
      </c>
      <c r="BQ27" s="81">
        <v>2</v>
      </c>
      <c r="BR27" s="81">
        <v>2</v>
      </c>
      <c r="BS27" s="81">
        <v>2</v>
      </c>
      <c r="BT27" s="81">
        <v>3</v>
      </c>
      <c r="BU27" s="81">
        <v>0</v>
      </c>
      <c r="BV27" s="81">
        <v>1</v>
      </c>
      <c r="BW27" s="81">
        <v>0</v>
      </c>
      <c r="BX27" s="81">
        <v>0</v>
      </c>
      <c r="BY27" s="81">
        <v>0</v>
      </c>
      <c r="BZ27" s="81">
        <v>1</v>
      </c>
      <c r="CA27" s="81">
        <v>0</v>
      </c>
      <c r="CB27" s="81">
        <v>2</v>
      </c>
      <c r="CC27" s="81">
        <v>2</v>
      </c>
      <c r="CD27" s="81">
        <v>2</v>
      </c>
      <c r="CE27" s="81">
        <v>3</v>
      </c>
      <c r="CF27" s="81">
        <v>3</v>
      </c>
      <c r="CG27" s="81">
        <v>2</v>
      </c>
      <c r="CH27" s="81">
        <v>0</v>
      </c>
      <c r="CI27" s="81">
        <v>1</v>
      </c>
      <c r="CJ27" s="81">
        <v>0</v>
      </c>
      <c r="CK27" s="81">
        <v>1</v>
      </c>
      <c r="CL27" s="81">
        <v>1</v>
      </c>
      <c r="CM27" s="81">
        <v>0</v>
      </c>
      <c r="CN27" s="81">
        <v>1</v>
      </c>
      <c r="CO27" s="81" t="s">
        <v>531</v>
      </c>
    </row>
    <row r="28" spans="1:93" ht="11.55" customHeight="1" x14ac:dyDescent="0.3">
      <c r="A28" s="81" t="s">
        <v>554</v>
      </c>
      <c r="B28" s="81" t="s">
        <v>555</v>
      </c>
      <c r="C28" s="81" t="s">
        <v>393</v>
      </c>
      <c r="D28" s="94">
        <v>25</v>
      </c>
      <c r="E28" s="81">
        <v>0</v>
      </c>
      <c r="F28" s="81">
        <v>1</v>
      </c>
      <c r="G28" s="81">
        <v>0</v>
      </c>
      <c r="H28" s="81">
        <v>0</v>
      </c>
      <c r="I28" s="81">
        <v>0</v>
      </c>
      <c r="J28" s="81">
        <v>0</v>
      </c>
      <c r="K28" s="81">
        <v>0</v>
      </c>
      <c r="L28" s="81">
        <v>1</v>
      </c>
      <c r="M28" s="81">
        <v>0</v>
      </c>
      <c r="N28" s="81">
        <v>0</v>
      </c>
      <c r="O28" s="81">
        <v>0</v>
      </c>
      <c r="P28" s="81">
        <v>0</v>
      </c>
      <c r="Q28" s="81">
        <v>0</v>
      </c>
      <c r="R28" s="81">
        <v>0</v>
      </c>
      <c r="S28" s="81">
        <v>0</v>
      </c>
      <c r="T28" s="81">
        <v>0</v>
      </c>
      <c r="U28" s="81">
        <v>0</v>
      </c>
      <c r="V28" s="81">
        <v>0</v>
      </c>
      <c r="W28" s="81">
        <v>0</v>
      </c>
      <c r="X28" s="81">
        <v>0</v>
      </c>
      <c r="Y28" s="81">
        <v>1</v>
      </c>
      <c r="Z28" s="81">
        <v>0</v>
      </c>
      <c r="AA28" s="81">
        <v>1</v>
      </c>
      <c r="AB28" s="81">
        <v>0</v>
      </c>
      <c r="AC28" s="81">
        <v>1</v>
      </c>
      <c r="AD28" s="81">
        <v>0</v>
      </c>
      <c r="AE28" s="81">
        <v>1</v>
      </c>
      <c r="AF28" s="81">
        <v>0</v>
      </c>
      <c r="AG28" s="81">
        <v>1</v>
      </c>
      <c r="AH28" s="81">
        <v>0</v>
      </c>
      <c r="AI28" s="81">
        <v>1</v>
      </c>
      <c r="AJ28" s="81">
        <v>1</v>
      </c>
      <c r="AK28" s="81">
        <v>0</v>
      </c>
      <c r="AL28" s="81">
        <v>0</v>
      </c>
      <c r="AM28" s="81">
        <v>1</v>
      </c>
      <c r="AN28" s="81">
        <v>1</v>
      </c>
      <c r="AO28" s="81">
        <v>0</v>
      </c>
      <c r="AP28" s="81">
        <v>0</v>
      </c>
      <c r="AQ28" s="81">
        <v>0</v>
      </c>
      <c r="AR28" s="81">
        <v>0</v>
      </c>
      <c r="AS28" s="81">
        <v>0</v>
      </c>
      <c r="AT28" s="81">
        <v>0</v>
      </c>
      <c r="AU28" s="81">
        <v>0</v>
      </c>
      <c r="AV28" s="81">
        <v>0</v>
      </c>
      <c r="AW28" s="81">
        <v>0</v>
      </c>
      <c r="AX28" s="81">
        <v>1</v>
      </c>
      <c r="AY28" s="81">
        <v>0</v>
      </c>
      <c r="AZ28" s="81">
        <v>0</v>
      </c>
      <c r="BA28" s="81">
        <v>1</v>
      </c>
      <c r="BB28" s="81">
        <v>3</v>
      </c>
      <c r="BC28" s="81">
        <v>3</v>
      </c>
      <c r="BD28" s="81">
        <v>2</v>
      </c>
      <c r="BE28" s="81">
        <v>2</v>
      </c>
      <c r="BF28" s="81">
        <v>3</v>
      </c>
      <c r="BG28" s="81">
        <v>2</v>
      </c>
      <c r="BH28" s="81">
        <v>2</v>
      </c>
      <c r="BI28" s="81">
        <v>2</v>
      </c>
      <c r="BJ28" s="81">
        <v>2</v>
      </c>
      <c r="BK28" s="81">
        <v>2</v>
      </c>
      <c r="BL28" s="81">
        <v>2</v>
      </c>
      <c r="BM28" s="81">
        <v>1</v>
      </c>
      <c r="BN28" s="81">
        <v>3</v>
      </c>
      <c r="BO28" s="81">
        <v>3</v>
      </c>
      <c r="BP28" s="81">
        <v>3</v>
      </c>
      <c r="BQ28" s="81">
        <v>2</v>
      </c>
      <c r="BR28" s="81">
        <v>2</v>
      </c>
      <c r="BS28" s="81">
        <v>2</v>
      </c>
      <c r="BT28" s="81">
        <v>3</v>
      </c>
      <c r="BU28" s="81">
        <v>0</v>
      </c>
      <c r="BV28" s="81">
        <v>1</v>
      </c>
      <c r="BW28" s="81">
        <v>0</v>
      </c>
      <c r="BX28" s="81">
        <v>0</v>
      </c>
      <c r="BY28" s="81">
        <v>0</v>
      </c>
      <c r="BZ28" s="81">
        <v>1</v>
      </c>
      <c r="CA28" s="81">
        <v>0</v>
      </c>
      <c r="CB28" s="81">
        <v>2</v>
      </c>
      <c r="CC28" s="81">
        <v>2</v>
      </c>
      <c r="CD28" s="81">
        <v>2</v>
      </c>
      <c r="CE28" s="81">
        <v>3</v>
      </c>
      <c r="CF28" s="81">
        <v>3</v>
      </c>
      <c r="CG28" s="81">
        <v>2</v>
      </c>
      <c r="CH28" s="81">
        <v>0</v>
      </c>
      <c r="CI28" s="81">
        <v>1</v>
      </c>
      <c r="CJ28" s="81">
        <v>0</v>
      </c>
      <c r="CK28" s="81">
        <v>1</v>
      </c>
      <c r="CL28" s="81">
        <v>1</v>
      </c>
      <c r="CM28" s="81">
        <v>0</v>
      </c>
      <c r="CN28" s="81">
        <v>1</v>
      </c>
      <c r="CO28" s="81" t="s">
        <v>531</v>
      </c>
    </row>
    <row r="29" spans="1:93" ht="11.55" customHeight="1" x14ac:dyDescent="0.3">
      <c r="A29" s="81" t="s">
        <v>556</v>
      </c>
      <c r="B29" s="81" t="s">
        <v>557</v>
      </c>
      <c r="C29" s="81" t="s">
        <v>393</v>
      </c>
      <c r="D29" s="94">
        <v>25</v>
      </c>
      <c r="E29" s="81">
        <v>0</v>
      </c>
      <c r="F29" s="81">
        <v>1</v>
      </c>
      <c r="G29" s="81">
        <v>0</v>
      </c>
      <c r="H29" s="81">
        <v>0</v>
      </c>
      <c r="I29" s="81">
        <v>0</v>
      </c>
      <c r="J29" s="81">
        <v>0</v>
      </c>
      <c r="K29" s="81">
        <v>0</v>
      </c>
      <c r="L29" s="81">
        <v>1</v>
      </c>
      <c r="M29" s="81">
        <v>0</v>
      </c>
      <c r="N29" s="81">
        <v>0</v>
      </c>
      <c r="O29" s="81">
        <v>0</v>
      </c>
      <c r="P29" s="81">
        <v>0</v>
      </c>
      <c r="Q29" s="81">
        <v>0</v>
      </c>
      <c r="R29" s="81">
        <v>0</v>
      </c>
      <c r="S29" s="81">
        <v>0</v>
      </c>
      <c r="T29" s="81">
        <v>0</v>
      </c>
      <c r="U29" s="81">
        <v>0</v>
      </c>
      <c r="V29" s="81">
        <v>0</v>
      </c>
      <c r="W29" s="81">
        <v>0</v>
      </c>
      <c r="X29" s="81">
        <v>0</v>
      </c>
      <c r="Y29" s="81">
        <v>1</v>
      </c>
      <c r="Z29" s="81">
        <v>0</v>
      </c>
      <c r="AA29" s="81">
        <v>1</v>
      </c>
      <c r="AB29" s="81">
        <v>0</v>
      </c>
      <c r="AC29" s="81">
        <v>1</v>
      </c>
      <c r="AD29" s="81">
        <v>0</v>
      </c>
      <c r="AE29" s="81">
        <v>1</v>
      </c>
      <c r="AF29" s="81">
        <v>0</v>
      </c>
      <c r="AG29" s="81">
        <v>1</v>
      </c>
      <c r="AH29" s="81">
        <v>0</v>
      </c>
      <c r="AI29" s="81">
        <v>1</v>
      </c>
      <c r="AJ29" s="81">
        <v>1</v>
      </c>
      <c r="AK29" s="81">
        <v>0</v>
      </c>
      <c r="AL29" s="81">
        <v>0</v>
      </c>
      <c r="AM29" s="81">
        <v>1</v>
      </c>
      <c r="AN29" s="81">
        <v>1</v>
      </c>
      <c r="AO29" s="81">
        <v>0</v>
      </c>
      <c r="AP29" s="81">
        <v>0</v>
      </c>
      <c r="AQ29" s="81">
        <v>0</v>
      </c>
      <c r="AR29" s="81">
        <v>0</v>
      </c>
      <c r="AS29" s="81">
        <v>0</v>
      </c>
      <c r="AT29" s="81">
        <v>0</v>
      </c>
      <c r="AU29" s="81">
        <v>0</v>
      </c>
      <c r="AV29" s="81">
        <v>0</v>
      </c>
      <c r="AW29" s="81">
        <v>0</v>
      </c>
      <c r="AX29" s="81">
        <v>1</v>
      </c>
      <c r="AY29" s="81">
        <v>0</v>
      </c>
      <c r="AZ29" s="81">
        <v>0</v>
      </c>
      <c r="BA29" s="81">
        <v>1</v>
      </c>
      <c r="BB29" s="81">
        <v>3</v>
      </c>
      <c r="BC29" s="81">
        <v>3</v>
      </c>
      <c r="BD29" s="81">
        <v>2</v>
      </c>
      <c r="BE29" s="81">
        <v>2</v>
      </c>
      <c r="BF29" s="81">
        <v>3</v>
      </c>
      <c r="BG29" s="81">
        <v>2</v>
      </c>
      <c r="BH29" s="81">
        <v>2</v>
      </c>
      <c r="BI29" s="81">
        <v>2</v>
      </c>
      <c r="BJ29" s="81">
        <v>2</v>
      </c>
      <c r="BK29" s="81">
        <v>2</v>
      </c>
      <c r="BL29" s="81">
        <v>2</v>
      </c>
      <c r="BM29" s="81">
        <v>1</v>
      </c>
      <c r="BN29" s="81">
        <v>3</v>
      </c>
      <c r="BO29" s="81">
        <v>3</v>
      </c>
      <c r="BP29" s="81">
        <v>3</v>
      </c>
      <c r="BQ29" s="81">
        <v>2</v>
      </c>
      <c r="BR29" s="81">
        <v>2</v>
      </c>
      <c r="BS29" s="81">
        <v>2</v>
      </c>
      <c r="BT29" s="81">
        <v>3</v>
      </c>
      <c r="BU29" s="81">
        <v>0</v>
      </c>
      <c r="BV29" s="81">
        <v>1</v>
      </c>
      <c r="BW29" s="81">
        <v>0</v>
      </c>
      <c r="BX29" s="81">
        <v>0</v>
      </c>
      <c r="BY29" s="81">
        <v>0</v>
      </c>
      <c r="BZ29" s="81">
        <v>1</v>
      </c>
      <c r="CA29" s="81">
        <v>0</v>
      </c>
      <c r="CB29" s="81">
        <v>2</v>
      </c>
      <c r="CC29" s="81">
        <v>2</v>
      </c>
      <c r="CD29" s="81">
        <v>2</v>
      </c>
      <c r="CE29" s="81">
        <v>3</v>
      </c>
      <c r="CF29" s="81">
        <v>3</v>
      </c>
      <c r="CG29" s="81">
        <v>2</v>
      </c>
      <c r="CH29" s="81">
        <v>0</v>
      </c>
      <c r="CI29" s="81">
        <v>1</v>
      </c>
      <c r="CJ29" s="81">
        <v>0</v>
      </c>
      <c r="CK29" s="81">
        <v>1</v>
      </c>
      <c r="CL29" s="81">
        <v>1</v>
      </c>
      <c r="CM29" s="81">
        <v>0</v>
      </c>
      <c r="CN29" s="81">
        <v>1</v>
      </c>
      <c r="CO29" s="81" t="s">
        <v>531</v>
      </c>
    </row>
    <row r="30" spans="1:93" ht="11.55" customHeight="1" x14ac:dyDescent="0.3">
      <c r="A30" s="81" t="s">
        <v>558</v>
      </c>
      <c r="B30" s="81" t="s">
        <v>559</v>
      </c>
      <c r="C30" s="81" t="s">
        <v>393</v>
      </c>
      <c r="D30" s="94">
        <v>25</v>
      </c>
      <c r="E30" s="81">
        <v>0</v>
      </c>
      <c r="F30" s="81">
        <v>1</v>
      </c>
      <c r="G30" s="81">
        <v>0</v>
      </c>
      <c r="H30" s="81">
        <v>0</v>
      </c>
      <c r="I30" s="81">
        <v>0</v>
      </c>
      <c r="J30" s="81">
        <v>0</v>
      </c>
      <c r="K30" s="81">
        <v>0</v>
      </c>
      <c r="L30" s="81">
        <v>1</v>
      </c>
      <c r="M30" s="81">
        <v>0</v>
      </c>
      <c r="N30" s="81">
        <v>0</v>
      </c>
      <c r="O30" s="81">
        <v>0</v>
      </c>
      <c r="P30" s="81">
        <v>0</v>
      </c>
      <c r="Q30" s="81">
        <v>0</v>
      </c>
      <c r="R30" s="81">
        <v>0</v>
      </c>
      <c r="S30" s="81">
        <v>0</v>
      </c>
      <c r="T30" s="81">
        <v>0</v>
      </c>
      <c r="U30" s="81">
        <v>0</v>
      </c>
      <c r="V30" s="81">
        <v>0</v>
      </c>
      <c r="W30" s="81">
        <v>0</v>
      </c>
      <c r="X30" s="81">
        <v>0</v>
      </c>
      <c r="Y30" s="81">
        <v>1</v>
      </c>
      <c r="Z30" s="81">
        <v>0</v>
      </c>
      <c r="AA30" s="81">
        <v>1</v>
      </c>
      <c r="AB30" s="81">
        <v>0</v>
      </c>
      <c r="AC30" s="81">
        <v>1</v>
      </c>
      <c r="AD30" s="81">
        <v>0</v>
      </c>
      <c r="AE30" s="81">
        <v>1</v>
      </c>
      <c r="AF30" s="81">
        <v>0</v>
      </c>
      <c r="AG30" s="81">
        <v>1</v>
      </c>
      <c r="AH30" s="81">
        <v>0</v>
      </c>
      <c r="AI30" s="81">
        <v>1</v>
      </c>
      <c r="AJ30" s="81">
        <v>1</v>
      </c>
      <c r="AK30" s="81">
        <v>0</v>
      </c>
      <c r="AL30" s="81">
        <v>0</v>
      </c>
      <c r="AM30" s="81">
        <v>1</v>
      </c>
      <c r="AN30" s="81">
        <v>1</v>
      </c>
      <c r="AO30" s="81">
        <v>0</v>
      </c>
      <c r="AP30" s="81">
        <v>0</v>
      </c>
      <c r="AQ30" s="81">
        <v>0</v>
      </c>
      <c r="AR30" s="81">
        <v>0</v>
      </c>
      <c r="AS30" s="81">
        <v>0</v>
      </c>
      <c r="AT30" s="81">
        <v>0</v>
      </c>
      <c r="AU30" s="81">
        <v>0</v>
      </c>
      <c r="AV30" s="81">
        <v>0</v>
      </c>
      <c r="AW30" s="81">
        <v>0</v>
      </c>
      <c r="AX30" s="81">
        <v>1</v>
      </c>
      <c r="AY30" s="81">
        <v>0</v>
      </c>
      <c r="AZ30" s="81">
        <v>0</v>
      </c>
      <c r="BA30" s="81">
        <v>1</v>
      </c>
      <c r="BB30" s="81">
        <v>3</v>
      </c>
      <c r="BC30" s="81">
        <v>3</v>
      </c>
      <c r="BD30" s="81">
        <v>2</v>
      </c>
      <c r="BE30" s="81">
        <v>2</v>
      </c>
      <c r="BF30" s="81">
        <v>3</v>
      </c>
      <c r="BG30" s="81">
        <v>2</v>
      </c>
      <c r="BH30" s="81">
        <v>2</v>
      </c>
      <c r="BI30" s="81">
        <v>2</v>
      </c>
      <c r="BJ30" s="81">
        <v>2</v>
      </c>
      <c r="BK30" s="81">
        <v>2</v>
      </c>
      <c r="BL30" s="81">
        <v>2</v>
      </c>
      <c r="BM30" s="81">
        <v>1</v>
      </c>
      <c r="BN30" s="81">
        <v>3</v>
      </c>
      <c r="BO30" s="81">
        <v>3</v>
      </c>
      <c r="BP30" s="81">
        <v>3</v>
      </c>
      <c r="BQ30" s="81">
        <v>2</v>
      </c>
      <c r="BR30" s="81">
        <v>2</v>
      </c>
      <c r="BS30" s="81">
        <v>2</v>
      </c>
      <c r="BT30" s="81">
        <v>3</v>
      </c>
      <c r="BU30" s="81">
        <v>0</v>
      </c>
      <c r="BV30" s="81">
        <v>1</v>
      </c>
      <c r="BW30" s="81">
        <v>0</v>
      </c>
      <c r="BX30" s="81">
        <v>0</v>
      </c>
      <c r="BY30" s="81">
        <v>0</v>
      </c>
      <c r="BZ30" s="81">
        <v>1</v>
      </c>
      <c r="CA30" s="81">
        <v>0</v>
      </c>
      <c r="CB30" s="81">
        <v>2</v>
      </c>
      <c r="CC30" s="81">
        <v>2</v>
      </c>
      <c r="CD30" s="81">
        <v>2</v>
      </c>
      <c r="CE30" s="81">
        <v>3</v>
      </c>
      <c r="CF30" s="81">
        <v>3</v>
      </c>
      <c r="CG30" s="81">
        <v>2</v>
      </c>
      <c r="CH30" s="81">
        <v>0</v>
      </c>
      <c r="CI30" s="81">
        <v>1</v>
      </c>
      <c r="CJ30" s="81">
        <v>0</v>
      </c>
      <c r="CK30" s="81">
        <v>1</v>
      </c>
      <c r="CL30" s="81">
        <v>1</v>
      </c>
      <c r="CM30" s="81">
        <v>0</v>
      </c>
      <c r="CN30" s="81">
        <v>1</v>
      </c>
      <c r="CO30" s="81" t="s">
        <v>531</v>
      </c>
    </row>
    <row r="31" spans="1:93" ht="11.55" customHeight="1" x14ac:dyDescent="0.3">
      <c r="A31" s="81" t="s">
        <v>560</v>
      </c>
      <c r="B31" s="81" t="s">
        <v>561</v>
      </c>
      <c r="C31" s="81" t="s">
        <v>393</v>
      </c>
      <c r="D31" s="94">
        <v>25</v>
      </c>
      <c r="E31" s="81">
        <v>0</v>
      </c>
      <c r="F31" s="81">
        <v>1</v>
      </c>
      <c r="G31" s="81">
        <v>0</v>
      </c>
      <c r="H31" s="81">
        <v>0</v>
      </c>
      <c r="I31" s="81">
        <v>0</v>
      </c>
      <c r="J31" s="81">
        <v>0</v>
      </c>
      <c r="K31" s="81">
        <v>0</v>
      </c>
      <c r="L31" s="81">
        <v>1</v>
      </c>
      <c r="M31" s="81">
        <v>0</v>
      </c>
      <c r="N31" s="81">
        <v>0</v>
      </c>
      <c r="O31" s="81">
        <v>0</v>
      </c>
      <c r="P31" s="81">
        <v>0</v>
      </c>
      <c r="Q31" s="81">
        <v>0</v>
      </c>
      <c r="R31" s="81">
        <v>0</v>
      </c>
      <c r="S31" s="81">
        <v>0</v>
      </c>
      <c r="T31" s="81">
        <v>0</v>
      </c>
      <c r="U31" s="81">
        <v>0</v>
      </c>
      <c r="V31" s="81">
        <v>0</v>
      </c>
      <c r="W31" s="81">
        <v>0</v>
      </c>
      <c r="X31" s="81">
        <v>0</v>
      </c>
      <c r="Y31" s="81">
        <v>1</v>
      </c>
      <c r="Z31" s="81">
        <v>0</v>
      </c>
      <c r="AA31" s="81">
        <v>1</v>
      </c>
      <c r="AB31" s="81">
        <v>0</v>
      </c>
      <c r="AC31" s="81">
        <v>1</v>
      </c>
      <c r="AD31" s="81">
        <v>0</v>
      </c>
      <c r="AE31" s="81">
        <v>1</v>
      </c>
      <c r="AF31" s="81">
        <v>0</v>
      </c>
      <c r="AG31" s="81">
        <v>1</v>
      </c>
      <c r="AH31" s="81">
        <v>0</v>
      </c>
      <c r="AI31" s="81">
        <v>1</v>
      </c>
      <c r="AJ31" s="81">
        <v>1</v>
      </c>
      <c r="AK31" s="81">
        <v>0</v>
      </c>
      <c r="AL31" s="81">
        <v>0</v>
      </c>
      <c r="AM31" s="81">
        <v>1</v>
      </c>
      <c r="AN31" s="81">
        <v>1</v>
      </c>
      <c r="AO31" s="81">
        <v>0</v>
      </c>
      <c r="AP31" s="81">
        <v>0</v>
      </c>
      <c r="AQ31" s="81">
        <v>0</v>
      </c>
      <c r="AR31" s="81">
        <v>0</v>
      </c>
      <c r="AS31" s="81">
        <v>0</v>
      </c>
      <c r="AT31" s="81">
        <v>0</v>
      </c>
      <c r="AU31" s="81">
        <v>0</v>
      </c>
      <c r="AV31" s="81">
        <v>0</v>
      </c>
      <c r="AW31" s="81">
        <v>0</v>
      </c>
      <c r="AX31" s="81">
        <v>1</v>
      </c>
      <c r="AY31" s="81">
        <v>0</v>
      </c>
      <c r="AZ31" s="81">
        <v>0</v>
      </c>
      <c r="BA31" s="81">
        <v>1</v>
      </c>
      <c r="BB31" s="81">
        <v>3</v>
      </c>
      <c r="BC31" s="81">
        <v>3</v>
      </c>
      <c r="BD31" s="81">
        <v>2</v>
      </c>
      <c r="BE31" s="81">
        <v>2</v>
      </c>
      <c r="BF31" s="81">
        <v>3</v>
      </c>
      <c r="BG31" s="81">
        <v>2</v>
      </c>
      <c r="BH31" s="81">
        <v>2</v>
      </c>
      <c r="BI31" s="81">
        <v>2</v>
      </c>
      <c r="BJ31" s="81">
        <v>2</v>
      </c>
      <c r="BK31" s="81">
        <v>2</v>
      </c>
      <c r="BL31" s="81">
        <v>2</v>
      </c>
      <c r="BM31" s="81">
        <v>1</v>
      </c>
      <c r="BN31" s="81">
        <v>3</v>
      </c>
      <c r="BO31" s="81">
        <v>3</v>
      </c>
      <c r="BP31" s="81">
        <v>3</v>
      </c>
      <c r="BQ31" s="81">
        <v>2</v>
      </c>
      <c r="BR31" s="81">
        <v>2</v>
      </c>
      <c r="BS31" s="81">
        <v>2</v>
      </c>
      <c r="BT31" s="81">
        <v>3</v>
      </c>
      <c r="BU31" s="81">
        <v>0</v>
      </c>
      <c r="BV31" s="81">
        <v>1</v>
      </c>
      <c r="BW31" s="81">
        <v>0</v>
      </c>
      <c r="BX31" s="81">
        <v>0</v>
      </c>
      <c r="BY31" s="81">
        <v>0</v>
      </c>
      <c r="BZ31" s="81">
        <v>1</v>
      </c>
      <c r="CA31" s="81">
        <v>0</v>
      </c>
      <c r="CB31" s="81">
        <v>2</v>
      </c>
      <c r="CC31" s="81">
        <v>2</v>
      </c>
      <c r="CD31" s="81">
        <v>2</v>
      </c>
      <c r="CE31" s="81">
        <v>3</v>
      </c>
      <c r="CF31" s="81">
        <v>3</v>
      </c>
      <c r="CG31" s="81">
        <v>2</v>
      </c>
      <c r="CH31" s="81">
        <v>0</v>
      </c>
      <c r="CI31" s="81">
        <v>1</v>
      </c>
      <c r="CJ31" s="81">
        <v>0</v>
      </c>
      <c r="CK31" s="81">
        <v>1</v>
      </c>
      <c r="CL31" s="81">
        <v>1</v>
      </c>
      <c r="CM31" s="81">
        <v>0</v>
      </c>
      <c r="CN31" s="81">
        <v>1</v>
      </c>
      <c r="CO31" s="81" t="s">
        <v>531</v>
      </c>
    </row>
    <row r="32" spans="1:93" ht="11.55" customHeight="1" x14ac:dyDescent="0.3">
      <c r="A32" s="81" t="s">
        <v>562</v>
      </c>
      <c r="B32" s="81" t="s">
        <v>563</v>
      </c>
      <c r="C32" s="81" t="s">
        <v>393</v>
      </c>
      <c r="D32" s="94">
        <v>25</v>
      </c>
      <c r="E32" s="81">
        <v>0</v>
      </c>
      <c r="F32" s="81">
        <v>1</v>
      </c>
      <c r="G32" s="81">
        <v>0</v>
      </c>
      <c r="H32" s="81">
        <v>0</v>
      </c>
      <c r="I32" s="81">
        <v>0</v>
      </c>
      <c r="J32" s="81">
        <v>0</v>
      </c>
      <c r="K32" s="81">
        <v>0</v>
      </c>
      <c r="L32" s="81">
        <v>1</v>
      </c>
      <c r="M32" s="81">
        <v>0</v>
      </c>
      <c r="N32" s="81">
        <v>0</v>
      </c>
      <c r="O32" s="81">
        <v>0</v>
      </c>
      <c r="P32" s="81">
        <v>0</v>
      </c>
      <c r="Q32" s="81">
        <v>0</v>
      </c>
      <c r="R32" s="81">
        <v>0</v>
      </c>
      <c r="S32" s="81">
        <v>0</v>
      </c>
      <c r="T32" s="81">
        <v>0</v>
      </c>
      <c r="U32" s="81">
        <v>0</v>
      </c>
      <c r="V32" s="81">
        <v>0</v>
      </c>
      <c r="W32" s="81">
        <v>0</v>
      </c>
      <c r="X32" s="81">
        <v>0</v>
      </c>
      <c r="Y32" s="81">
        <v>1</v>
      </c>
      <c r="Z32" s="81">
        <v>0</v>
      </c>
      <c r="AA32" s="81">
        <v>1</v>
      </c>
      <c r="AB32" s="81">
        <v>0</v>
      </c>
      <c r="AC32" s="81">
        <v>1</v>
      </c>
      <c r="AD32" s="81">
        <v>0</v>
      </c>
      <c r="AE32" s="81">
        <v>1</v>
      </c>
      <c r="AF32" s="81">
        <v>0</v>
      </c>
      <c r="AG32" s="81">
        <v>1</v>
      </c>
      <c r="AH32" s="81">
        <v>0</v>
      </c>
      <c r="AI32" s="81">
        <v>1</v>
      </c>
      <c r="AJ32" s="81">
        <v>1</v>
      </c>
      <c r="AK32" s="81">
        <v>0</v>
      </c>
      <c r="AL32" s="81">
        <v>0</v>
      </c>
      <c r="AM32" s="81">
        <v>1</v>
      </c>
      <c r="AN32" s="81">
        <v>1</v>
      </c>
      <c r="AO32" s="81">
        <v>0</v>
      </c>
      <c r="AP32" s="81">
        <v>0</v>
      </c>
      <c r="AQ32" s="81">
        <v>0</v>
      </c>
      <c r="AR32" s="81">
        <v>0</v>
      </c>
      <c r="AS32" s="81">
        <v>0</v>
      </c>
      <c r="AT32" s="81">
        <v>0</v>
      </c>
      <c r="AU32" s="81">
        <v>0</v>
      </c>
      <c r="AV32" s="81">
        <v>0</v>
      </c>
      <c r="AW32" s="81">
        <v>0</v>
      </c>
      <c r="AX32" s="81">
        <v>1</v>
      </c>
      <c r="AY32" s="81">
        <v>0</v>
      </c>
      <c r="AZ32" s="81">
        <v>0</v>
      </c>
      <c r="BA32" s="81">
        <v>1</v>
      </c>
      <c r="BB32" s="81">
        <v>3</v>
      </c>
      <c r="BC32" s="81">
        <v>3</v>
      </c>
      <c r="BD32" s="81">
        <v>2</v>
      </c>
      <c r="BE32" s="81">
        <v>2</v>
      </c>
      <c r="BF32" s="81">
        <v>3</v>
      </c>
      <c r="BG32" s="81">
        <v>2</v>
      </c>
      <c r="BH32" s="81">
        <v>2</v>
      </c>
      <c r="BI32" s="81">
        <v>2</v>
      </c>
      <c r="BJ32" s="81">
        <v>2</v>
      </c>
      <c r="BK32" s="81">
        <v>2</v>
      </c>
      <c r="BL32" s="81">
        <v>2</v>
      </c>
      <c r="BM32" s="81">
        <v>1</v>
      </c>
      <c r="BN32" s="81">
        <v>3</v>
      </c>
      <c r="BO32" s="81">
        <v>3</v>
      </c>
      <c r="BP32" s="81">
        <v>3</v>
      </c>
      <c r="BQ32" s="81">
        <v>2</v>
      </c>
      <c r="BR32" s="81">
        <v>2</v>
      </c>
      <c r="BS32" s="81">
        <v>2</v>
      </c>
      <c r="BT32" s="81">
        <v>3</v>
      </c>
      <c r="BU32" s="81">
        <v>0</v>
      </c>
      <c r="BV32" s="81">
        <v>1</v>
      </c>
      <c r="BW32" s="81">
        <v>0</v>
      </c>
      <c r="BX32" s="81">
        <v>0</v>
      </c>
      <c r="BY32" s="81">
        <v>0</v>
      </c>
      <c r="BZ32" s="81">
        <v>1</v>
      </c>
      <c r="CA32" s="81">
        <v>0</v>
      </c>
      <c r="CB32" s="81">
        <v>2</v>
      </c>
      <c r="CC32" s="81">
        <v>2</v>
      </c>
      <c r="CD32" s="81">
        <v>2</v>
      </c>
      <c r="CE32" s="81">
        <v>3</v>
      </c>
      <c r="CF32" s="81">
        <v>3</v>
      </c>
      <c r="CG32" s="81">
        <v>2</v>
      </c>
      <c r="CH32" s="81">
        <v>0</v>
      </c>
      <c r="CI32" s="81">
        <v>1</v>
      </c>
      <c r="CJ32" s="81">
        <v>0</v>
      </c>
      <c r="CK32" s="81">
        <v>1</v>
      </c>
      <c r="CL32" s="81">
        <v>1</v>
      </c>
      <c r="CM32" s="81">
        <v>0</v>
      </c>
      <c r="CN32" s="81">
        <v>1</v>
      </c>
      <c r="CO32" s="81" t="s">
        <v>531</v>
      </c>
    </row>
    <row r="33" spans="1:93" ht="11.55" customHeight="1" x14ac:dyDescent="0.3">
      <c r="A33" s="81" t="s">
        <v>564</v>
      </c>
      <c r="B33" s="81" t="s">
        <v>565</v>
      </c>
      <c r="C33" s="81" t="s">
        <v>393</v>
      </c>
      <c r="D33" s="94">
        <v>25</v>
      </c>
      <c r="E33" s="81">
        <v>0</v>
      </c>
      <c r="F33" s="81">
        <v>1</v>
      </c>
      <c r="G33" s="81">
        <v>0</v>
      </c>
      <c r="H33" s="81">
        <v>0</v>
      </c>
      <c r="I33" s="81">
        <v>0</v>
      </c>
      <c r="J33" s="81">
        <v>0</v>
      </c>
      <c r="K33" s="81">
        <v>0</v>
      </c>
      <c r="L33" s="81">
        <v>1</v>
      </c>
      <c r="M33" s="81">
        <v>0</v>
      </c>
      <c r="N33" s="81">
        <v>0</v>
      </c>
      <c r="O33" s="81">
        <v>0</v>
      </c>
      <c r="P33" s="81">
        <v>0</v>
      </c>
      <c r="Q33" s="81">
        <v>0</v>
      </c>
      <c r="R33" s="81">
        <v>0</v>
      </c>
      <c r="S33" s="81">
        <v>0</v>
      </c>
      <c r="T33" s="81">
        <v>0</v>
      </c>
      <c r="U33" s="81">
        <v>0</v>
      </c>
      <c r="V33" s="81">
        <v>0</v>
      </c>
      <c r="W33" s="81">
        <v>0</v>
      </c>
      <c r="X33" s="81">
        <v>0</v>
      </c>
      <c r="Y33" s="81">
        <v>1</v>
      </c>
      <c r="Z33" s="81">
        <v>0</v>
      </c>
      <c r="AA33" s="81">
        <v>1</v>
      </c>
      <c r="AB33" s="81">
        <v>0</v>
      </c>
      <c r="AC33" s="81">
        <v>1</v>
      </c>
      <c r="AD33" s="81">
        <v>0</v>
      </c>
      <c r="AE33" s="81">
        <v>1</v>
      </c>
      <c r="AF33" s="81">
        <v>0</v>
      </c>
      <c r="AG33" s="81">
        <v>1</v>
      </c>
      <c r="AH33" s="81">
        <v>0</v>
      </c>
      <c r="AI33" s="81">
        <v>1</v>
      </c>
      <c r="AJ33" s="81">
        <v>1</v>
      </c>
      <c r="AK33" s="81">
        <v>0</v>
      </c>
      <c r="AL33" s="81">
        <v>0</v>
      </c>
      <c r="AM33" s="81">
        <v>1</v>
      </c>
      <c r="AN33" s="81">
        <v>1</v>
      </c>
      <c r="AO33" s="81">
        <v>0</v>
      </c>
      <c r="AP33" s="81">
        <v>0</v>
      </c>
      <c r="AQ33" s="81">
        <v>0</v>
      </c>
      <c r="AR33" s="81">
        <v>0</v>
      </c>
      <c r="AS33" s="81">
        <v>0</v>
      </c>
      <c r="AT33" s="81">
        <v>0</v>
      </c>
      <c r="AU33" s="81">
        <v>0</v>
      </c>
      <c r="AV33" s="81">
        <v>0</v>
      </c>
      <c r="AW33" s="81">
        <v>0</v>
      </c>
      <c r="AX33" s="81">
        <v>1</v>
      </c>
      <c r="AY33" s="81">
        <v>0</v>
      </c>
      <c r="AZ33" s="81">
        <v>0</v>
      </c>
      <c r="BA33" s="81">
        <v>1</v>
      </c>
      <c r="BB33" s="81">
        <v>3</v>
      </c>
      <c r="BC33" s="81">
        <v>3</v>
      </c>
      <c r="BD33" s="81">
        <v>2</v>
      </c>
      <c r="BE33" s="81">
        <v>2</v>
      </c>
      <c r="BF33" s="81">
        <v>3</v>
      </c>
      <c r="BG33" s="81">
        <v>2</v>
      </c>
      <c r="BH33" s="81">
        <v>2</v>
      </c>
      <c r="BI33" s="81">
        <v>2</v>
      </c>
      <c r="BJ33" s="81">
        <v>2</v>
      </c>
      <c r="BK33" s="81">
        <v>2</v>
      </c>
      <c r="BL33" s="81">
        <v>2</v>
      </c>
      <c r="BM33" s="81">
        <v>1</v>
      </c>
      <c r="BN33" s="81">
        <v>3</v>
      </c>
      <c r="BO33" s="81">
        <v>3</v>
      </c>
      <c r="BP33" s="81">
        <v>3</v>
      </c>
      <c r="BQ33" s="81">
        <v>2</v>
      </c>
      <c r="BR33" s="81">
        <v>2</v>
      </c>
      <c r="BS33" s="81">
        <v>2</v>
      </c>
      <c r="BT33" s="81">
        <v>3</v>
      </c>
      <c r="BU33" s="81">
        <v>0</v>
      </c>
      <c r="BV33" s="81">
        <v>1</v>
      </c>
      <c r="BW33" s="81">
        <v>0</v>
      </c>
      <c r="BX33" s="81">
        <v>0</v>
      </c>
      <c r="BY33" s="81">
        <v>0</v>
      </c>
      <c r="BZ33" s="81">
        <v>1</v>
      </c>
      <c r="CA33" s="81">
        <v>0</v>
      </c>
      <c r="CB33" s="81">
        <v>2</v>
      </c>
      <c r="CC33" s="81">
        <v>2</v>
      </c>
      <c r="CD33" s="81">
        <v>2</v>
      </c>
      <c r="CE33" s="81">
        <v>3</v>
      </c>
      <c r="CF33" s="81">
        <v>3</v>
      </c>
      <c r="CG33" s="81">
        <v>2</v>
      </c>
      <c r="CH33" s="81">
        <v>0</v>
      </c>
      <c r="CI33" s="81">
        <v>1</v>
      </c>
      <c r="CJ33" s="81">
        <v>0</v>
      </c>
      <c r="CK33" s="81">
        <v>1</v>
      </c>
      <c r="CL33" s="81">
        <v>1</v>
      </c>
      <c r="CM33" s="81">
        <v>0</v>
      </c>
      <c r="CN33" s="81">
        <v>1</v>
      </c>
      <c r="CO33" s="81" t="s">
        <v>531</v>
      </c>
    </row>
    <row r="34" spans="1:93" ht="11.55" customHeight="1" x14ac:dyDescent="0.3">
      <c r="A34" s="81" t="s">
        <v>566</v>
      </c>
      <c r="B34" s="81" t="s">
        <v>567</v>
      </c>
      <c r="C34" s="81" t="s">
        <v>393</v>
      </c>
      <c r="D34" s="94">
        <v>25</v>
      </c>
      <c r="E34" s="81">
        <v>0</v>
      </c>
      <c r="F34" s="81">
        <v>1</v>
      </c>
      <c r="G34" s="81">
        <v>0</v>
      </c>
      <c r="H34" s="81">
        <v>0</v>
      </c>
      <c r="I34" s="81">
        <v>0</v>
      </c>
      <c r="J34" s="81">
        <v>0</v>
      </c>
      <c r="K34" s="81">
        <v>0</v>
      </c>
      <c r="L34" s="81">
        <v>1</v>
      </c>
      <c r="M34" s="81">
        <v>0</v>
      </c>
      <c r="N34" s="81">
        <v>0</v>
      </c>
      <c r="O34" s="81">
        <v>0</v>
      </c>
      <c r="P34" s="81">
        <v>0</v>
      </c>
      <c r="Q34" s="81">
        <v>0</v>
      </c>
      <c r="R34" s="81">
        <v>0</v>
      </c>
      <c r="S34" s="81">
        <v>0</v>
      </c>
      <c r="T34" s="81">
        <v>0</v>
      </c>
      <c r="U34" s="81">
        <v>0</v>
      </c>
      <c r="V34" s="81">
        <v>0</v>
      </c>
      <c r="W34" s="81">
        <v>0</v>
      </c>
      <c r="X34" s="81">
        <v>0</v>
      </c>
      <c r="Y34" s="81">
        <v>1</v>
      </c>
      <c r="Z34" s="81">
        <v>0</v>
      </c>
      <c r="AA34" s="81">
        <v>1</v>
      </c>
      <c r="AB34" s="81">
        <v>0</v>
      </c>
      <c r="AC34" s="81">
        <v>1</v>
      </c>
      <c r="AD34" s="81">
        <v>0</v>
      </c>
      <c r="AE34" s="81">
        <v>1</v>
      </c>
      <c r="AF34" s="81">
        <v>0</v>
      </c>
      <c r="AG34" s="81">
        <v>1</v>
      </c>
      <c r="AH34" s="81">
        <v>0</v>
      </c>
      <c r="AI34" s="81">
        <v>1</v>
      </c>
      <c r="AJ34" s="81">
        <v>1</v>
      </c>
      <c r="AK34" s="81">
        <v>0</v>
      </c>
      <c r="AL34" s="81">
        <v>0</v>
      </c>
      <c r="AM34" s="81">
        <v>1</v>
      </c>
      <c r="AN34" s="81">
        <v>1</v>
      </c>
      <c r="AO34" s="81">
        <v>0</v>
      </c>
      <c r="AP34" s="81">
        <v>0</v>
      </c>
      <c r="AQ34" s="81">
        <v>0</v>
      </c>
      <c r="AR34" s="81">
        <v>0</v>
      </c>
      <c r="AS34" s="81">
        <v>0</v>
      </c>
      <c r="AT34" s="81">
        <v>0</v>
      </c>
      <c r="AU34" s="81">
        <v>0</v>
      </c>
      <c r="AV34" s="81">
        <v>0</v>
      </c>
      <c r="AW34" s="81">
        <v>0</v>
      </c>
      <c r="AX34" s="81">
        <v>1</v>
      </c>
      <c r="AY34" s="81">
        <v>0</v>
      </c>
      <c r="AZ34" s="81">
        <v>0</v>
      </c>
      <c r="BA34" s="81">
        <v>1</v>
      </c>
      <c r="BB34" s="81">
        <v>3</v>
      </c>
      <c r="BC34" s="81">
        <v>3</v>
      </c>
      <c r="BD34" s="81">
        <v>2</v>
      </c>
      <c r="BE34" s="81">
        <v>2</v>
      </c>
      <c r="BF34" s="81">
        <v>3</v>
      </c>
      <c r="BG34" s="81">
        <v>2</v>
      </c>
      <c r="BH34" s="81">
        <v>2</v>
      </c>
      <c r="BI34" s="81">
        <v>2</v>
      </c>
      <c r="BJ34" s="81">
        <v>2</v>
      </c>
      <c r="BK34" s="81">
        <v>2</v>
      </c>
      <c r="BL34" s="81">
        <v>2</v>
      </c>
      <c r="BM34" s="81">
        <v>1</v>
      </c>
      <c r="BN34" s="81">
        <v>3</v>
      </c>
      <c r="BO34" s="81">
        <v>3</v>
      </c>
      <c r="BP34" s="81">
        <v>3</v>
      </c>
      <c r="BQ34" s="81">
        <v>2</v>
      </c>
      <c r="BR34" s="81">
        <v>2</v>
      </c>
      <c r="BS34" s="81">
        <v>2</v>
      </c>
      <c r="BT34" s="81">
        <v>3</v>
      </c>
      <c r="BU34" s="81">
        <v>0</v>
      </c>
      <c r="BV34" s="81">
        <v>1</v>
      </c>
      <c r="BW34" s="81">
        <v>0</v>
      </c>
      <c r="BX34" s="81">
        <v>0</v>
      </c>
      <c r="BY34" s="81">
        <v>0</v>
      </c>
      <c r="BZ34" s="81">
        <v>1</v>
      </c>
      <c r="CA34" s="81">
        <v>0</v>
      </c>
      <c r="CB34" s="81">
        <v>2</v>
      </c>
      <c r="CC34" s="81">
        <v>2</v>
      </c>
      <c r="CD34" s="81">
        <v>2</v>
      </c>
      <c r="CE34" s="81">
        <v>3</v>
      </c>
      <c r="CF34" s="81">
        <v>3</v>
      </c>
      <c r="CG34" s="81">
        <v>2</v>
      </c>
      <c r="CH34" s="81">
        <v>0</v>
      </c>
      <c r="CI34" s="81">
        <v>1</v>
      </c>
      <c r="CJ34" s="81">
        <v>0</v>
      </c>
      <c r="CK34" s="81">
        <v>1</v>
      </c>
      <c r="CL34" s="81">
        <v>1</v>
      </c>
      <c r="CM34" s="81">
        <v>0</v>
      </c>
      <c r="CN34" s="81">
        <v>1</v>
      </c>
      <c r="CO34" s="81" t="s">
        <v>531</v>
      </c>
    </row>
    <row r="35" spans="1:93" ht="11.55" customHeight="1" x14ac:dyDescent="0.3">
      <c r="A35" s="81" t="s">
        <v>568</v>
      </c>
      <c r="B35" s="81" t="s">
        <v>569</v>
      </c>
      <c r="C35" s="81" t="s">
        <v>393</v>
      </c>
      <c r="D35" s="94">
        <v>25</v>
      </c>
      <c r="E35" s="81">
        <v>0</v>
      </c>
      <c r="F35" s="81">
        <v>1</v>
      </c>
      <c r="G35" s="81">
        <v>0</v>
      </c>
      <c r="H35" s="81">
        <v>0</v>
      </c>
      <c r="I35" s="81">
        <v>0</v>
      </c>
      <c r="J35" s="81">
        <v>0</v>
      </c>
      <c r="K35" s="81">
        <v>0</v>
      </c>
      <c r="L35" s="81">
        <v>1</v>
      </c>
      <c r="M35" s="81">
        <v>0</v>
      </c>
      <c r="N35" s="81">
        <v>0</v>
      </c>
      <c r="O35" s="81">
        <v>0</v>
      </c>
      <c r="P35" s="81">
        <v>0</v>
      </c>
      <c r="Q35" s="81">
        <v>0</v>
      </c>
      <c r="R35" s="81">
        <v>0</v>
      </c>
      <c r="S35" s="81">
        <v>0</v>
      </c>
      <c r="T35" s="81">
        <v>0</v>
      </c>
      <c r="U35" s="81">
        <v>0</v>
      </c>
      <c r="V35" s="81">
        <v>0</v>
      </c>
      <c r="W35" s="81">
        <v>0</v>
      </c>
      <c r="X35" s="81">
        <v>0</v>
      </c>
      <c r="Y35" s="81">
        <v>1</v>
      </c>
      <c r="Z35" s="81">
        <v>0</v>
      </c>
      <c r="AA35" s="81">
        <v>1</v>
      </c>
      <c r="AB35" s="81">
        <v>0</v>
      </c>
      <c r="AC35" s="81">
        <v>1</v>
      </c>
      <c r="AD35" s="81">
        <v>0</v>
      </c>
      <c r="AE35" s="81">
        <v>1</v>
      </c>
      <c r="AF35" s="81">
        <v>0</v>
      </c>
      <c r="AG35" s="81">
        <v>1</v>
      </c>
      <c r="AH35" s="81">
        <v>0</v>
      </c>
      <c r="AI35" s="81">
        <v>1</v>
      </c>
      <c r="AJ35" s="81">
        <v>1</v>
      </c>
      <c r="AK35" s="81">
        <v>0</v>
      </c>
      <c r="AL35" s="81">
        <v>0</v>
      </c>
      <c r="AM35" s="81">
        <v>1</v>
      </c>
      <c r="AN35" s="81">
        <v>1</v>
      </c>
      <c r="AO35" s="81">
        <v>0</v>
      </c>
      <c r="AP35" s="81">
        <v>0</v>
      </c>
      <c r="AQ35" s="81">
        <v>0</v>
      </c>
      <c r="AR35" s="81">
        <v>0</v>
      </c>
      <c r="AS35" s="81">
        <v>0</v>
      </c>
      <c r="AT35" s="81">
        <v>0</v>
      </c>
      <c r="AU35" s="81">
        <v>0</v>
      </c>
      <c r="AV35" s="81">
        <v>0</v>
      </c>
      <c r="AW35" s="81">
        <v>0</v>
      </c>
      <c r="AX35" s="81">
        <v>1</v>
      </c>
      <c r="AY35" s="81">
        <v>0</v>
      </c>
      <c r="AZ35" s="81">
        <v>0</v>
      </c>
      <c r="BA35" s="81">
        <v>1</v>
      </c>
      <c r="BB35" s="81">
        <v>3</v>
      </c>
      <c r="BC35" s="81">
        <v>3</v>
      </c>
      <c r="BD35" s="81">
        <v>2</v>
      </c>
      <c r="BE35" s="81">
        <v>2</v>
      </c>
      <c r="BF35" s="81">
        <v>3</v>
      </c>
      <c r="BG35" s="81">
        <v>2</v>
      </c>
      <c r="BH35" s="81">
        <v>2</v>
      </c>
      <c r="BI35" s="81">
        <v>2</v>
      </c>
      <c r="BJ35" s="81">
        <v>2</v>
      </c>
      <c r="BK35" s="81">
        <v>2</v>
      </c>
      <c r="BL35" s="81">
        <v>2</v>
      </c>
      <c r="BM35" s="81">
        <v>1</v>
      </c>
      <c r="BN35" s="81">
        <v>3</v>
      </c>
      <c r="BO35" s="81">
        <v>3</v>
      </c>
      <c r="BP35" s="81">
        <v>3</v>
      </c>
      <c r="BQ35" s="81">
        <v>2</v>
      </c>
      <c r="BR35" s="81">
        <v>2</v>
      </c>
      <c r="BS35" s="81">
        <v>2</v>
      </c>
      <c r="BT35" s="81">
        <v>3</v>
      </c>
      <c r="BU35" s="81">
        <v>0</v>
      </c>
      <c r="BV35" s="81">
        <v>1</v>
      </c>
      <c r="BW35" s="81">
        <v>0</v>
      </c>
      <c r="BX35" s="81">
        <v>0</v>
      </c>
      <c r="BY35" s="81">
        <v>0</v>
      </c>
      <c r="BZ35" s="81">
        <v>1</v>
      </c>
      <c r="CA35" s="81">
        <v>0</v>
      </c>
      <c r="CB35" s="81">
        <v>2</v>
      </c>
      <c r="CC35" s="81">
        <v>2</v>
      </c>
      <c r="CD35" s="81">
        <v>2</v>
      </c>
      <c r="CE35" s="81">
        <v>3</v>
      </c>
      <c r="CF35" s="81">
        <v>3</v>
      </c>
      <c r="CG35" s="81">
        <v>2</v>
      </c>
      <c r="CH35" s="81">
        <v>0</v>
      </c>
      <c r="CI35" s="81">
        <v>1</v>
      </c>
      <c r="CJ35" s="81">
        <v>0</v>
      </c>
      <c r="CK35" s="81">
        <v>1</v>
      </c>
      <c r="CL35" s="81">
        <v>1</v>
      </c>
      <c r="CM35" s="81">
        <v>0</v>
      </c>
      <c r="CN35" s="81">
        <v>1</v>
      </c>
      <c r="CO35" s="81" t="s">
        <v>531</v>
      </c>
    </row>
    <row r="36" spans="1:93" ht="11.55" customHeight="1" x14ac:dyDescent="0.3">
      <c r="A36" s="81" t="s">
        <v>570</v>
      </c>
      <c r="B36" s="81" t="s">
        <v>571</v>
      </c>
      <c r="C36" s="81" t="s">
        <v>393</v>
      </c>
      <c r="D36" s="94">
        <v>25</v>
      </c>
      <c r="E36" s="81">
        <v>0</v>
      </c>
      <c r="F36" s="81">
        <v>1</v>
      </c>
      <c r="G36" s="81">
        <v>0</v>
      </c>
      <c r="H36" s="81">
        <v>0</v>
      </c>
      <c r="I36" s="81">
        <v>0</v>
      </c>
      <c r="J36" s="81">
        <v>0</v>
      </c>
      <c r="K36" s="81">
        <v>0</v>
      </c>
      <c r="L36" s="81">
        <v>1</v>
      </c>
      <c r="M36" s="81">
        <v>0</v>
      </c>
      <c r="N36" s="81">
        <v>0</v>
      </c>
      <c r="O36" s="81">
        <v>0</v>
      </c>
      <c r="P36" s="81">
        <v>0</v>
      </c>
      <c r="Q36" s="81">
        <v>0</v>
      </c>
      <c r="R36" s="81">
        <v>0</v>
      </c>
      <c r="S36" s="81">
        <v>0</v>
      </c>
      <c r="T36" s="81">
        <v>0</v>
      </c>
      <c r="U36" s="81">
        <v>0</v>
      </c>
      <c r="V36" s="81">
        <v>0</v>
      </c>
      <c r="W36" s="81">
        <v>0</v>
      </c>
      <c r="X36" s="81">
        <v>0</v>
      </c>
      <c r="Y36" s="81">
        <v>1</v>
      </c>
      <c r="Z36" s="81">
        <v>0</v>
      </c>
      <c r="AA36" s="81">
        <v>1</v>
      </c>
      <c r="AB36" s="81">
        <v>0</v>
      </c>
      <c r="AC36" s="81">
        <v>1</v>
      </c>
      <c r="AD36" s="81">
        <v>0</v>
      </c>
      <c r="AE36" s="81">
        <v>1</v>
      </c>
      <c r="AF36" s="81">
        <v>0</v>
      </c>
      <c r="AG36" s="81">
        <v>1</v>
      </c>
      <c r="AH36" s="81">
        <v>0</v>
      </c>
      <c r="AI36" s="81">
        <v>1</v>
      </c>
      <c r="AJ36" s="81">
        <v>1</v>
      </c>
      <c r="AK36" s="81">
        <v>0</v>
      </c>
      <c r="AL36" s="81">
        <v>0</v>
      </c>
      <c r="AM36" s="81">
        <v>1</v>
      </c>
      <c r="AN36" s="81">
        <v>1</v>
      </c>
      <c r="AO36" s="81">
        <v>0</v>
      </c>
      <c r="AP36" s="81">
        <v>0</v>
      </c>
      <c r="AQ36" s="81">
        <v>0</v>
      </c>
      <c r="AR36" s="81">
        <v>0</v>
      </c>
      <c r="AS36" s="81">
        <v>0</v>
      </c>
      <c r="AT36" s="81">
        <v>0</v>
      </c>
      <c r="AU36" s="81">
        <v>0</v>
      </c>
      <c r="AV36" s="81">
        <v>0</v>
      </c>
      <c r="AW36" s="81">
        <v>0</v>
      </c>
      <c r="AX36" s="81">
        <v>1</v>
      </c>
      <c r="AY36" s="81">
        <v>0</v>
      </c>
      <c r="AZ36" s="81">
        <v>0</v>
      </c>
      <c r="BA36" s="81">
        <v>1</v>
      </c>
      <c r="BB36" s="81">
        <v>3</v>
      </c>
      <c r="BC36" s="81">
        <v>3</v>
      </c>
      <c r="BD36" s="81">
        <v>2</v>
      </c>
      <c r="BE36" s="81">
        <v>2</v>
      </c>
      <c r="BF36" s="81">
        <v>3</v>
      </c>
      <c r="BG36" s="81">
        <v>2</v>
      </c>
      <c r="BH36" s="81">
        <v>2</v>
      </c>
      <c r="BI36" s="81">
        <v>2</v>
      </c>
      <c r="BJ36" s="81">
        <v>2</v>
      </c>
      <c r="BK36" s="81">
        <v>2</v>
      </c>
      <c r="BL36" s="81">
        <v>2</v>
      </c>
      <c r="BM36" s="81">
        <v>1</v>
      </c>
      <c r="BN36" s="81">
        <v>3</v>
      </c>
      <c r="BO36" s="81">
        <v>3</v>
      </c>
      <c r="BP36" s="81">
        <v>3</v>
      </c>
      <c r="BQ36" s="81">
        <v>2</v>
      </c>
      <c r="BR36" s="81">
        <v>2</v>
      </c>
      <c r="BS36" s="81">
        <v>2</v>
      </c>
      <c r="BT36" s="81">
        <v>3</v>
      </c>
      <c r="BU36" s="81">
        <v>0</v>
      </c>
      <c r="BV36" s="81">
        <v>1</v>
      </c>
      <c r="BW36" s="81">
        <v>0</v>
      </c>
      <c r="BX36" s="81">
        <v>0</v>
      </c>
      <c r="BY36" s="81">
        <v>0</v>
      </c>
      <c r="BZ36" s="81">
        <v>1</v>
      </c>
      <c r="CA36" s="81">
        <v>0</v>
      </c>
      <c r="CB36" s="81">
        <v>2</v>
      </c>
      <c r="CC36" s="81">
        <v>2</v>
      </c>
      <c r="CD36" s="81">
        <v>2</v>
      </c>
      <c r="CE36" s="81">
        <v>3</v>
      </c>
      <c r="CF36" s="81">
        <v>3</v>
      </c>
      <c r="CG36" s="81">
        <v>2</v>
      </c>
      <c r="CH36" s="81">
        <v>0</v>
      </c>
      <c r="CI36" s="81">
        <v>1</v>
      </c>
      <c r="CJ36" s="81">
        <v>0</v>
      </c>
      <c r="CK36" s="81">
        <v>1</v>
      </c>
      <c r="CL36" s="81">
        <v>1</v>
      </c>
      <c r="CM36" s="81">
        <v>0</v>
      </c>
      <c r="CN36" s="81">
        <v>1</v>
      </c>
      <c r="CO36" s="81" t="s">
        <v>531</v>
      </c>
    </row>
    <row r="37" spans="1:93" ht="11.55" customHeight="1" x14ac:dyDescent="0.3">
      <c r="A37" s="81" t="s">
        <v>572</v>
      </c>
      <c r="B37" s="81" t="s">
        <v>573</v>
      </c>
      <c r="C37" s="81" t="s">
        <v>395</v>
      </c>
      <c r="D37" s="94">
        <v>24</v>
      </c>
      <c r="E37" s="81">
        <v>0</v>
      </c>
      <c r="F37" s="81">
        <v>1</v>
      </c>
      <c r="G37" s="81">
        <v>0</v>
      </c>
      <c r="H37" s="81">
        <v>0</v>
      </c>
      <c r="I37" s="81">
        <v>0</v>
      </c>
      <c r="J37" s="81">
        <v>0</v>
      </c>
      <c r="K37" s="81">
        <v>0</v>
      </c>
      <c r="L37" s="81">
        <v>1</v>
      </c>
      <c r="M37" s="81">
        <v>0</v>
      </c>
      <c r="N37" s="81">
        <v>0</v>
      </c>
      <c r="O37" s="81">
        <v>0</v>
      </c>
      <c r="P37" s="81">
        <v>0</v>
      </c>
      <c r="Q37" s="81">
        <v>0</v>
      </c>
      <c r="R37" s="81">
        <v>0</v>
      </c>
      <c r="S37" s="81">
        <v>0</v>
      </c>
      <c r="T37" s="81">
        <v>0</v>
      </c>
      <c r="U37" s="81">
        <v>0</v>
      </c>
      <c r="V37" s="81">
        <v>0</v>
      </c>
      <c r="W37" s="81">
        <v>0</v>
      </c>
      <c r="X37" s="81">
        <v>0</v>
      </c>
      <c r="Y37" s="81">
        <v>1</v>
      </c>
      <c r="Z37" s="81">
        <v>0</v>
      </c>
      <c r="AA37" s="81">
        <v>1</v>
      </c>
      <c r="AB37" s="81">
        <v>0</v>
      </c>
      <c r="AC37" s="81">
        <v>1</v>
      </c>
      <c r="AD37" s="81">
        <v>0</v>
      </c>
      <c r="AE37" s="81">
        <v>1</v>
      </c>
      <c r="AF37" s="81">
        <v>0</v>
      </c>
      <c r="AG37" s="81">
        <v>1</v>
      </c>
      <c r="AH37" s="81">
        <v>0</v>
      </c>
      <c r="AI37" s="81">
        <v>1</v>
      </c>
      <c r="AJ37" s="81">
        <v>0</v>
      </c>
      <c r="AK37" s="81">
        <v>0</v>
      </c>
      <c r="AL37" s="81">
        <v>0</v>
      </c>
      <c r="AM37" s="81">
        <v>1</v>
      </c>
      <c r="AN37" s="81">
        <v>1</v>
      </c>
      <c r="AO37" s="81">
        <v>0</v>
      </c>
      <c r="AP37" s="81">
        <v>0</v>
      </c>
      <c r="AQ37" s="81">
        <v>0</v>
      </c>
      <c r="AR37" s="81">
        <v>0</v>
      </c>
      <c r="AS37" s="81">
        <v>0</v>
      </c>
      <c r="AT37" s="81">
        <v>0</v>
      </c>
      <c r="AU37" s="81">
        <v>0</v>
      </c>
      <c r="AV37" s="81">
        <v>0</v>
      </c>
      <c r="AW37" s="81">
        <v>0</v>
      </c>
      <c r="AX37" s="81">
        <v>1</v>
      </c>
      <c r="AY37" s="81">
        <v>0</v>
      </c>
      <c r="AZ37" s="81">
        <v>0</v>
      </c>
      <c r="BA37" s="81">
        <v>0</v>
      </c>
      <c r="BB37" s="81">
        <v>3</v>
      </c>
      <c r="BC37" s="81">
        <v>2</v>
      </c>
      <c r="BD37" s="81">
        <v>2</v>
      </c>
      <c r="BE37" s="81">
        <v>2</v>
      </c>
      <c r="BF37" s="81">
        <v>3</v>
      </c>
      <c r="BG37" s="81">
        <v>2</v>
      </c>
      <c r="BH37" s="81">
        <v>2</v>
      </c>
      <c r="BI37" s="81">
        <v>1</v>
      </c>
      <c r="BJ37" s="81">
        <v>2</v>
      </c>
      <c r="BK37" s="81">
        <v>2</v>
      </c>
      <c r="BL37" s="81">
        <v>2</v>
      </c>
      <c r="BM37" s="81">
        <v>1</v>
      </c>
      <c r="BN37" s="81">
        <v>3</v>
      </c>
      <c r="BO37" s="81">
        <v>3</v>
      </c>
      <c r="BP37" s="81">
        <v>3</v>
      </c>
      <c r="BQ37" s="81">
        <v>2</v>
      </c>
      <c r="BR37" s="81">
        <v>2</v>
      </c>
      <c r="BS37" s="81">
        <v>2</v>
      </c>
      <c r="BT37" s="81">
        <v>3</v>
      </c>
      <c r="BU37" s="81">
        <v>0</v>
      </c>
      <c r="BV37" s="81">
        <v>1</v>
      </c>
      <c r="BW37" s="81">
        <v>0</v>
      </c>
      <c r="BX37" s="81">
        <v>0</v>
      </c>
      <c r="BY37" s="81">
        <v>0</v>
      </c>
      <c r="BZ37" s="81">
        <v>1</v>
      </c>
      <c r="CA37" s="81">
        <v>0</v>
      </c>
      <c r="CB37" s="81">
        <v>2</v>
      </c>
      <c r="CC37" s="81">
        <v>2</v>
      </c>
      <c r="CD37" s="81">
        <v>2</v>
      </c>
      <c r="CE37" s="81">
        <v>2</v>
      </c>
      <c r="CF37" s="81">
        <v>3</v>
      </c>
      <c r="CG37" s="81">
        <v>2</v>
      </c>
      <c r="CH37" s="81">
        <v>0</v>
      </c>
      <c r="CI37" s="81">
        <v>1</v>
      </c>
      <c r="CJ37" s="81">
        <v>0</v>
      </c>
      <c r="CK37" s="81">
        <v>1</v>
      </c>
      <c r="CL37" s="81">
        <v>1</v>
      </c>
      <c r="CM37" s="81">
        <v>0</v>
      </c>
      <c r="CN37" s="81">
        <v>1</v>
      </c>
      <c r="CO37" s="81" t="s">
        <v>574</v>
      </c>
    </row>
    <row r="38" spans="1:93" ht="11.55" customHeight="1" x14ac:dyDescent="0.3">
      <c r="A38" s="81" t="s">
        <v>575</v>
      </c>
      <c r="B38" s="81" t="s">
        <v>576</v>
      </c>
      <c r="C38" s="81" t="s">
        <v>395</v>
      </c>
      <c r="D38" s="94">
        <v>24</v>
      </c>
      <c r="E38" s="81">
        <v>0</v>
      </c>
      <c r="F38" s="81">
        <v>1</v>
      </c>
      <c r="G38" s="81">
        <v>0</v>
      </c>
      <c r="H38" s="81">
        <v>0</v>
      </c>
      <c r="I38" s="81">
        <v>0</v>
      </c>
      <c r="J38" s="81">
        <v>0</v>
      </c>
      <c r="K38" s="81">
        <v>0</v>
      </c>
      <c r="L38" s="81">
        <v>1</v>
      </c>
      <c r="M38" s="81">
        <v>0</v>
      </c>
      <c r="N38" s="81">
        <v>0</v>
      </c>
      <c r="O38" s="81">
        <v>0</v>
      </c>
      <c r="P38" s="81">
        <v>0</v>
      </c>
      <c r="Q38" s="81">
        <v>0</v>
      </c>
      <c r="R38" s="81">
        <v>0</v>
      </c>
      <c r="S38" s="81">
        <v>0</v>
      </c>
      <c r="T38" s="81">
        <v>0</v>
      </c>
      <c r="U38" s="81">
        <v>0</v>
      </c>
      <c r="V38" s="81">
        <v>0</v>
      </c>
      <c r="W38" s="81">
        <v>0</v>
      </c>
      <c r="X38" s="81">
        <v>0</v>
      </c>
      <c r="Y38" s="81">
        <v>1</v>
      </c>
      <c r="Z38" s="81">
        <v>0</v>
      </c>
      <c r="AA38" s="81">
        <v>1</v>
      </c>
      <c r="AB38" s="81">
        <v>0</v>
      </c>
      <c r="AC38" s="81">
        <v>1</v>
      </c>
      <c r="AD38" s="81">
        <v>0</v>
      </c>
      <c r="AE38" s="81">
        <v>1</v>
      </c>
      <c r="AF38" s="81">
        <v>0</v>
      </c>
      <c r="AG38" s="81">
        <v>1</v>
      </c>
      <c r="AH38" s="81">
        <v>0</v>
      </c>
      <c r="AI38" s="81">
        <v>1</v>
      </c>
      <c r="AJ38" s="81">
        <v>0</v>
      </c>
      <c r="AK38" s="81">
        <v>0</v>
      </c>
      <c r="AL38" s="81">
        <v>0</v>
      </c>
      <c r="AM38" s="81">
        <v>1</v>
      </c>
      <c r="AN38" s="81">
        <v>1</v>
      </c>
      <c r="AO38" s="81">
        <v>0</v>
      </c>
      <c r="AP38" s="81">
        <v>0</v>
      </c>
      <c r="AQ38" s="81">
        <v>0</v>
      </c>
      <c r="AR38" s="81">
        <v>0</v>
      </c>
      <c r="AS38" s="81">
        <v>0</v>
      </c>
      <c r="AT38" s="81">
        <v>0</v>
      </c>
      <c r="AU38" s="81">
        <v>0</v>
      </c>
      <c r="AV38" s="81">
        <v>0</v>
      </c>
      <c r="AW38" s="81">
        <v>0</v>
      </c>
      <c r="AX38" s="81">
        <v>1</v>
      </c>
      <c r="AY38" s="81">
        <v>0</v>
      </c>
      <c r="AZ38" s="81">
        <v>0</v>
      </c>
      <c r="BA38" s="81">
        <v>0</v>
      </c>
      <c r="BB38" s="81">
        <v>3</v>
      </c>
      <c r="BC38" s="81">
        <v>2</v>
      </c>
      <c r="BD38" s="81">
        <v>2</v>
      </c>
      <c r="BE38" s="81">
        <v>2</v>
      </c>
      <c r="BF38" s="81">
        <v>3</v>
      </c>
      <c r="BG38" s="81">
        <v>2</v>
      </c>
      <c r="BH38" s="81">
        <v>2</v>
      </c>
      <c r="BI38" s="81">
        <v>1</v>
      </c>
      <c r="BJ38" s="81">
        <v>2</v>
      </c>
      <c r="BK38" s="81">
        <v>2</v>
      </c>
      <c r="BL38" s="81">
        <v>2</v>
      </c>
      <c r="BM38" s="81">
        <v>1</v>
      </c>
      <c r="BN38" s="81">
        <v>3</v>
      </c>
      <c r="BO38" s="81">
        <v>3</v>
      </c>
      <c r="BP38" s="81">
        <v>3</v>
      </c>
      <c r="BQ38" s="81">
        <v>2</v>
      </c>
      <c r="BR38" s="81">
        <v>2</v>
      </c>
      <c r="BS38" s="81">
        <v>2</v>
      </c>
      <c r="BT38" s="81">
        <v>3</v>
      </c>
      <c r="BU38" s="81">
        <v>0</v>
      </c>
      <c r="BV38" s="81">
        <v>1</v>
      </c>
      <c r="BW38" s="81">
        <v>0</v>
      </c>
      <c r="BX38" s="81">
        <v>0</v>
      </c>
      <c r="BY38" s="81">
        <v>0</v>
      </c>
      <c r="BZ38" s="81">
        <v>1</v>
      </c>
      <c r="CA38" s="81">
        <v>0</v>
      </c>
      <c r="CB38" s="81">
        <v>2</v>
      </c>
      <c r="CC38" s="81">
        <v>2</v>
      </c>
      <c r="CD38" s="81">
        <v>2</v>
      </c>
      <c r="CE38" s="81">
        <v>2</v>
      </c>
      <c r="CF38" s="81">
        <v>3</v>
      </c>
      <c r="CG38" s="81">
        <v>2</v>
      </c>
      <c r="CH38" s="81">
        <v>0</v>
      </c>
      <c r="CI38" s="81">
        <v>1</v>
      </c>
      <c r="CJ38" s="81">
        <v>0</v>
      </c>
      <c r="CK38" s="81">
        <v>1</v>
      </c>
      <c r="CL38" s="81">
        <v>1</v>
      </c>
      <c r="CM38" s="81">
        <v>0</v>
      </c>
      <c r="CN38" s="81">
        <v>1</v>
      </c>
      <c r="CO38" s="81" t="s">
        <v>574</v>
      </c>
    </row>
    <row r="39" spans="1:93" ht="11.55" customHeight="1" x14ac:dyDescent="0.3">
      <c r="A39" s="81" t="s">
        <v>577</v>
      </c>
      <c r="B39" s="81" t="s">
        <v>578</v>
      </c>
      <c r="C39" s="81" t="s">
        <v>395</v>
      </c>
      <c r="D39" s="94">
        <v>24</v>
      </c>
      <c r="E39" s="81">
        <v>0</v>
      </c>
      <c r="F39" s="81">
        <v>1</v>
      </c>
      <c r="G39" s="81">
        <v>0</v>
      </c>
      <c r="H39" s="81">
        <v>0</v>
      </c>
      <c r="I39" s="81">
        <v>0</v>
      </c>
      <c r="J39" s="81">
        <v>0</v>
      </c>
      <c r="K39" s="81">
        <v>0</v>
      </c>
      <c r="L39" s="81">
        <v>1</v>
      </c>
      <c r="M39" s="81">
        <v>0</v>
      </c>
      <c r="N39" s="81">
        <v>0</v>
      </c>
      <c r="O39" s="81">
        <v>0</v>
      </c>
      <c r="P39" s="81">
        <v>0</v>
      </c>
      <c r="Q39" s="81">
        <v>0</v>
      </c>
      <c r="R39" s="81">
        <v>0</v>
      </c>
      <c r="S39" s="81">
        <v>0</v>
      </c>
      <c r="T39" s="81">
        <v>0</v>
      </c>
      <c r="U39" s="81">
        <v>0</v>
      </c>
      <c r="V39" s="81">
        <v>0</v>
      </c>
      <c r="W39" s="81">
        <v>0</v>
      </c>
      <c r="X39" s="81">
        <v>0</v>
      </c>
      <c r="Y39" s="81">
        <v>1</v>
      </c>
      <c r="Z39" s="81">
        <v>0</v>
      </c>
      <c r="AA39" s="81">
        <v>1</v>
      </c>
      <c r="AB39" s="81">
        <v>0</v>
      </c>
      <c r="AC39" s="81">
        <v>1</v>
      </c>
      <c r="AD39" s="81">
        <v>0</v>
      </c>
      <c r="AE39" s="81">
        <v>1</v>
      </c>
      <c r="AF39" s="81">
        <v>0</v>
      </c>
      <c r="AG39" s="81">
        <v>1</v>
      </c>
      <c r="AH39" s="81">
        <v>0</v>
      </c>
      <c r="AI39" s="81">
        <v>1</v>
      </c>
      <c r="AJ39" s="81">
        <v>0</v>
      </c>
      <c r="AK39" s="81">
        <v>0</v>
      </c>
      <c r="AL39" s="81">
        <v>0</v>
      </c>
      <c r="AM39" s="81">
        <v>1</v>
      </c>
      <c r="AN39" s="81">
        <v>1</v>
      </c>
      <c r="AO39" s="81">
        <v>0</v>
      </c>
      <c r="AP39" s="81">
        <v>0</v>
      </c>
      <c r="AQ39" s="81">
        <v>0</v>
      </c>
      <c r="AR39" s="81">
        <v>0</v>
      </c>
      <c r="AS39" s="81">
        <v>0</v>
      </c>
      <c r="AT39" s="81">
        <v>0</v>
      </c>
      <c r="AU39" s="81">
        <v>0</v>
      </c>
      <c r="AV39" s="81">
        <v>0</v>
      </c>
      <c r="AW39" s="81">
        <v>0</v>
      </c>
      <c r="AX39" s="81">
        <v>1</v>
      </c>
      <c r="AY39" s="81">
        <v>0</v>
      </c>
      <c r="AZ39" s="81">
        <v>0</v>
      </c>
      <c r="BA39" s="81">
        <v>0</v>
      </c>
      <c r="BB39" s="81">
        <v>3</v>
      </c>
      <c r="BC39" s="81">
        <v>2</v>
      </c>
      <c r="BD39" s="81">
        <v>2</v>
      </c>
      <c r="BE39" s="81">
        <v>2</v>
      </c>
      <c r="BF39" s="81">
        <v>3</v>
      </c>
      <c r="BG39" s="81">
        <v>2</v>
      </c>
      <c r="BH39" s="81">
        <v>2</v>
      </c>
      <c r="BI39" s="81">
        <v>1</v>
      </c>
      <c r="BJ39" s="81">
        <v>2</v>
      </c>
      <c r="BK39" s="81">
        <v>2</v>
      </c>
      <c r="BL39" s="81">
        <v>2</v>
      </c>
      <c r="BM39" s="81">
        <v>1</v>
      </c>
      <c r="BN39" s="81">
        <v>3</v>
      </c>
      <c r="BO39" s="81">
        <v>3</v>
      </c>
      <c r="BP39" s="81">
        <v>3</v>
      </c>
      <c r="BQ39" s="81">
        <v>2</v>
      </c>
      <c r="BR39" s="81">
        <v>2</v>
      </c>
      <c r="BS39" s="81">
        <v>2</v>
      </c>
      <c r="BT39" s="81">
        <v>3</v>
      </c>
      <c r="BU39" s="81">
        <v>0</v>
      </c>
      <c r="BV39" s="81">
        <v>1</v>
      </c>
      <c r="BW39" s="81">
        <v>0</v>
      </c>
      <c r="BX39" s="81">
        <v>0</v>
      </c>
      <c r="BY39" s="81">
        <v>0</v>
      </c>
      <c r="BZ39" s="81">
        <v>1</v>
      </c>
      <c r="CA39" s="81">
        <v>0</v>
      </c>
      <c r="CB39" s="81">
        <v>2</v>
      </c>
      <c r="CC39" s="81">
        <v>2</v>
      </c>
      <c r="CD39" s="81">
        <v>2</v>
      </c>
      <c r="CE39" s="81">
        <v>2</v>
      </c>
      <c r="CF39" s="81">
        <v>3</v>
      </c>
      <c r="CG39" s="81">
        <v>2</v>
      </c>
      <c r="CH39" s="81">
        <v>0</v>
      </c>
      <c r="CI39" s="81">
        <v>1</v>
      </c>
      <c r="CJ39" s="81">
        <v>0</v>
      </c>
      <c r="CK39" s="81">
        <v>1</v>
      </c>
      <c r="CL39" s="81">
        <v>1</v>
      </c>
      <c r="CM39" s="81">
        <v>0</v>
      </c>
      <c r="CN39" s="81">
        <v>1</v>
      </c>
      <c r="CO39" s="81" t="s">
        <v>574</v>
      </c>
    </row>
    <row r="40" spans="1:93" ht="11.55" customHeight="1" x14ac:dyDescent="0.3">
      <c r="A40" s="81" t="s">
        <v>579</v>
      </c>
      <c r="B40" s="81" t="s">
        <v>580</v>
      </c>
      <c r="C40" s="81" t="s">
        <v>395</v>
      </c>
      <c r="D40" s="94">
        <v>24</v>
      </c>
      <c r="E40" s="81">
        <v>0</v>
      </c>
      <c r="F40" s="81">
        <v>1</v>
      </c>
      <c r="G40" s="81">
        <v>0</v>
      </c>
      <c r="H40" s="81">
        <v>0</v>
      </c>
      <c r="I40" s="81">
        <v>0</v>
      </c>
      <c r="J40" s="81">
        <v>0</v>
      </c>
      <c r="K40" s="81">
        <v>0</v>
      </c>
      <c r="L40" s="81">
        <v>1</v>
      </c>
      <c r="M40" s="81">
        <v>0</v>
      </c>
      <c r="N40" s="81">
        <v>0</v>
      </c>
      <c r="O40" s="81">
        <v>0</v>
      </c>
      <c r="P40" s="81">
        <v>0</v>
      </c>
      <c r="Q40" s="81">
        <v>0</v>
      </c>
      <c r="R40" s="81">
        <v>0</v>
      </c>
      <c r="S40" s="81">
        <v>0</v>
      </c>
      <c r="T40" s="81">
        <v>0</v>
      </c>
      <c r="U40" s="81">
        <v>0</v>
      </c>
      <c r="V40" s="81">
        <v>0</v>
      </c>
      <c r="W40" s="81">
        <v>0</v>
      </c>
      <c r="X40" s="81">
        <v>0</v>
      </c>
      <c r="Y40" s="81">
        <v>1</v>
      </c>
      <c r="Z40" s="81">
        <v>0</v>
      </c>
      <c r="AA40" s="81">
        <v>1</v>
      </c>
      <c r="AB40" s="81">
        <v>0</v>
      </c>
      <c r="AC40" s="81">
        <v>1</v>
      </c>
      <c r="AD40" s="81">
        <v>0</v>
      </c>
      <c r="AE40" s="81">
        <v>1</v>
      </c>
      <c r="AF40" s="81">
        <v>0</v>
      </c>
      <c r="AG40" s="81">
        <v>1</v>
      </c>
      <c r="AH40" s="81">
        <v>0</v>
      </c>
      <c r="AI40" s="81">
        <v>1</v>
      </c>
      <c r="AJ40" s="81">
        <v>0</v>
      </c>
      <c r="AK40" s="81">
        <v>0</v>
      </c>
      <c r="AL40" s="81">
        <v>0</v>
      </c>
      <c r="AM40" s="81">
        <v>1</v>
      </c>
      <c r="AN40" s="81">
        <v>1</v>
      </c>
      <c r="AO40" s="81">
        <v>0</v>
      </c>
      <c r="AP40" s="81">
        <v>0</v>
      </c>
      <c r="AQ40" s="81">
        <v>0</v>
      </c>
      <c r="AR40" s="81">
        <v>0</v>
      </c>
      <c r="AS40" s="81">
        <v>0</v>
      </c>
      <c r="AT40" s="81">
        <v>0</v>
      </c>
      <c r="AU40" s="81">
        <v>0</v>
      </c>
      <c r="AV40" s="81">
        <v>0</v>
      </c>
      <c r="AW40" s="81">
        <v>0</v>
      </c>
      <c r="AX40" s="81">
        <v>1</v>
      </c>
      <c r="AY40" s="81">
        <v>0</v>
      </c>
      <c r="AZ40" s="81">
        <v>0</v>
      </c>
      <c r="BA40" s="81">
        <v>0</v>
      </c>
      <c r="BB40" s="81">
        <v>3</v>
      </c>
      <c r="BC40" s="81">
        <v>2</v>
      </c>
      <c r="BD40" s="81">
        <v>2</v>
      </c>
      <c r="BE40" s="81">
        <v>2</v>
      </c>
      <c r="BF40" s="81">
        <v>3</v>
      </c>
      <c r="BG40" s="81">
        <v>2</v>
      </c>
      <c r="BH40" s="81">
        <v>2</v>
      </c>
      <c r="BI40" s="81">
        <v>1</v>
      </c>
      <c r="BJ40" s="81">
        <v>2</v>
      </c>
      <c r="BK40" s="81">
        <v>2</v>
      </c>
      <c r="BL40" s="81">
        <v>2</v>
      </c>
      <c r="BM40" s="81">
        <v>1</v>
      </c>
      <c r="BN40" s="81">
        <v>3</v>
      </c>
      <c r="BO40" s="81">
        <v>3</v>
      </c>
      <c r="BP40" s="81">
        <v>3</v>
      </c>
      <c r="BQ40" s="81">
        <v>2</v>
      </c>
      <c r="BR40" s="81">
        <v>2</v>
      </c>
      <c r="BS40" s="81">
        <v>2</v>
      </c>
      <c r="BT40" s="81">
        <v>3</v>
      </c>
      <c r="BU40" s="81">
        <v>0</v>
      </c>
      <c r="BV40" s="81">
        <v>1</v>
      </c>
      <c r="BW40" s="81">
        <v>0</v>
      </c>
      <c r="BX40" s="81">
        <v>0</v>
      </c>
      <c r="BY40" s="81">
        <v>0</v>
      </c>
      <c r="BZ40" s="81">
        <v>1</v>
      </c>
      <c r="CA40" s="81">
        <v>0</v>
      </c>
      <c r="CB40" s="81">
        <v>2</v>
      </c>
      <c r="CC40" s="81">
        <v>2</v>
      </c>
      <c r="CD40" s="81">
        <v>2</v>
      </c>
      <c r="CE40" s="81">
        <v>2</v>
      </c>
      <c r="CF40" s="81">
        <v>3</v>
      </c>
      <c r="CG40" s="81">
        <v>2</v>
      </c>
      <c r="CH40" s="81">
        <v>0</v>
      </c>
      <c r="CI40" s="81">
        <v>1</v>
      </c>
      <c r="CJ40" s="81">
        <v>0</v>
      </c>
      <c r="CK40" s="81">
        <v>1</v>
      </c>
      <c r="CL40" s="81">
        <v>1</v>
      </c>
      <c r="CM40" s="81">
        <v>0</v>
      </c>
      <c r="CN40" s="81">
        <v>1</v>
      </c>
      <c r="CO40" s="81" t="s">
        <v>574</v>
      </c>
    </row>
    <row r="41" spans="1:93" ht="11.55" customHeight="1" x14ac:dyDescent="0.3">
      <c r="A41" s="81" t="s">
        <v>581</v>
      </c>
      <c r="B41" s="81" t="s">
        <v>582</v>
      </c>
      <c r="C41" s="81" t="s">
        <v>395</v>
      </c>
      <c r="D41" s="94">
        <v>24</v>
      </c>
      <c r="E41" s="81">
        <v>0</v>
      </c>
      <c r="F41" s="81">
        <v>1</v>
      </c>
      <c r="G41" s="81">
        <v>0</v>
      </c>
      <c r="H41" s="81">
        <v>0</v>
      </c>
      <c r="I41" s="81">
        <v>0</v>
      </c>
      <c r="J41" s="81">
        <v>0</v>
      </c>
      <c r="K41" s="81">
        <v>0</v>
      </c>
      <c r="L41" s="81">
        <v>1</v>
      </c>
      <c r="M41" s="81">
        <v>0</v>
      </c>
      <c r="N41" s="81">
        <v>0</v>
      </c>
      <c r="O41" s="81">
        <v>0</v>
      </c>
      <c r="P41" s="81">
        <v>0</v>
      </c>
      <c r="Q41" s="81">
        <v>0</v>
      </c>
      <c r="R41" s="81">
        <v>0</v>
      </c>
      <c r="S41" s="81">
        <v>0</v>
      </c>
      <c r="T41" s="81">
        <v>0</v>
      </c>
      <c r="U41" s="81">
        <v>0</v>
      </c>
      <c r="V41" s="81">
        <v>0</v>
      </c>
      <c r="W41" s="81">
        <v>0</v>
      </c>
      <c r="X41" s="81">
        <v>0</v>
      </c>
      <c r="Y41" s="81">
        <v>1</v>
      </c>
      <c r="Z41" s="81">
        <v>0</v>
      </c>
      <c r="AA41" s="81">
        <v>1</v>
      </c>
      <c r="AB41" s="81">
        <v>0</v>
      </c>
      <c r="AC41" s="81">
        <v>1</v>
      </c>
      <c r="AD41" s="81">
        <v>0</v>
      </c>
      <c r="AE41" s="81">
        <v>1</v>
      </c>
      <c r="AF41" s="81">
        <v>0</v>
      </c>
      <c r="AG41" s="81">
        <v>1</v>
      </c>
      <c r="AH41" s="81">
        <v>0</v>
      </c>
      <c r="AI41" s="81">
        <v>1</v>
      </c>
      <c r="AJ41" s="81">
        <v>0</v>
      </c>
      <c r="AK41" s="81">
        <v>0</v>
      </c>
      <c r="AL41" s="81">
        <v>0</v>
      </c>
      <c r="AM41" s="81">
        <v>1</v>
      </c>
      <c r="AN41" s="81">
        <v>1</v>
      </c>
      <c r="AO41" s="81">
        <v>0</v>
      </c>
      <c r="AP41" s="81">
        <v>0</v>
      </c>
      <c r="AQ41" s="81">
        <v>0</v>
      </c>
      <c r="AR41" s="81">
        <v>0</v>
      </c>
      <c r="AS41" s="81">
        <v>0</v>
      </c>
      <c r="AT41" s="81">
        <v>0</v>
      </c>
      <c r="AU41" s="81">
        <v>0</v>
      </c>
      <c r="AV41" s="81">
        <v>0</v>
      </c>
      <c r="AW41" s="81">
        <v>0</v>
      </c>
      <c r="AX41" s="81">
        <v>1</v>
      </c>
      <c r="AY41" s="81">
        <v>0</v>
      </c>
      <c r="AZ41" s="81">
        <v>0</v>
      </c>
      <c r="BA41" s="81">
        <v>0</v>
      </c>
      <c r="BB41" s="81">
        <v>3</v>
      </c>
      <c r="BC41" s="81">
        <v>2</v>
      </c>
      <c r="BD41" s="81">
        <v>2</v>
      </c>
      <c r="BE41" s="81">
        <v>2</v>
      </c>
      <c r="BF41" s="81">
        <v>3</v>
      </c>
      <c r="BG41" s="81">
        <v>2</v>
      </c>
      <c r="BH41" s="81">
        <v>2</v>
      </c>
      <c r="BI41" s="81">
        <v>1</v>
      </c>
      <c r="BJ41" s="81">
        <v>2</v>
      </c>
      <c r="BK41" s="81">
        <v>2</v>
      </c>
      <c r="BL41" s="81">
        <v>2</v>
      </c>
      <c r="BM41" s="81">
        <v>1</v>
      </c>
      <c r="BN41" s="81">
        <v>3</v>
      </c>
      <c r="BO41" s="81">
        <v>3</v>
      </c>
      <c r="BP41" s="81">
        <v>3</v>
      </c>
      <c r="BQ41" s="81">
        <v>2</v>
      </c>
      <c r="BR41" s="81">
        <v>2</v>
      </c>
      <c r="BS41" s="81">
        <v>2</v>
      </c>
      <c r="BT41" s="81">
        <v>3</v>
      </c>
      <c r="BU41" s="81">
        <v>0</v>
      </c>
      <c r="BV41" s="81">
        <v>1</v>
      </c>
      <c r="BW41" s="81">
        <v>0</v>
      </c>
      <c r="BX41" s="81">
        <v>0</v>
      </c>
      <c r="BY41" s="81">
        <v>0</v>
      </c>
      <c r="BZ41" s="81">
        <v>1</v>
      </c>
      <c r="CA41" s="81">
        <v>0</v>
      </c>
      <c r="CB41" s="81">
        <v>2</v>
      </c>
      <c r="CC41" s="81">
        <v>2</v>
      </c>
      <c r="CD41" s="81">
        <v>2</v>
      </c>
      <c r="CE41" s="81">
        <v>2</v>
      </c>
      <c r="CF41" s="81">
        <v>3</v>
      </c>
      <c r="CG41" s="81">
        <v>2</v>
      </c>
      <c r="CH41" s="81">
        <v>0</v>
      </c>
      <c r="CI41" s="81">
        <v>1</v>
      </c>
      <c r="CJ41" s="81">
        <v>0</v>
      </c>
      <c r="CK41" s="81">
        <v>1</v>
      </c>
      <c r="CL41" s="81">
        <v>1</v>
      </c>
      <c r="CM41" s="81">
        <v>0</v>
      </c>
      <c r="CN41" s="81">
        <v>1</v>
      </c>
      <c r="CO41" s="81" t="s">
        <v>574</v>
      </c>
    </row>
    <row r="42" spans="1:93" ht="11.55" customHeight="1" x14ac:dyDescent="0.3">
      <c r="A42" s="81" t="s">
        <v>583</v>
      </c>
      <c r="B42" s="81" t="s">
        <v>584</v>
      </c>
      <c r="C42" s="81" t="s">
        <v>395</v>
      </c>
      <c r="D42" s="94">
        <v>24</v>
      </c>
      <c r="E42" s="81">
        <v>0</v>
      </c>
      <c r="F42" s="81">
        <v>1</v>
      </c>
      <c r="G42" s="81">
        <v>0</v>
      </c>
      <c r="H42" s="81">
        <v>0</v>
      </c>
      <c r="I42" s="81">
        <v>0</v>
      </c>
      <c r="J42" s="81">
        <v>0</v>
      </c>
      <c r="K42" s="81">
        <v>0</v>
      </c>
      <c r="L42" s="81">
        <v>1</v>
      </c>
      <c r="M42" s="81">
        <v>0</v>
      </c>
      <c r="N42" s="81">
        <v>0</v>
      </c>
      <c r="O42" s="81">
        <v>0</v>
      </c>
      <c r="P42" s="81">
        <v>0</v>
      </c>
      <c r="Q42" s="81">
        <v>0</v>
      </c>
      <c r="R42" s="81">
        <v>0</v>
      </c>
      <c r="S42" s="81">
        <v>0</v>
      </c>
      <c r="T42" s="81">
        <v>0</v>
      </c>
      <c r="U42" s="81">
        <v>0</v>
      </c>
      <c r="V42" s="81">
        <v>0</v>
      </c>
      <c r="W42" s="81">
        <v>0</v>
      </c>
      <c r="X42" s="81">
        <v>0</v>
      </c>
      <c r="Y42" s="81">
        <v>1</v>
      </c>
      <c r="Z42" s="81">
        <v>0</v>
      </c>
      <c r="AA42" s="81">
        <v>1</v>
      </c>
      <c r="AB42" s="81">
        <v>0</v>
      </c>
      <c r="AC42" s="81">
        <v>1</v>
      </c>
      <c r="AD42" s="81">
        <v>0</v>
      </c>
      <c r="AE42" s="81">
        <v>1</v>
      </c>
      <c r="AF42" s="81">
        <v>0</v>
      </c>
      <c r="AG42" s="81">
        <v>1</v>
      </c>
      <c r="AH42" s="81">
        <v>0</v>
      </c>
      <c r="AI42" s="81">
        <v>1</v>
      </c>
      <c r="AJ42" s="81">
        <v>0</v>
      </c>
      <c r="AK42" s="81">
        <v>0</v>
      </c>
      <c r="AL42" s="81">
        <v>0</v>
      </c>
      <c r="AM42" s="81">
        <v>1</v>
      </c>
      <c r="AN42" s="81">
        <v>1</v>
      </c>
      <c r="AO42" s="81">
        <v>0</v>
      </c>
      <c r="AP42" s="81">
        <v>0</v>
      </c>
      <c r="AQ42" s="81">
        <v>0</v>
      </c>
      <c r="AR42" s="81">
        <v>0</v>
      </c>
      <c r="AS42" s="81">
        <v>0</v>
      </c>
      <c r="AT42" s="81">
        <v>0</v>
      </c>
      <c r="AU42" s="81">
        <v>0</v>
      </c>
      <c r="AV42" s="81">
        <v>0</v>
      </c>
      <c r="AW42" s="81">
        <v>0</v>
      </c>
      <c r="AX42" s="81">
        <v>1</v>
      </c>
      <c r="AY42" s="81">
        <v>0</v>
      </c>
      <c r="AZ42" s="81">
        <v>0</v>
      </c>
      <c r="BA42" s="81">
        <v>0</v>
      </c>
      <c r="BB42" s="81">
        <v>3</v>
      </c>
      <c r="BC42" s="81">
        <v>2</v>
      </c>
      <c r="BD42" s="81">
        <v>2</v>
      </c>
      <c r="BE42" s="81">
        <v>2</v>
      </c>
      <c r="BF42" s="81">
        <v>3</v>
      </c>
      <c r="BG42" s="81">
        <v>2</v>
      </c>
      <c r="BH42" s="81">
        <v>2</v>
      </c>
      <c r="BI42" s="81">
        <v>1</v>
      </c>
      <c r="BJ42" s="81">
        <v>2</v>
      </c>
      <c r="BK42" s="81">
        <v>2</v>
      </c>
      <c r="BL42" s="81">
        <v>2</v>
      </c>
      <c r="BM42" s="81">
        <v>1</v>
      </c>
      <c r="BN42" s="81">
        <v>3</v>
      </c>
      <c r="BO42" s="81">
        <v>3</v>
      </c>
      <c r="BP42" s="81">
        <v>3</v>
      </c>
      <c r="BQ42" s="81">
        <v>2</v>
      </c>
      <c r="BR42" s="81">
        <v>2</v>
      </c>
      <c r="BS42" s="81">
        <v>2</v>
      </c>
      <c r="BT42" s="81">
        <v>3</v>
      </c>
      <c r="BU42" s="81">
        <v>0</v>
      </c>
      <c r="BV42" s="81">
        <v>1</v>
      </c>
      <c r="BW42" s="81">
        <v>0</v>
      </c>
      <c r="BX42" s="81">
        <v>0</v>
      </c>
      <c r="BY42" s="81">
        <v>0</v>
      </c>
      <c r="BZ42" s="81">
        <v>1</v>
      </c>
      <c r="CA42" s="81">
        <v>0</v>
      </c>
      <c r="CB42" s="81">
        <v>2</v>
      </c>
      <c r="CC42" s="81">
        <v>2</v>
      </c>
      <c r="CD42" s="81">
        <v>2</v>
      </c>
      <c r="CE42" s="81">
        <v>2</v>
      </c>
      <c r="CF42" s="81">
        <v>3</v>
      </c>
      <c r="CG42" s="81">
        <v>2</v>
      </c>
      <c r="CH42" s="81">
        <v>0</v>
      </c>
      <c r="CI42" s="81">
        <v>1</v>
      </c>
      <c r="CJ42" s="81">
        <v>0</v>
      </c>
      <c r="CK42" s="81">
        <v>1</v>
      </c>
      <c r="CL42" s="81">
        <v>1</v>
      </c>
      <c r="CM42" s="81">
        <v>0</v>
      </c>
      <c r="CN42" s="81">
        <v>1</v>
      </c>
      <c r="CO42" s="81" t="s">
        <v>574</v>
      </c>
    </row>
    <row r="43" spans="1:93" ht="11.55" customHeight="1" x14ac:dyDescent="0.3">
      <c r="A43" s="81" t="s">
        <v>585</v>
      </c>
      <c r="B43" s="81" t="s">
        <v>586</v>
      </c>
      <c r="C43" s="81" t="s">
        <v>395</v>
      </c>
      <c r="D43" s="94">
        <v>24</v>
      </c>
      <c r="E43" s="81">
        <v>0</v>
      </c>
      <c r="F43" s="81">
        <v>1</v>
      </c>
      <c r="G43" s="81">
        <v>0</v>
      </c>
      <c r="H43" s="81">
        <v>0</v>
      </c>
      <c r="I43" s="81">
        <v>0</v>
      </c>
      <c r="J43" s="81">
        <v>0</v>
      </c>
      <c r="K43" s="81">
        <v>0</v>
      </c>
      <c r="L43" s="81">
        <v>1</v>
      </c>
      <c r="M43" s="81">
        <v>0</v>
      </c>
      <c r="N43" s="81">
        <v>0</v>
      </c>
      <c r="O43" s="81">
        <v>0</v>
      </c>
      <c r="P43" s="81">
        <v>0</v>
      </c>
      <c r="Q43" s="81">
        <v>0</v>
      </c>
      <c r="R43" s="81">
        <v>0</v>
      </c>
      <c r="S43" s="81">
        <v>0</v>
      </c>
      <c r="T43" s="81">
        <v>0</v>
      </c>
      <c r="U43" s="81">
        <v>0</v>
      </c>
      <c r="V43" s="81">
        <v>0</v>
      </c>
      <c r="W43" s="81">
        <v>0</v>
      </c>
      <c r="X43" s="81">
        <v>0</v>
      </c>
      <c r="Y43" s="81">
        <v>1</v>
      </c>
      <c r="Z43" s="81">
        <v>0</v>
      </c>
      <c r="AA43" s="81">
        <v>1</v>
      </c>
      <c r="AB43" s="81">
        <v>0</v>
      </c>
      <c r="AC43" s="81">
        <v>1</v>
      </c>
      <c r="AD43" s="81">
        <v>0</v>
      </c>
      <c r="AE43" s="81">
        <v>1</v>
      </c>
      <c r="AF43" s="81">
        <v>0</v>
      </c>
      <c r="AG43" s="81">
        <v>1</v>
      </c>
      <c r="AH43" s="81">
        <v>0</v>
      </c>
      <c r="AI43" s="81">
        <v>1</v>
      </c>
      <c r="AJ43" s="81">
        <v>0</v>
      </c>
      <c r="AK43" s="81">
        <v>0</v>
      </c>
      <c r="AL43" s="81">
        <v>0</v>
      </c>
      <c r="AM43" s="81">
        <v>1</v>
      </c>
      <c r="AN43" s="81">
        <v>1</v>
      </c>
      <c r="AO43" s="81">
        <v>0</v>
      </c>
      <c r="AP43" s="81">
        <v>0</v>
      </c>
      <c r="AQ43" s="81">
        <v>0</v>
      </c>
      <c r="AR43" s="81">
        <v>0</v>
      </c>
      <c r="AS43" s="81">
        <v>0</v>
      </c>
      <c r="AT43" s="81">
        <v>0</v>
      </c>
      <c r="AU43" s="81">
        <v>0</v>
      </c>
      <c r="AV43" s="81">
        <v>0</v>
      </c>
      <c r="AW43" s="81">
        <v>0</v>
      </c>
      <c r="AX43" s="81">
        <v>1</v>
      </c>
      <c r="AY43" s="81">
        <v>0</v>
      </c>
      <c r="AZ43" s="81">
        <v>0</v>
      </c>
      <c r="BA43" s="81">
        <v>0</v>
      </c>
      <c r="BB43" s="81">
        <v>3</v>
      </c>
      <c r="BC43" s="81">
        <v>2</v>
      </c>
      <c r="BD43" s="81">
        <v>2</v>
      </c>
      <c r="BE43" s="81">
        <v>2</v>
      </c>
      <c r="BF43" s="81">
        <v>3</v>
      </c>
      <c r="BG43" s="81">
        <v>2</v>
      </c>
      <c r="BH43" s="81">
        <v>2</v>
      </c>
      <c r="BI43" s="81">
        <v>1</v>
      </c>
      <c r="BJ43" s="81">
        <v>2</v>
      </c>
      <c r="BK43" s="81">
        <v>2</v>
      </c>
      <c r="BL43" s="81">
        <v>2</v>
      </c>
      <c r="BM43" s="81">
        <v>1</v>
      </c>
      <c r="BN43" s="81">
        <v>3</v>
      </c>
      <c r="BO43" s="81">
        <v>3</v>
      </c>
      <c r="BP43" s="81">
        <v>3</v>
      </c>
      <c r="BQ43" s="81">
        <v>2</v>
      </c>
      <c r="BR43" s="81">
        <v>2</v>
      </c>
      <c r="BS43" s="81">
        <v>2</v>
      </c>
      <c r="BT43" s="81">
        <v>3</v>
      </c>
      <c r="BU43" s="81">
        <v>0</v>
      </c>
      <c r="BV43" s="81">
        <v>1</v>
      </c>
      <c r="BW43" s="81">
        <v>0</v>
      </c>
      <c r="BX43" s="81">
        <v>0</v>
      </c>
      <c r="BY43" s="81">
        <v>0</v>
      </c>
      <c r="BZ43" s="81">
        <v>1</v>
      </c>
      <c r="CA43" s="81">
        <v>0</v>
      </c>
      <c r="CB43" s="81">
        <v>2</v>
      </c>
      <c r="CC43" s="81">
        <v>2</v>
      </c>
      <c r="CD43" s="81">
        <v>2</v>
      </c>
      <c r="CE43" s="81">
        <v>2</v>
      </c>
      <c r="CF43" s="81">
        <v>3</v>
      </c>
      <c r="CG43" s="81">
        <v>2</v>
      </c>
      <c r="CH43" s="81">
        <v>0</v>
      </c>
      <c r="CI43" s="81">
        <v>1</v>
      </c>
      <c r="CJ43" s="81">
        <v>0</v>
      </c>
      <c r="CK43" s="81">
        <v>1</v>
      </c>
      <c r="CL43" s="81">
        <v>1</v>
      </c>
      <c r="CM43" s="81">
        <v>0</v>
      </c>
      <c r="CN43" s="81">
        <v>1</v>
      </c>
      <c r="CO43" s="81" t="s">
        <v>574</v>
      </c>
    </row>
    <row r="44" spans="1:93" ht="11.55" customHeight="1" x14ac:dyDescent="0.3">
      <c r="A44" s="81" t="s">
        <v>587</v>
      </c>
      <c r="B44" s="81" t="s">
        <v>588</v>
      </c>
      <c r="C44" s="81" t="s">
        <v>395</v>
      </c>
      <c r="D44" s="94">
        <v>24</v>
      </c>
      <c r="E44" s="81">
        <v>0</v>
      </c>
      <c r="F44" s="81">
        <v>1</v>
      </c>
      <c r="G44" s="81">
        <v>0</v>
      </c>
      <c r="H44" s="81">
        <v>0</v>
      </c>
      <c r="I44" s="81">
        <v>0</v>
      </c>
      <c r="J44" s="81">
        <v>0</v>
      </c>
      <c r="K44" s="81">
        <v>0</v>
      </c>
      <c r="L44" s="81">
        <v>1</v>
      </c>
      <c r="M44" s="81">
        <v>0</v>
      </c>
      <c r="N44" s="81">
        <v>0</v>
      </c>
      <c r="O44" s="81">
        <v>0</v>
      </c>
      <c r="P44" s="81">
        <v>0</v>
      </c>
      <c r="Q44" s="81">
        <v>0</v>
      </c>
      <c r="R44" s="81">
        <v>0</v>
      </c>
      <c r="S44" s="81">
        <v>0</v>
      </c>
      <c r="T44" s="81">
        <v>0</v>
      </c>
      <c r="U44" s="81">
        <v>0</v>
      </c>
      <c r="V44" s="81">
        <v>0</v>
      </c>
      <c r="W44" s="81">
        <v>0</v>
      </c>
      <c r="X44" s="81">
        <v>0</v>
      </c>
      <c r="Y44" s="81">
        <v>1</v>
      </c>
      <c r="Z44" s="81">
        <v>0</v>
      </c>
      <c r="AA44" s="81">
        <v>1</v>
      </c>
      <c r="AB44" s="81">
        <v>0</v>
      </c>
      <c r="AC44" s="81">
        <v>1</v>
      </c>
      <c r="AD44" s="81">
        <v>0</v>
      </c>
      <c r="AE44" s="81">
        <v>1</v>
      </c>
      <c r="AF44" s="81">
        <v>0</v>
      </c>
      <c r="AG44" s="81">
        <v>1</v>
      </c>
      <c r="AH44" s="81">
        <v>0</v>
      </c>
      <c r="AI44" s="81">
        <v>1</v>
      </c>
      <c r="AJ44" s="81">
        <v>0</v>
      </c>
      <c r="AK44" s="81">
        <v>0</v>
      </c>
      <c r="AL44" s="81">
        <v>0</v>
      </c>
      <c r="AM44" s="81">
        <v>1</v>
      </c>
      <c r="AN44" s="81">
        <v>1</v>
      </c>
      <c r="AO44" s="81">
        <v>0</v>
      </c>
      <c r="AP44" s="81">
        <v>0</v>
      </c>
      <c r="AQ44" s="81">
        <v>0</v>
      </c>
      <c r="AR44" s="81">
        <v>0</v>
      </c>
      <c r="AS44" s="81">
        <v>0</v>
      </c>
      <c r="AT44" s="81">
        <v>0</v>
      </c>
      <c r="AU44" s="81">
        <v>0</v>
      </c>
      <c r="AV44" s="81">
        <v>0</v>
      </c>
      <c r="AW44" s="81">
        <v>0</v>
      </c>
      <c r="AX44" s="81">
        <v>1</v>
      </c>
      <c r="AY44" s="81">
        <v>0</v>
      </c>
      <c r="AZ44" s="81">
        <v>0</v>
      </c>
      <c r="BA44" s="81">
        <v>0</v>
      </c>
      <c r="BB44" s="81">
        <v>3</v>
      </c>
      <c r="BC44" s="81">
        <v>2</v>
      </c>
      <c r="BD44" s="81">
        <v>2</v>
      </c>
      <c r="BE44" s="81">
        <v>2</v>
      </c>
      <c r="BF44" s="81">
        <v>3</v>
      </c>
      <c r="BG44" s="81">
        <v>2</v>
      </c>
      <c r="BH44" s="81">
        <v>2</v>
      </c>
      <c r="BI44" s="81">
        <v>1</v>
      </c>
      <c r="BJ44" s="81">
        <v>2</v>
      </c>
      <c r="BK44" s="81">
        <v>2</v>
      </c>
      <c r="BL44" s="81">
        <v>2</v>
      </c>
      <c r="BM44" s="81">
        <v>1</v>
      </c>
      <c r="BN44" s="81">
        <v>3</v>
      </c>
      <c r="BO44" s="81">
        <v>3</v>
      </c>
      <c r="BP44" s="81">
        <v>3</v>
      </c>
      <c r="BQ44" s="81">
        <v>2</v>
      </c>
      <c r="BR44" s="81">
        <v>2</v>
      </c>
      <c r="BS44" s="81">
        <v>2</v>
      </c>
      <c r="BT44" s="81">
        <v>3</v>
      </c>
      <c r="BU44" s="81">
        <v>0</v>
      </c>
      <c r="BV44" s="81">
        <v>1</v>
      </c>
      <c r="BW44" s="81">
        <v>0</v>
      </c>
      <c r="BX44" s="81">
        <v>0</v>
      </c>
      <c r="BY44" s="81">
        <v>0</v>
      </c>
      <c r="BZ44" s="81">
        <v>1</v>
      </c>
      <c r="CA44" s="81">
        <v>0</v>
      </c>
      <c r="CB44" s="81">
        <v>2</v>
      </c>
      <c r="CC44" s="81">
        <v>2</v>
      </c>
      <c r="CD44" s="81">
        <v>2</v>
      </c>
      <c r="CE44" s="81">
        <v>2</v>
      </c>
      <c r="CF44" s="81">
        <v>3</v>
      </c>
      <c r="CG44" s="81">
        <v>2</v>
      </c>
      <c r="CH44" s="81">
        <v>0</v>
      </c>
      <c r="CI44" s="81">
        <v>1</v>
      </c>
      <c r="CJ44" s="81">
        <v>0</v>
      </c>
      <c r="CK44" s="81">
        <v>1</v>
      </c>
      <c r="CL44" s="81">
        <v>1</v>
      </c>
      <c r="CM44" s="81">
        <v>0</v>
      </c>
      <c r="CN44" s="81">
        <v>1</v>
      </c>
      <c r="CO44" s="81" t="s">
        <v>574</v>
      </c>
    </row>
    <row r="45" spans="1:93" ht="11.55" customHeight="1" x14ac:dyDescent="0.3">
      <c r="A45" s="81" t="s">
        <v>589</v>
      </c>
      <c r="B45" s="81" t="s">
        <v>590</v>
      </c>
      <c r="C45" s="81" t="s">
        <v>395</v>
      </c>
      <c r="D45" s="94">
        <v>24</v>
      </c>
      <c r="E45" s="81">
        <v>0</v>
      </c>
      <c r="F45" s="81">
        <v>1</v>
      </c>
      <c r="G45" s="81">
        <v>0</v>
      </c>
      <c r="H45" s="81">
        <v>0</v>
      </c>
      <c r="I45" s="81">
        <v>0</v>
      </c>
      <c r="J45" s="81">
        <v>0</v>
      </c>
      <c r="K45" s="81">
        <v>0</v>
      </c>
      <c r="L45" s="81">
        <v>1</v>
      </c>
      <c r="M45" s="81">
        <v>0</v>
      </c>
      <c r="N45" s="81">
        <v>0</v>
      </c>
      <c r="O45" s="81">
        <v>0</v>
      </c>
      <c r="P45" s="81">
        <v>0</v>
      </c>
      <c r="Q45" s="81">
        <v>0</v>
      </c>
      <c r="R45" s="81">
        <v>0</v>
      </c>
      <c r="S45" s="81">
        <v>0</v>
      </c>
      <c r="T45" s="81">
        <v>0</v>
      </c>
      <c r="U45" s="81">
        <v>0</v>
      </c>
      <c r="V45" s="81">
        <v>0</v>
      </c>
      <c r="W45" s="81">
        <v>0</v>
      </c>
      <c r="X45" s="81">
        <v>0</v>
      </c>
      <c r="Y45" s="81">
        <v>1</v>
      </c>
      <c r="Z45" s="81">
        <v>0</v>
      </c>
      <c r="AA45" s="81">
        <v>1</v>
      </c>
      <c r="AB45" s="81">
        <v>0</v>
      </c>
      <c r="AC45" s="81">
        <v>1</v>
      </c>
      <c r="AD45" s="81">
        <v>0</v>
      </c>
      <c r="AE45" s="81">
        <v>1</v>
      </c>
      <c r="AF45" s="81">
        <v>0</v>
      </c>
      <c r="AG45" s="81">
        <v>1</v>
      </c>
      <c r="AH45" s="81">
        <v>0</v>
      </c>
      <c r="AI45" s="81">
        <v>1</v>
      </c>
      <c r="AJ45" s="81">
        <v>0</v>
      </c>
      <c r="AK45" s="81">
        <v>0</v>
      </c>
      <c r="AL45" s="81">
        <v>0</v>
      </c>
      <c r="AM45" s="81">
        <v>1</v>
      </c>
      <c r="AN45" s="81">
        <v>1</v>
      </c>
      <c r="AO45" s="81">
        <v>0</v>
      </c>
      <c r="AP45" s="81">
        <v>0</v>
      </c>
      <c r="AQ45" s="81">
        <v>0</v>
      </c>
      <c r="AR45" s="81">
        <v>0</v>
      </c>
      <c r="AS45" s="81">
        <v>0</v>
      </c>
      <c r="AT45" s="81">
        <v>0</v>
      </c>
      <c r="AU45" s="81">
        <v>0</v>
      </c>
      <c r="AV45" s="81">
        <v>0</v>
      </c>
      <c r="AW45" s="81">
        <v>0</v>
      </c>
      <c r="AX45" s="81">
        <v>1</v>
      </c>
      <c r="AY45" s="81">
        <v>0</v>
      </c>
      <c r="AZ45" s="81">
        <v>0</v>
      </c>
      <c r="BA45" s="81">
        <v>0</v>
      </c>
      <c r="BB45" s="81">
        <v>3</v>
      </c>
      <c r="BC45" s="81">
        <v>2</v>
      </c>
      <c r="BD45" s="81">
        <v>2</v>
      </c>
      <c r="BE45" s="81">
        <v>2</v>
      </c>
      <c r="BF45" s="81">
        <v>3</v>
      </c>
      <c r="BG45" s="81">
        <v>2</v>
      </c>
      <c r="BH45" s="81">
        <v>2</v>
      </c>
      <c r="BI45" s="81">
        <v>1</v>
      </c>
      <c r="BJ45" s="81">
        <v>2</v>
      </c>
      <c r="BK45" s="81">
        <v>2</v>
      </c>
      <c r="BL45" s="81">
        <v>2</v>
      </c>
      <c r="BM45" s="81">
        <v>1</v>
      </c>
      <c r="BN45" s="81">
        <v>3</v>
      </c>
      <c r="BO45" s="81">
        <v>3</v>
      </c>
      <c r="BP45" s="81">
        <v>3</v>
      </c>
      <c r="BQ45" s="81">
        <v>2</v>
      </c>
      <c r="BR45" s="81">
        <v>2</v>
      </c>
      <c r="BS45" s="81">
        <v>2</v>
      </c>
      <c r="BT45" s="81">
        <v>3</v>
      </c>
      <c r="BU45" s="81">
        <v>0</v>
      </c>
      <c r="BV45" s="81">
        <v>1</v>
      </c>
      <c r="BW45" s="81">
        <v>0</v>
      </c>
      <c r="BX45" s="81">
        <v>0</v>
      </c>
      <c r="BY45" s="81">
        <v>0</v>
      </c>
      <c r="BZ45" s="81">
        <v>1</v>
      </c>
      <c r="CA45" s="81">
        <v>0</v>
      </c>
      <c r="CB45" s="81">
        <v>2</v>
      </c>
      <c r="CC45" s="81">
        <v>2</v>
      </c>
      <c r="CD45" s="81">
        <v>2</v>
      </c>
      <c r="CE45" s="81">
        <v>2</v>
      </c>
      <c r="CF45" s="81">
        <v>3</v>
      </c>
      <c r="CG45" s="81">
        <v>2</v>
      </c>
      <c r="CH45" s="81">
        <v>0</v>
      </c>
      <c r="CI45" s="81">
        <v>1</v>
      </c>
      <c r="CJ45" s="81">
        <v>0</v>
      </c>
      <c r="CK45" s="81">
        <v>1</v>
      </c>
      <c r="CL45" s="81">
        <v>1</v>
      </c>
      <c r="CM45" s="81">
        <v>0</v>
      </c>
      <c r="CN45" s="81">
        <v>1</v>
      </c>
      <c r="CO45" s="81" t="s">
        <v>574</v>
      </c>
    </row>
    <row r="46" spans="1:93" ht="11.55" customHeight="1" x14ac:dyDescent="0.3">
      <c r="A46" s="81" t="s">
        <v>591</v>
      </c>
      <c r="B46" s="81" t="s">
        <v>592</v>
      </c>
      <c r="C46" s="81" t="s">
        <v>395</v>
      </c>
      <c r="D46" s="94">
        <v>24</v>
      </c>
      <c r="E46" s="81">
        <v>0</v>
      </c>
      <c r="F46" s="81">
        <v>1</v>
      </c>
      <c r="G46" s="81">
        <v>0</v>
      </c>
      <c r="H46" s="81">
        <v>0</v>
      </c>
      <c r="I46" s="81">
        <v>0</v>
      </c>
      <c r="J46" s="81">
        <v>0</v>
      </c>
      <c r="K46" s="81">
        <v>0</v>
      </c>
      <c r="L46" s="81">
        <v>1</v>
      </c>
      <c r="M46" s="81">
        <v>0</v>
      </c>
      <c r="N46" s="81">
        <v>0</v>
      </c>
      <c r="O46" s="81">
        <v>0</v>
      </c>
      <c r="P46" s="81">
        <v>0</v>
      </c>
      <c r="Q46" s="81">
        <v>0</v>
      </c>
      <c r="R46" s="81">
        <v>0</v>
      </c>
      <c r="S46" s="81">
        <v>0</v>
      </c>
      <c r="T46" s="81">
        <v>0</v>
      </c>
      <c r="U46" s="81">
        <v>0</v>
      </c>
      <c r="V46" s="81">
        <v>0</v>
      </c>
      <c r="W46" s="81">
        <v>0</v>
      </c>
      <c r="X46" s="81">
        <v>0</v>
      </c>
      <c r="Y46" s="81">
        <v>1</v>
      </c>
      <c r="Z46" s="81">
        <v>0</v>
      </c>
      <c r="AA46" s="81">
        <v>1</v>
      </c>
      <c r="AB46" s="81">
        <v>0</v>
      </c>
      <c r="AC46" s="81">
        <v>1</v>
      </c>
      <c r="AD46" s="81">
        <v>0</v>
      </c>
      <c r="AE46" s="81">
        <v>1</v>
      </c>
      <c r="AF46" s="81">
        <v>0</v>
      </c>
      <c r="AG46" s="81">
        <v>1</v>
      </c>
      <c r="AH46" s="81">
        <v>0</v>
      </c>
      <c r="AI46" s="81">
        <v>1</v>
      </c>
      <c r="AJ46" s="81">
        <v>0</v>
      </c>
      <c r="AK46" s="81">
        <v>0</v>
      </c>
      <c r="AL46" s="81">
        <v>0</v>
      </c>
      <c r="AM46" s="81">
        <v>1</v>
      </c>
      <c r="AN46" s="81">
        <v>1</v>
      </c>
      <c r="AO46" s="81">
        <v>0</v>
      </c>
      <c r="AP46" s="81">
        <v>0</v>
      </c>
      <c r="AQ46" s="81">
        <v>0</v>
      </c>
      <c r="AR46" s="81">
        <v>0</v>
      </c>
      <c r="AS46" s="81">
        <v>0</v>
      </c>
      <c r="AT46" s="81">
        <v>0</v>
      </c>
      <c r="AU46" s="81">
        <v>0</v>
      </c>
      <c r="AV46" s="81">
        <v>0</v>
      </c>
      <c r="AW46" s="81">
        <v>0</v>
      </c>
      <c r="AX46" s="81">
        <v>1</v>
      </c>
      <c r="AY46" s="81">
        <v>0</v>
      </c>
      <c r="AZ46" s="81">
        <v>0</v>
      </c>
      <c r="BA46" s="81">
        <v>0</v>
      </c>
      <c r="BB46" s="81">
        <v>3</v>
      </c>
      <c r="BC46" s="81">
        <v>2</v>
      </c>
      <c r="BD46" s="81">
        <v>2</v>
      </c>
      <c r="BE46" s="81">
        <v>2</v>
      </c>
      <c r="BF46" s="81">
        <v>3</v>
      </c>
      <c r="BG46" s="81">
        <v>2</v>
      </c>
      <c r="BH46" s="81">
        <v>2</v>
      </c>
      <c r="BI46" s="81">
        <v>1</v>
      </c>
      <c r="BJ46" s="81">
        <v>2</v>
      </c>
      <c r="BK46" s="81">
        <v>2</v>
      </c>
      <c r="BL46" s="81">
        <v>2</v>
      </c>
      <c r="BM46" s="81">
        <v>1</v>
      </c>
      <c r="BN46" s="81">
        <v>3</v>
      </c>
      <c r="BO46" s="81">
        <v>3</v>
      </c>
      <c r="BP46" s="81">
        <v>3</v>
      </c>
      <c r="BQ46" s="81">
        <v>2</v>
      </c>
      <c r="BR46" s="81">
        <v>2</v>
      </c>
      <c r="BS46" s="81">
        <v>2</v>
      </c>
      <c r="BT46" s="81">
        <v>3</v>
      </c>
      <c r="BU46" s="81">
        <v>0</v>
      </c>
      <c r="BV46" s="81">
        <v>1</v>
      </c>
      <c r="BW46" s="81">
        <v>0</v>
      </c>
      <c r="BX46" s="81">
        <v>0</v>
      </c>
      <c r="BY46" s="81">
        <v>0</v>
      </c>
      <c r="BZ46" s="81">
        <v>1</v>
      </c>
      <c r="CA46" s="81">
        <v>0</v>
      </c>
      <c r="CB46" s="81">
        <v>2</v>
      </c>
      <c r="CC46" s="81">
        <v>2</v>
      </c>
      <c r="CD46" s="81">
        <v>2</v>
      </c>
      <c r="CE46" s="81">
        <v>2</v>
      </c>
      <c r="CF46" s="81">
        <v>3</v>
      </c>
      <c r="CG46" s="81">
        <v>2</v>
      </c>
      <c r="CH46" s="81">
        <v>0</v>
      </c>
      <c r="CI46" s="81">
        <v>1</v>
      </c>
      <c r="CJ46" s="81">
        <v>0</v>
      </c>
      <c r="CK46" s="81">
        <v>1</v>
      </c>
      <c r="CL46" s="81">
        <v>1</v>
      </c>
      <c r="CM46" s="81">
        <v>0</v>
      </c>
      <c r="CN46" s="81">
        <v>1</v>
      </c>
      <c r="CO46" s="81" t="s">
        <v>574</v>
      </c>
    </row>
    <row r="47" spans="1:93" ht="11.55" customHeight="1" x14ac:dyDescent="0.3">
      <c r="A47" s="81" t="s">
        <v>593</v>
      </c>
      <c r="B47" s="81" t="s">
        <v>594</v>
      </c>
      <c r="C47" s="81" t="s">
        <v>395</v>
      </c>
      <c r="D47" s="94">
        <v>24</v>
      </c>
      <c r="E47" s="81">
        <v>0</v>
      </c>
      <c r="F47" s="81">
        <v>1</v>
      </c>
      <c r="G47" s="81">
        <v>0</v>
      </c>
      <c r="H47" s="81">
        <v>0</v>
      </c>
      <c r="I47" s="81">
        <v>0</v>
      </c>
      <c r="J47" s="81">
        <v>0</v>
      </c>
      <c r="K47" s="81">
        <v>0</v>
      </c>
      <c r="L47" s="81">
        <v>1</v>
      </c>
      <c r="M47" s="81">
        <v>0</v>
      </c>
      <c r="N47" s="81">
        <v>0</v>
      </c>
      <c r="O47" s="81">
        <v>0</v>
      </c>
      <c r="P47" s="81">
        <v>0</v>
      </c>
      <c r="Q47" s="81">
        <v>0</v>
      </c>
      <c r="R47" s="81">
        <v>0</v>
      </c>
      <c r="S47" s="81">
        <v>0</v>
      </c>
      <c r="T47" s="81">
        <v>0</v>
      </c>
      <c r="U47" s="81">
        <v>0</v>
      </c>
      <c r="V47" s="81">
        <v>0</v>
      </c>
      <c r="W47" s="81">
        <v>0</v>
      </c>
      <c r="X47" s="81">
        <v>0</v>
      </c>
      <c r="Y47" s="81">
        <v>1</v>
      </c>
      <c r="Z47" s="81">
        <v>0</v>
      </c>
      <c r="AA47" s="81">
        <v>1</v>
      </c>
      <c r="AB47" s="81">
        <v>0</v>
      </c>
      <c r="AC47" s="81">
        <v>1</v>
      </c>
      <c r="AD47" s="81">
        <v>0</v>
      </c>
      <c r="AE47" s="81">
        <v>1</v>
      </c>
      <c r="AF47" s="81">
        <v>0</v>
      </c>
      <c r="AG47" s="81">
        <v>1</v>
      </c>
      <c r="AH47" s="81">
        <v>0</v>
      </c>
      <c r="AI47" s="81">
        <v>1</v>
      </c>
      <c r="AJ47" s="81">
        <v>0</v>
      </c>
      <c r="AK47" s="81">
        <v>0</v>
      </c>
      <c r="AL47" s="81">
        <v>0</v>
      </c>
      <c r="AM47" s="81">
        <v>1</v>
      </c>
      <c r="AN47" s="81">
        <v>1</v>
      </c>
      <c r="AO47" s="81">
        <v>0</v>
      </c>
      <c r="AP47" s="81">
        <v>0</v>
      </c>
      <c r="AQ47" s="81">
        <v>0</v>
      </c>
      <c r="AR47" s="81">
        <v>0</v>
      </c>
      <c r="AS47" s="81">
        <v>0</v>
      </c>
      <c r="AT47" s="81">
        <v>0</v>
      </c>
      <c r="AU47" s="81">
        <v>0</v>
      </c>
      <c r="AV47" s="81">
        <v>0</v>
      </c>
      <c r="AW47" s="81">
        <v>0</v>
      </c>
      <c r="AX47" s="81">
        <v>1</v>
      </c>
      <c r="AY47" s="81">
        <v>0</v>
      </c>
      <c r="AZ47" s="81">
        <v>0</v>
      </c>
      <c r="BA47" s="81">
        <v>0</v>
      </c>
      <c r="BB47" s="81">
        <v>3</v>
      </c>
      <c r="BC47" s="81">
        <v>2</v>
      </c>
      <c r="BD47" s="81">
        <v>2</v>
      </c>
      <c r="BE47" s="81">
        <v>2</v>
      </c>
      <c r="BF47" s="81">
        <v>3</v>
      </c>
      <c r="BG47" s="81">
        <v>2</v>
      </c>
      <c r="BH47" s="81">
        <v>2</v>
      </c>
      <c r="BI47" s="81">
        <v>1</v>
      </c>
      <c r="BJ47" s="81">
        <v>2</v>
      </c>
      <c r="BK47" s="81">
        <v>2</v>
      </c>
      <c r="BL47" s="81">
        <v>2</v>
      </c>
      <c r="BM47" s="81">
        <v>1</v>
      </c>
      <c r="BN47" s="81">
        <v>3</v>
      </c>
      <c r="BO47" s="81">
        <v>3</v>
      </c>
      <c r="BP47" s="81">
        <v>3</v>
      </c>
      <c r="BQ47" s="81">
        <v>2</v>
      </c>
      <c r="BR47" s="81">
        <v>2</v>
      </c>
      <c r="BS47" s="81">
        <v>2</v>
      </c>
      <c r="BT47" s="81">
        <v>3</v>
      </c>
      <c r="BU47" s="81">
        <v>0</v>
      </c>
      <c r="BV47" s="81">
        <v>1</v>
      </c>
      <c r="BW47" s="81">
        <v>0</v>
      </c>
      <c r="BX47" s="81">
        <v>0</v>
      </c>
      <c r="BY47" s="81">
        <v>0</v>
      </c>
      <c r="BZ47" s="81">
        <v>1</v>
      </c>
      <c r="CA47" s="81">
        <v>0</v>
      </c>
      <c r="CB47" s="81">
        <v>2</v>
      </c>
      <c r="CC47" s="81">
        <v>2</v>
      </c>
      <c r="CD47" s="81">
        <v>2</v>
      </c>
      <c r="CE47" s="81">
        <v>2</v>
      </c>
      <c r="CF47" s="81">
        <v>3</v>
      </c>
      <c r="CG47" s="81">
        <v>2</v>
      </c>
      <c r="CH47" s="81">
        <v>0</v>
      </c>
      <c r="CI47" s="81">
        <v>1</v>
      </c>
      <c r="CJ47" s="81">
        <v>0</v>
      </c>
      <c r="CK47" s="81">
        <v>1</v>
      </c>
      <c r="CL47" s="81">
        <v>1</v>
      </c>
      <c r="CM47" s="81">
        <v>0</v>
      </c>
      <c r="CN47" s="81">
        <v>1</v>
      </c>
      <c r="CO47" s="81" t="s">
        <v>574</v>
      </c>
    </row>
    <row r="48" spans="1:93" ht="11.55" customHeight="1" x14ac:dyDescent="0.3">
      <c r="A48" s="81" t="s">
        <v>595</v>
      </c>
      <c r="B48" s="81" t="s">
        <v>596</v>
      </c>
      <c r="C48" s="81" t="s">
        <v>395</v>
      </c>
      <c r="D48" s="94">
        <v>24</v>
      </c>
      <c r="E48" s="81">
        <v>0</v>
      </c>
      <c r="F48" s="81">
        <v>1</v>
      </c>
      <c r="G48" s="81">
        <v>0</v>
      </c>
      <c r="H48" s="81">
        <v>0</v>
      </c>
      <c r="I48" s="81">
        <v>0</v>
      </c>
      <c r="J48" s="81">
        <v>0</v>
      </c>
      <c r="K48" s="81">
        <v>0</v>
      </c>
      <c r="L48" s="81">
        <v>1</v>
      </c>
      <c r="M48" s="81">
        <v>0</v>
      </c>
      <c r="N48" s="81">
        <v>0</v>
      </c>
      <c r="O48" s="81">
        <v>0</v>
      </c>
      <c r="P48" s="81">
        <v>0</v>
      </c>
      <c r="Q48" s="81">
        <v>0</v>
      </c>
      <c r="R48" s="81">
        <v>0</v>
      </c>
      <c r="S48" s="81">
        <v>0</v>
      </c>
      <c r="T48" s="81">
        <v>0</v>
      </c>
      <c r="U48" s="81">
        <v>0</v>
      </c>
      <c r="V48" s="81">
        <v>0</v>
      </c>
      <c r="W48" s="81">
        <v>0</v>
      </c>
      <c r="X48" s="81">
        <v>0</v>
      </c>
      <c r="Y48" s="81">
        <v>1</v>
      </c>
      <c r="Z48" s="81">
        <v>0</v>
      </c>
      <c r="AA48" s="81">
        <v>1</v>
      </c>
      <c r="AB48" s="81">
        <v>0</v>
      </c>
      <c r="AC48" s="81">
        <v>1</v>
      </c>
      <c r="AD48" s="81">
        <v>0</v>
      </c>
      <c r="AE48" s="81">
        <v>1</v>
      </c>
      <c r="AF48" s="81">
        <v>0</v>
      </c>
      <c r="AG48" s="81">
        <v>1</v>
      </c>
      <c r="AH48" s="81">
        <v>0</v>
      </c>
      <c r="AI48" s="81">
        <v>1</v>
      </c>
      <c r="AJ48" s="81">
        <v>0</v>
      </c>
      <c r="AK48" s="81">
        <v>0</v>
      </c>
      <c r="AL48" s="81">
        <v>0</v>
      </c>
      <c r="AM48" s="81">
        <v>1</v>
      </c>
      <c r="AN48" s="81">
        <v>1</v>
      </c>
      <c r="AO48" s="81">
        <v>0</v>
      </c>
      <c r="AP48" s="81">
        <v>0</v>
      </c>
      <c r="AQ48" s="81">
        <v>0</v>
      </c>
      <c r="AR48" s="81">
        <v>0</v>
      </c>
      <c r="AS48" s="81">
        <v>0</v>
      </c>
      <c r="AT48" s="81">
        <v>0</v>
      </c>
      <c r="AU48" s="81">
        <v>0</v>
      </c>
      <c r="AV48" s="81">
        <v>0</v>
      </c>
      <c r="AW48" s="81">
        <v>0</v>
      </c>
      <c r="AX48" s="81">
        <v>1</v>
      </c>
      <c r="AY48" s="81">
        <v>0</v>
      </c>
      <c r="AZ48" s="81">
        <v>0</v>
      </c>
      <c r="BA48" s="81">
        <v>0</v>
      </c>
      <c r="BB48" s="81">
        <v>3</v>
      </c>
      <c r="BC48" s="81">
        <v>2</v>
      </c>
      <c r="BD48" s="81">
        <v>2</v>
      </c>
      <c r="BE48" s="81">
        <v>2</v>
      </c>
      <c r="BF48" s="81">
        <v>3</v>
      </c>
      <c r="BG48" s="81">
        <v>2</v>
      </c>
      <c r="BH48" s="81">
        <v>2</v>
      </c>
      <c r="BI48" s="81">
        <v>1</v>
      </c>
      <c r="BJ48" s="81">
        <v>2</v>
      </c>
      <c r="BK48" s="81">
        <v>2</v>
      </c>
      <c r="BL48" s="81">
        <v>2</v>
      </c>
      <c r="BM48" s="81">
        <v>1</v>
      </c>
      <c r="BN48" s="81">
        <v>3</v>
      </c>
      <c r="BO48" s="81">
        <v>3</v>
      </c>
      <c r="BP48" s="81">
        <v>3</v>
      </c>
      <c r="BQ48" s="81">
        <v>2</v>
      </c>
      <c r="BR48" s="81">
        <v>2</v>
      </c>
      <c r="BS48" s="81">
        <v>2</v>
      </c>
      <c r="BT48" s="81">
        <v>3</v>
      </c>
      <c r="BU48" s="81">
        <v>0</v>
      </c>
      <c r="BV48" s="81">
        <v>1</v>
      </c>
      <c r="BW48" s="81">
        <v>0</v>
      </c>
      <c r="BX48" s="81">
        <v>0</v>
      </c>
      <c r="BY48" s="81">
        <v>0</v>
      </c>
      <c r="BZ48" s="81">
        <v>1</v>
      </c>
      <c r="CA48" s="81">
        <v>0</v>
      </c>
      <c r="CB48" s="81">
        <v>2</v>
      </c>
      <c r="CC48" s="81">
        <v>2</v>
      </c>
      <c r="CD48" s="81">
        <v>2</v>
      </c>
      <c r="CE48" s="81">
        <v>2</v>
      </c>
      <c r="CF48" s="81">
        <v>3</v>
      </c>
      <c r="CG48" s="81">
        <v>2</v>
      </c>
      <c r="CH48" s="81">
        <v>0</v>
      </c>
      <c r="CI48" s="81">
        <v>1</v>
      </c>
      <c r="CJ48" s="81">
        <v>0</v>
      </c>
      <c r="CK48" s="81">
        <v>1</v>
      </c>
      <c r="CL48" s="81">
        <v>1</v>
      </c>
      <c r="CM48" s="81">
        <v>0</v>
      </c>
      <c r="CN48" s="81">
        <v>1</v>
      </c>
      <c r="CO48" s="81" t="s">
        <v>574</v>
      </c>
    </row>
    <row r="49" spans="1:93" ht="11.55" customHeight="1" x14ac:dyDescent="0.3">
      <c r="A49" s="81" t="s">
        <v>597</v>
      </c>
      <c r="B49" s="81" t="s">
        <v>598</v>
      </c>
      <c r="C49" s="81" t="s">
        <v>395</v>
      </c>
      <c r="D49" s="94">
        <v>24</v>
      </c>
      <c r="E49" s="81">
        <v>0</v>
      </c>
      <c r="F49" s="81">
        <v>1</v>
      </c>
      <c r="G49" s="81">
        <v>0</v>
      </c>
      <c r="H49" s="81">
        <v>0</v>
      </c>
      <c r="I49" s="81">
        <v>0</v>
      </c>
      <c r="J49" s="81">
        <v>0</v>
      </c>
      <c r="K49" s="81">
        <v>0</v>
      </c>
      <c r="L49" s="81">
        <v>1</v>
      </c>
      <c r="M49" s="81">
        <v>0</v>
      </c>
      <c r="N49" s="81">
        <v>0</v>
      </c>
      <c r="O49" s="81">
        <v>0</v>
      </c>
      <c r="P49" s="81">
        <v>0</v>
      </c>
      <c r="Q49" s="81">
        <v>0</v>
      </c>
      <c r="R49" s="81">
        <v>0</v>
      </c>
      <c r="S49" s="81">
        <v>0</v>
      </c>
      <c r="T49" s="81">
        <v>0</v>
      </c>
      <c r="U49" s="81">
        <v>0</v>
      </c>
      <c r="V49" s="81">
        <v>0</v>
      </c>
      <c r="W49" s="81">
        <v>0</v>
      </c>
      <c r="X49" s="81">
        <v>0</v>
      </c>
      <c r="Y49" s="81">
        <v>1</v>
      </c>
      <c r="Z49" s="81">
        <v>0</v>
      </c>
      <c r="AA49" s="81">
        <v>1</v>
      </c>
      <c r="AB49" s="81">
        <v>0</v>
      </c>
      <c r="AC49" s="81">
        <v>1</v>
      </c>
      <c r="AD49" s="81">
        <v>0</v>
      </c>
      <c r="AE49" s="81">
        <v>1</v>
      </c>
      <c r="AF49" s="81">
        <v>0</v>
      </c>
      <c r="AG49" s="81">
        <v>1</v>
      </c>
      <c r="AH49" s="81">
        <v>0</v>
      </c>
      <c r="AI49" s="81">
        <v>1</v>
      </c>
      <c r="AJ49" s="81">
        <v>0</v>
      </c>
      <c r="AK49" s="81">
        <v>0</v>
      </c>
      <c r="AL49" s="81">
        <v>0</v>
      </c>
      <c r="AM49" s="81">
        <v>1</v>
      </c>
      <c r="AN49" s="81">
        <v>1</v>
      </c>
      <c r="AO49" s="81">
        <v>0</v>
      </c>
      <c r="AP49" s="81">
        <v>0</v>
      </c>
      <c r="AQ49" s="81">
        <v>0</v>
      </c>
      <c r="AR49" s="81">
        <v>0</v>
      </c>
      <c r="AS49" s="81">
        <v>0</v>
      </c>
      <c r="AT49" s="81">
        <v>0</v>
      </c>
      <c r="AU49" s="81">
        <v>0</v>
      </c>
      <c r="AV49" s="81">
        <v>0</v>
      </c>
      <c r="AW49" s="81">
        <v>0</v>
      </c>
      <c r="AX49" s="81">
        <v>1</v>
      </c>
      <c r="AY49" s="81">
        <v>0</v>
      </c>
      <c r="AZ49" s="81">
        <v>0</v>
      </c>
      <c r="BA49" s="81">
        <v>0</v>
      </c>
      <c r="BB49" s="81">
        <v>3</v>
      </c>
      <c r="BC49" s="81">
        <v>2</v>
      </c>
      <c r="BD49" s="81">
        <v>2</v>
      </c>
      <c r="BE49" s="81">
        <v>2</v>
      </c>
      <c r="BF49" s="81">
        <v>3</v>
      </c>
      <c r="BG49" s="81">
        <v>2</v>
      </c>
      <c r="BH49" s="81">
        <v>2</v>
      </c>
      <c r="BI49" s="81">
        <v>1</v>
      </c>
      <c r="BJ49" s="81">
        <v>2</v>
      </c>
      <c r="BK49" s="81">
        <v>2</v>
      </c>
      <c r="BL49" s="81">
        <v>2</v>
      </c>
      <c r="BM49" s="81">
        <v>1</v>
      </c>
      <c r="BN49" s="81">
        <v>3</v>
      </c>
      <c r="BO49" s="81">
        <v>3</v>
      </c>
      <c r="BP49" s="81">
        <v>3</v>
      </c>
      <c r="BQ49" s="81">
        <v>2</v>
      </c>
      <c r="BR49" s="81">
        <v>2</v>
      </c>
      <c r="BS49" s="81">
        <v>2</v>
      </c>
      <c r="BT49" s="81">
        <v>3</v>
      </c>
      <c r="BU49" s="81">
        <v>0</v>
      </c>
      <c r="BV49" s="81">
        <v>1</v>
      </c>
      <c r="BW49" s="81">
        <v>0</v>
      </c>
      <c r="BX49" s="81">
        <v>0</v>
      </c>
      <c r="BY49" s="81">
        <v>0</v>
      </c>
      <c r="BZ49" s="81">
        <v>1</v>
      </c>
      <c r="CA49" s="81">
        <v>0</v>
      </c>
      <c r="CB49" s="81">
        <v>2</v>
      </c>
      <c r="CC49" s="81">
        <v>2</v>
      </c>
      <c r="CD49" s="81">
        <v>2</v>
      </c>
      <c r="CE49" s="81">
        <v>2</v>
      </c>
      <c r="CF49" s="81">
        <v>3</v>
      </c>
      <c r="CG49" s="81">
        <v>2</v>
      </c>
      <c r="CH49" s="81">
        <v>0</v>
      </c>
      <c r="CI49" s="81">
        <v>1</v>
      </c>
      <c r="CJ49" s="81">
        <v>0</v>
      </c>
      <c r="CK49" s="81">
        <v>1</v>
      </c>
      <c r="CL49" s="81">
        <v>1</v>
      </c>
      <c r="CM49" s="81">
        <v>0</v>
      </c>
      <c r="CN49" s="81">
        <v>1</v>
      </c>
      <c r="CO49" s="81" t="s">
        <v>574</v>
      </c>
    </row>
    <row r="50" spans="1:93" ht="11.55" customHeight="1" x14ac:dyDescent="0.3">
      <c r="A50" s="81" t="s">
        <v>599</v>
      </c>
      <c r="B50" s="81" t="s">
        <v>600</v>
      </c>
      <c r="C50" s="81" t="s">
        <v>395</v>
      </c>
      <c r="D50" s="94">
        <v>24</v>
      </c>
      <c r="E50" s="81">
        <v>0</v>
      </c>
      <c r="F50" s="81">
        <v>1</v>
      </c>
      <c r="G50" s="81">
        <v>0</v>
      </c>
      <c r="H50" s="81">
        <v>0</v>
      </c>
      <c r="I50" s="81">
        <v>0</v>
      </c>
      <c r="J50" s="81">
        <v>0</v>
      </c>
      <c r="K50" s="81">
        <v>0</v>
      </c>
      <c r="L50" s="81">
        <v>1</v>
      </c>
      <c r="M50" s="81">
        <v>0</v>
      </c>
      <c r="N50" s="81">
        <v>0</v>
      </c>
      <c r="O50" s="81">
        <v>0</v>
      </c>
      <c r="P50" s="81">
        <v>0</v>
      </c>
      <c r="Q50" s="81">
        <v>0</v>
      </c>
      <c r="R50" s="81">
        <v>0</v>
      </c>
      <c r="S50" s="81">
        <v>0</v>
      </c>
      <c r="T50" s="81">
        <v>0</v>
      </c>
      <c r="U50" s="81">
        <v>0</v>
      </c>
      <c r="V50" s="81">
        <v>0</v>
      </c>
      <c r="W50" s="81">
        <v>0</v>
      </c>
      <c r="X50" s="81">
        <v>0</v>
      </c>
      <c r="Y50" s="81">
        <v>1</v>
      </c>
      <c r="Z50" s="81">
        <v>0</v>
      </c>
      <c r="AA50" s="81">
        <v>1</v>
      </c>
      <c r="AB50" s="81">
        <v>0</v>
      </c>
      <c r="AC50" s="81">
        <v>1</v>
      </c>
      <c r="AD50" s="81">
        <v>0</v>
      </c>
      <c r="AE50" s="81">
        <v>1</v>
      </c>
      <c r="AF50" s="81">
        <v>0</v>
      </c>
      <c r="AG50" s="81">
        <v>1</v>
      </c>
      <c r="AH50" s="81">
        <v>0</v>
      </c>
      <c r="AI50" s="81">
        <v>1</v>
      </c>
      <c r="AJ50" s="81">
        <v>0</v>
      </c>
      <c r="AK50" s="81">
        <v>0</v>
      </c>
      <c r="AL50" s="81">
        <v>0</v>
      </c>
      <c r="AM50" s="81">
        <v>1</v>
      </c>
      <c r="AN50" s="81">
        <v>1</v>
      </c>
      <c r="AO50" s="81">
        <v>0</v>
      </c>
      <c r="AP50" s="81">
        <v>0</v>
      </c>
      <c r="AQ50" s="81">
        <v>0</v>
      </c>
      <c r="AR50" s="81">
        <v>0</v>
      </c>
      <c r="AS50" s="81">
        <v>0</v>
      </c>
      <c r="AT50" s="81">
        <v>0</v>
      </c>
      <c r="AU50" s="81">
        <v>0</v>
      </c>
      <c r="AV50" s="81">
        <v>0</v>
      </c>
      <c r="AW50" s="81">
        <v>0</v>
      </c>
      <c r="AX50" s="81">
        <v>1</v>
      </c>
      <c r="AY50" s="81">
        <v>0</v>
      </c>
      <c r="AZ50" s="81">
        <v>0</v>
      </c>
      <c r="BA50" s="81">
        <v>0</v>
      </c>
      <c r="BB50" s="81">
        <v>3</v>
      </c>
      <c r="BC50" s="81">
        <v>2</v>
      </c>
      <c r="BD50" s="81">
        <v>2</v>
      </c>
      <c r="BE50" s="81">
        <v>2</v>
      </c>
      <c r="BF50" s="81">
        <v>3</v>
      </c>
      <c r="BG50" s="81">
        <v>2</v>
      </c>
      <c r="BH50" s="81">
        <v>2</v>
      </c>
      <c r="BI50" s="81">
        <v>1</v>
      </c>
      <c r="BJ50" s="81">
        <v>2</v>
      </c>
      <c r="BK50" s="81">
        <v>2</v>
      </c>
      <c r="BL50" s="81">
        <v>2</v>
      </c>
      <c r="BM50" s="81">
        <v>1</v>
      </c>
      <c r="BN50" s="81">
        <v>3</v>
      </c>
      <c r="BO50" s="81">
        <v>3</v>
      </c>
      <c r="BP50" s="81">
        <v>3</v>
      </c>
      <c r="BQ50" s="81">
        <v>2</v>
      </c>
      <c r="BR50" s="81">
        <v>2</v>
      </c>
      <c r="BS50" s="81">
        <v>2</v>
      </c>
      <c r="BT50" s="81">
        <v>3</v>
      </c>
      <c r="BU50" s="81">
        <v>0</v>
      </c>
      <c r="BV50" s="81">
        <v>1</v>
      </c>
      <c r="BW50" s="81">
        <v>0</v>
      </c>
      <c r="BX50" s="81">
        <v>0</v>
      </c>
      <c r="BY50" s="81">
        <v>0</v>
      </c>
      <c r="BZ50" s="81">
        <v>1</v>
      </c>
      <c r="CA50" s="81">
        <v>0</v>
      </c>
      <c r="CB50" s="81">
        <v>2</v>
      </c>
      <c r="CC50" s="81">
        <v>2</v>
      </c>
      <c r="CD50" s="81">
        <v>2</v>
      </c>
      <c r="CE50" s="81">
        <v>2</v>
      </c>
      <c r="CF50" s="81">
        <v>3</v>
      </c>
      <c r="CG50" s="81">
        <v>2</v>
      </c>
      <c r="CH50" s="81">
        <v>0</v>
      </c>
      <c r="CI50" s="81">
        <v>1</v>
      </c>
      <c r="CJ50" s="81">
        <v>0</v>
      </c>
      <c r="CK50" s="81">
        <v>1</v>
      </c>
      <c r="CL50" s="81">
        <v>1</v>
      </c>
      <c r="CM50" s="81">
        <v>0</v>
      </c>
      <c r="CN50" s="81">
        <v>1</v>
      </c>
      <c r="CO50" s="81" t="s">
        <v>574</v>
      </c>
    </row>
    <row r="51" spans="1:93" ht="11.55" customHeight="1" x14ac:dyDescent="0.3">
      <c r="A51" s="81" t="s">
        <v>601</v>
      </c>
      <c r="B51" s="81" t="s">
        <v>602</v>
      </c>
      <c r="C51" s="81" t="s">
        <v>395</v>
      </c>
      <c r="D51" s="94">
        <v>24</v>
      </c>
      <c r="E51" s="81">
        <v>0</v>
      </c>
      <c r="F51" s="81">
        <v>1</v>
      </c>
      <c r="G51" s="81">
        <v>0</v>
      </c>
      <c r="H51" s="81">
        <v>0</v>
      </c>
      <c r="I51" s="81">
        <v>0</v>
      </c>
      <c r="J51" s="81">
        <v>0</v>
      </c>
      <c r="K51" s="81">
        <v>0</v>
      </c>
      <c r="L51" s="81">
        <v>1</v>
      </c>
      <c r="M51" s="81">
        <v>0</v>
      </c>
      <c r="N51" s="81">
        <v>0</v>
      </c>
      <c r="O51" s="81">
        <v>0</v>
      </c>
      <c r="P51" s="81">
        <v>0</v>
      </c>
      <c r="Q51" s="81">
        <v>0</v>
      </c>
      <c r="R51" s="81">
        <v>0</v>
      </c>
      <c r="S51" s="81">
        <v>0</v>
      </c>
      <c r="T51" s="81">
        <v>0</v>
      </c>
      <c r="U51" s="81">
        <v>0</v>
      </c>
      <c r="V51" s="81">
        <v>0</v>
      </c>
      <c r="W51" s="81">
        <v>0</v>
      </c>
      <c r="X51" s="81">
        <v>0</v>
      </c>
      <c r="Y51" s="81">
        <v>1</v>
      </c>
      <c r="Z51" s="81">
        <v>0</v>
      </c>
      <c r="AA51" s="81">
        <v>1</v>
      </c>
      <c r="AB51" s="81">
        <v>0</v>
      </c>
      <c r="AC51" s="81">
        <v>1</v>
      </c>
      <c r="AD51" s="81">
        <v>0</v>
      </c>
      <c r="AE51" s="81">
        <v>1</v>
      </c>
      <c r="AF51" s="81">
        <v>0</v>
      </c>
      <c r="AG51" s="81">
        <v>1</v>
      </c>
      <c r="AH51" s="81">
        <v>0</v>
      </c>
      <c r="AI51" s="81">
        <v>1</v>
      </c>
      <c r="AJ51" s="81">
        <v>0</v>
      </c>
      <c r="AK51" s="81">
        <v>0</v>
      </c>
      <c r="AL51" s="81">
        <v>0</v>
      </c>
      <c r="AM51" s="81">
        <v>1</v>
      </c>
      <c r="AN51" s="81">
        <v>1</v>
      </c>
      <c r="AO51" s="81">
        <v>0</v>
      </c>
      <c r="AP51" s="81">
        <v>0</v>
      </c>
      <c r="AQ51" s="81">
        <v>0</v>
      </c>
      <c r="AR51" s="81">
        <v>0</v>
      </c>
      <c r="AS51" s="81">
        <v>0</v>
      </c>
      <c r="AT51" s="81">
        <v>0</v>
      </c>
      <c r="AU51" s="81">
        <v>0</v>
      </c>
      <c r="AV51" s="81">
        <v>0</v>
      </c>
      <c r="AW51" s="81">
        <v>0</v>
      </c>
      <c r="AX51" s="81">
        <v>1</v>
      </c>
      <c r="AY51" s="81">
        <v>0</v>
      </c>
      <c r="AZ51" s="81">
        <v>0</v>
      </c>
      <c r="BA51" s="81">
        <v>0</v>
      </c>
      <c r="BB51" s="81">
        <v>3</v>
      </c>
      <c r="BC51" s="81">
        <v>2</v>
      </c>
      <c r="BD51" s="81">
        <v>2</v>
      </c>
      <c r="BE51" s="81">
        <v>2</v>
      </c>
      <c r="BF51" s="81">
        <v>3</v>
      </c>
      <c r="BG51" s="81">
        <v>2</v>
      </c>
      <c r="BH51" s="81">
        <v>2</v>
      </c>
      <c r="BI51" s="81">
        <v>1</v>
      </c>
      <c r="BJ51" s="81">
        <v>2</v>
      </c>
      <c r="BK51" s="81">
        <v>2</v>
      </c>
      <c r="BL51" s="81">
        <v>2</v>
      </c>
      <c r="BM51" s="81">
        <v>1</v>
      </c>
      <c r="BN51" s="81">
        <v>3</v>
      </c>
      <c r="BO51" s="81">
        <v>3</v>
      </c>
      <c r="BP51" s="81">
        <v>3</v>
      </c>
      <c r="BQ51" s="81">
        <v>2</v>
      </c>
      <c r="BR51" s="81">
        <v>2</v>
      </c>
      <c r="BS51" s="81">
        <v>2</v>
      </c>
      <c r="BT51" s="81">
        <v>3</v>
      </c>
      <c r="BU51" s="81">
        <v>0</v>
      </c>
      <c r="BV51" s="81">
        <v>1</v>
      </c>
      <c r="BW51" s="81">
        <v>0</v>
      </c>
      <c r="BX51" s="81">
        <v>0</v>
      </c>
      <c r="BY51" s="81">
        <v>0</v>
      </c>
      <c r="BZ51" s="81">
        <v>1</v>
      </c>
      <c r="CA51" s="81">
        <v>0</v>
      </c>
      <c r="CB51" s="81">
        <v>2</v>
      </c>
      <c r="CC51" s="81">
        <v>2</v>
      </c>
      <c r="CD51" s="81">
        <v>2</v>
      </c>
      <c r="CE51" s="81">
        <v>2</v>
      </c>
      <c r="CF51" s="81">
        <v>3</v>
      </c>
      <c r="CG51" s="81">
        <v>2</v>
      </c>
      <c r="CH51" s="81">
        <v>0</v>
      </c>
      <c r="CI51" s="81">
        <v>1</v>
      </c>
      <c r="CJ51" s="81">
        <v>0</v>
      </c>
      <c r="CK51" s="81">
        <v>1</v>
      </c>
      <c r="CL51" s="81">
        <v>1</v>
      </c>
      <c r="CM51" s="81">
        <v>0</v>
      </c>
      <c r="CN51" s="81">
        <v>1</v>
      </c>
      <c r="CO51" s="81" t="s">
        <v>574</v>
      </c>
    </row>
    <row r="52" spans="1:93" ht="11.55" customHeight="1" x14ac:dyDescent="0.3">
      <c r="A52" s="81" t="s">
        <v>603</v>
      </c>
      <c r="B52" s="81" t="s">
        <v>604</v>
      </c>
      <c r="C52" s="81" t="s">
        <v>395</v>
      </c>
      <c r="D52" s="94">
        <v>24</v>
      </c>
      <c r="E52" s="81">
        <v>0</v>
      </c>
      <c r="F52" s="81">
        <v>1</v>
      </c>
      <c r="G52" s="81">
        <v>0</v>
      </c>
      <c r="H52" s="81">
        <v>0</v>
      </c>
      <c r="I52" s="81">
        <v>0</v>
      </c>
      <c r="J52" s="81">
        <v>0</v>
      </c>
      <c r="K52" s="81">
        <v>0</v>
      </c>
      <c r="L52" s="81">
        <v>1</v>
      </c>
      <c r="M52" s="81">
        <v>0</v>
      </c>
      <c r="N52" s="81">
        <v>0</v>
      </c>
      <c r="O52" s="81">
        <v>0</v>
      </c>
      <c r="P52" s="81">
        <v>0</v>
      </c>
      <c r="Q52" s="81">
        <v>0</v>
      </c>
      <c r="R52" s="81">
        <v>0</v>
      </c>
      <c r="S52" s="81">
        <v>0</v>
      </c>
      <c r="T52" s="81">
        <v>0</v>
      </c>
      <c r="U52" s="81">
        <v>0</v>
      </c>
      <c r="V52" s="81">
        <v>0</v>
      </c>
      <c r="W52" s="81">
        <v>0</v>
      </c>
      <c r="X52" s="81">
        <v>0</v>
      </c>
      <c r="Y52" s="81">
        <v>1</v>
      </c>
      <c r="Z52" s="81">
        <v>0</v>
      </c>
      <c r="AA52" s="81">
        <v>1</v>
      </c>
      <c r="AB52" s="81">
        <v>0</v>
      </c>
      <c r="AC52" s="81">
        <v>1</v>
      </c>
      <c r="AD52" s="81">
        <v>0</v>
      </c>
      <c r="AE52" s="81">
        <v>1</v>
      </c>
      <c r="AF52" s="81">
        <v>0</v>
      </c>
      <c r="AG52" s="81">
        <v>1</v>
      </c>
      <c r="AH52" s="81">
        <v>0</v>
      </c>
      <c r="AI52" s="81">
        <v>1</v>
      </c>
      <c r="AJ52" s="81">
        <v>0</v>
      </c>
      <c r="AK52" s="81">
        <v>0</v>
      </c>
      <c r="AL52" s="81">
        <v>0</v>
      </c>
      <c r="AM52" s="81">
        <v>1</v>
      </c>
      <c r="AN52" s="81">
        <v>1</v>
      </c>
      <c r="AO52" s="81">
        <v>0</v>
      </c>
      <c r="AP52" s="81">
        <v>0</v>
      </c>
      <c r="AQ52" s="81">
        <v>0</v>
      </c>
      <c r="AR52" s="81">
        <v>0</v>
      </c>
      <c r="AS52" s="81">
        <v>0</v>
      </c>
      <c r="AT52" s="81">
        <v>0</v>
      </c>
      <c r="AU52" s="81">
        <v>0</v>
      </c>
      <c r="AV52" s="81">
        <v>0</v>
      </c>
      <c r="AW52" s="81">
        <v>0</v>
      </c>
      <c r="AX52" s="81">
        <v>1</v>
      </c>
      <c r="AY52" s="81">
        <v>0</v>
      </c>
      <c r="AZ52" s="81">
        <v>0</v>
      </c>
      <c r="BA52" s="81">
        <v>0</v>
      </c>
      <c r="BB52" s="81">
        <v>3</v>
      </c>
      <c r="BC52" s="81">
        <v>2</v>
      </c>
      <c r="BD52" s="81">
        <v>2</v>
      </c>
      <c r="BE52" s="81">
        <v>2</v>
      </c>
      <c r="BF52" s="81">
        <v>3</v>
      </c>
      <c r="BG52" s="81">
        <v>2</v>
      </c>
      <c r="BH52" s="81">
        <v>2</v>
      </c>
      <c r="BI52" s="81">
        <v>1</v>
      </c>
      <c r="BJ52" s="81">
        <v>2</v>
      </c>
      <c r="BK52" s="81">
        <v>2</v>
      </c>
      <c r="BL52" s="81">
        <v>2</v>
      </c>
      <c r="BM52" s="81">
        <v>1</v>
      </c>
      <c r="BN52" s="81">
        <v>3</v>
      </c>
      <c r="BO52" s="81">
        <v>3</v>
      </c>
      <c r="BP52" s="81">
        <v>3</v>
      </c>
      <c r="BQ52" s="81">
        <v>2</v>
      </c>
      <c r="BR52" s="81">
        <v>2</v>
      </c>
      <c r="BS52" s="81">
        <v>2</v>
      </c>
      <c r="BT52" s="81">
        <v>3</v>
      </c>
      <c r="BU52" s="81">
        <v>0</v>
      </c>
      <c r="BV52" s="81">
        <v>1</v>
      </c>
      <c r="BW52" s="81">
        <v>0</v>
      </c>
      <c r="BX52" s="81">
        <v>0</v>
      </c>
      <c r="BY52" s="81">
        <v>0</v>
      </c>
      <c r="BZ52" s="81">
        <v>1</v>
      </c>
      <c r="CA52" s="81">
        <v>0</v>
      </c>
      <c r="CB52" s="81">
        <v>2</v>
      </c>
      <c r="CC52" s="81">
        <v>2</v>
      </c>
      <c r="CD52" s="81">
        <v>2</v>
      </c>
      <c r="CE52" s="81">
        <v>2</v>
      </c>
      <c r="CF52" s="81">
        <v>3</v>
      </c>
      <c r="CG52" s="81">
        <v>2</v>
      </c>
      <c r="CH52" s="81">
        <v>0</v>
      </c>
      <c r="CI52" s="81">
        <v>1</v>
      </c>
      <c r="CJ52" s="81">
        <v>0</v>
      </c>
      <c r="CK52" s="81">
        <v>1</v>
      </c>
      <c r="CL52" s="81">
        <v>1</v>
      </c>
      <c r="CM52" s="81">
        <v>0</v>
      </c>
      <c r="CN52" s="81">
        <v>1</v>
      </c>
      <c r="CO52" s="81" t="s">
        <v>574</v>
      </c>
    </row>
    <row r="53" spans="1:93" ht="11.55" customHeight="1" x14ac:dyDescent="0.3">
      <c r="A53" s="81" t="s">
        <v>605</v>
      </c>
      <c r="B53" s="81" t="s">
        <v>606</v>
      </c>
      <c r="C53" s="81" t="s">
        <v>395</v>
      </c>
      <c r="D53" s="94">
        <v>24</v>
      </c>
      <c r="E53" s="81">
        <v>0</v>
      </c>
      <c r="F53" s="81">
        <v>1</v>
      </c>
      <c r="G53" s="81">
        <v>0</v>
      </c>
      <c r="H53" s="81">
        <v>0</v>
      </c>
      <c r="I53" s="81">
        <v>0</v>
      </c>
      <c r="J53" s="81">
        <v>0</v>
      </c>
      <c r="K53" s="81">
        <v>0</v>
      </c>
      <c r="L53" s="81">
        <v>1</v>
      </c>
      <c r="M53" s="81">
        <v>0</v>
      </c>
      <c r="N53" s="81">
        <v>0</v>
      </c>
      <c r="O53" s="81">
        <v>0</v>
      </c>
      <c r="P53" s="81">
        <v>0</v>
      </c>
      <c r="Q53" s="81">
        <v>0</v>
      </c>
      <c r="R53" s="81">
        <v>0</v>
      </c>
      <c r="S53" s="81">
        <v>0</v>
      </c>
      <c r="T53" s="81">
        <v>0</v>
      </c>
      <c r="U53" s="81">
        <v>0</v>
      </c>
      <c r="V53" s="81">
        <v>0</v>
      </c>
      <c r="W53" s="81">
        <v>0</v>
      </c>
      <c r="X53" s="81">
        <v>0</v>
      </c>
      <c r="Y53" s="81">
        <v>1</v>
      </c>
      <c r="Z53" s="81">
        <v>0</v>
      </c>
      <c r="AA53" s="81">
        <v>1</v>
      </c>
      <c r="AB53" s="81">
        <v>0</v>
      </c>
      <c r="AC53" s="81">
        <v>1</v>
      </c>
      <c r="AD53" s="81">
        <v>0</v>
      </c>
      <c r="AE53" s="81">
        <v>1</v>
      </c>
      <c r="AF53" s="81">
        <v>0</v>
      </c>
      <c r="AG53" s="81">
        <v>1</v>
      </c>
      <c r="AH53" s="81">
        <v>0</v>
      </c>
      <c r="AI53" s="81">
        <v>1</v>
      </c>
      <c r="AJ53" s="81">
        <v>0</v>
      </c>
      <c r="AK53" s="81">
        <v>0</v>
      </c>
      <c r="AL53" s="81">
        <v>0</v>
      </c>
      <c r="AM53" s="81">
        <v>1</v>
      </c>
      <c r="AN53" s="81">
        <v>1</v>
      </c>
      <c r="AO53" s="81">
        <v>0</v>
      </c>
      <c r="AP53" s="81">
        <v>0</v>
      </c>
      <c r="AQ53" s="81">
        <v>0</v>
      </c>
      <c r="AR53" s="81">
        <v>0</v>
      </c>
      <c r="AS53" s="81">
        <v>0</v>
      </c>
      <c r="AT53" s="81">
        <v>0</v>
      </c>
      <c r="AU53" s="81">
        <v>0</v>
      </c>
      <c r="AV53" s="81">
        <v>0</v>
      </c>
      <c r="AW53" s="81">
        <v>0</v>
      </c>
      <c r="AX53" s="81">
        <v>1</v>
      </c>
      <c r="AY53" s="81">
        <v>0</v>
      </c>
      <c r="AZ53" s="81">
        <v>0</v>
      </c>
      <c r="BA53" s="81">
        <v>0</v>
      </c>
      <c r="BB53" s="81">
        <v>3</v>
      </c>
      <c r="BC53" s="81">
        <v>2</v>
      </c>
      <c r="BD53" s="81">
        <v>2</v>
      </c>
      <c r="BE53" s="81">
        <v>2</v>
      </c>
      <c r="BF53" s="81">
        <v>3</v>
      </c>
      <c r="BG53" s="81">
        <v>2</v>
      </c>
      <c r="BH53" s="81">
        <v>2</v>
      </c>
      <c r="BI53" s="81">
        <v>1</v>
      </c>
      <c r="BJ53" s="81">
        <v>2</v>
      </c>
      <c r="BK53" s="81">
        <v>2</v>
      </c>
      <c r="BL53" s="81">
        <v>2</v>
      </c>
      <c r="BM53" s="81">
        <v>1</v>
      </c>
      <c r="BN53" s="81">
        <v>3</v>
      </c>
      <c r="BO53" s="81">
        <v>3</v>
      </c>
      <c r="BP53" s="81">
        <v>3</v>
      </c>
      <c r="BQ53" s="81">
        <v>2</v>
      </c>
      <c r="BR53" s="81">
        <v>2</v>
      </c>
      <c r="BS53" s="81">
        <v>2</v>
      </c>
      <c r="BT53" s="81">
        <v>3</v>
      </c>
      <c r="BU53" s="81">
        <v>0</v>
      </c>
      <c r="BV53" s="81">
        <v>1</v>
      </c>
      <c r="BW53" s="81">
        <v>0</v>
      </c>
      <c r="BX53" s="81">
        <v>0</v>
      </c>
      <c r="BY53" s="81">
        <v>0</v>
      </c>
      <c r="BZ53" s="81">
        <v>1</v>
      </c>
      <c r="CA53" s="81">
        <v>0</v>
      </c>
      <c r="CB53" s="81">
        <v>2</v>
      </c>
      <c r="CC53" s="81">
        <v>2</v>
      </c>
      <c r="CD53" s="81">
        <v>2</v>
      </c>
      <c r="CE53" s="81">
        <v>2</v>
      </c>
      <c r="CF53" s="81">
        <v>3</v>
      </c>
      <c r="CG53" s="81">
        <v>2</v>
      </c>
      <c r="CH53" s="81">
        <v>0</v>
      </c>
      <c r="CI53" s="81">
        <v>1</v>
      </c>
      <c r="CJ53" s="81">
        <v>0</v>
      </c>
      <c r="CK53" s="81">
        <v>1</v>
      </c>
      <c r="CL53" s="81">
        <v>1</v>
      </c>
      <c r="CM53" s="81">
        <v>0</v>
      </c>
      <c r="CN53" s="81">
        <v>1</v>
      </c>
      <c r="CO53" s="81" t="s">
        <v>574</v>
      </c>
    </row>
    <row r="54" spans="1:93" ht="11.55" customHeight="1" x14ac:dyDescent="0.3">
      <c r="A54" s="81" t="s">
        <v>607</v>
      </c>
      <c r="B54" s="81" t="s">
        <v>608</v>
      </c>
      <c r="C54" s="81" t="s">
        <v>395</v>
      </c>
      <c r="D54" s="94">
        <v>24</v>
      </c>
      <c r="E54" s="81">
        <v>0</v>
      </c>
      <c r="F54" s="81">
        <v>1</v>
      </c>
      <c r="G54" s="81">
        <v>0</v>
      </c>
      <c r="H54" s="81">
        <v>0</v>
      </c>
      <c r="I54" s="81">
        <v>0</v>
      </c>
      <c r="J54" s="81">
        <v>0</v>
      </c>
      <c r="K54" s="81">
        <v>0</v>
      </c>
      <c r="L54" s="81">
        <v>1</v>
      </c>
      <c r="M54" s="81">
        <v>0</v>
      </c>
      <c r="N54" s="81">
        <v>0</v>
      </c>
      <c r="O54" s="81">
        <v>0</v>
      </c>
      <c r="P54" s="81">
        <v>0</v>
      </c>
      <c r="Q54" s="81">
        <v>0</v>
      </c>
      <c r="R54" s="81">
        <v>0</v>
      </c>
      <c r="S54" s="81">
        <v>0</v>
      </c>
      <c r="T54" s="81">
        <v>0</v>
      </c>
      <c r="U54" s="81">
        <v>0</v>
      </c>
      <c r="V54" s="81">
        <v>0</v>
      </c>
      <c r="W54" s="81">
        <v>0</v>
      </c>
      <c r="X54" s="81">
        <v>0</v>
      </c>
      <c r="Y54" s="81">
        <v>1</v>
      </c>
      <c r="Z54" s="81">
        <v>0</v>
      </c>
      <c r="AA54" s="81">
        <v>1</v>
      </c>
      <c r="AB54" s="81">
        <v>0</v>
      </c>
      <c r="AC54" s="81">
        <v>1</v>
      </c>
      <c r="AD54" s="81">
        <v>0</v>
      </c>
      <c r="AE54" s="81">
        <v>1</v>
      </c>
      <c r="AF54" s="81">
        <v>0</v>
      </c>
      <c r="AG54" s="81">
        <v>1</v>
      </c>
      <c r="AH54" s="81">
        <v>0</v>
      </c>
      <c r="AI54" s="81">
        <v>1</v>
      </c>
      <c r="AJ54" s="81">
        <v>0</v>
      </c>
      <c r="AK54" s="81">
        <v>0</v>
      </c>
      <c r="AL54" s="81">
        <v>0</v>
      </c>
      <c r="AM54" s="81">
        <v>1</v>
      </c>
      <c r="AN54" s="81">
        <v>1</v>
      </c>
      <c r="AO54" s="81">
        <v>0</v>
      </c>
      <c r="AP54" s="81">
        <v>0</v>
      </c>
      <c r="AQ54" s="81">
        <v>0</v>
      </c>
      <c r="AR54" s="81">
        <v>0</v>
      </c>
      <c r="AS54" s="81">
        <v>0</v>
      </c>
      <c r="AT54" s="81">
        <v>0</v>
      </c>
      <c r="AU54" s="81">
        <v>0</v>
      </c>
      <c r="AV54" s="81">
        <v>0</v>
      </c>
      <c r="AW54" s="81">
        <v>0</v>
      </c>
      <c r="AX54" s="81">
        <v>1</v>
      </c>
      <c r="AY54" s="81">
        <v>0</v>
      </c>
      <c r="AZ54" s="81">
        <v>0</v>
      </c>
      <c r="BA54" s="81">
        <v>0</v>
      </c>
      <c r="BB54" s="81">
        <v>3</v>
      </c>
      <c r="BC54" s="81">
        <v>2</v>
      </c>
      <c r="BD54" s="81">
        <v>2</v>
      </c>
      <c r="BE54" s="81">
        <v>2</v>
      </c>
      <c r="BF54" s="81">
        <v>3</v>
      </c>
      <c r="BG54" s="81">
        <v>2</v>
      </c>
      <c r="BH54" s="81">
        <v>2</v>
      </c>
      <c r="BI54" s="81">
        <v>1</v>
      </c>
      <c r="BJ54" s="81">
        <v>2</v>
      </c>
      <c r="BK54" s="81">
        <v>2</v>
      </c>
      <c r="BL54" s="81">
        <v>2</v>
      </c>
      <c r="BM54" s="81">
        <v>1</v>
      </c>
      <c r="BN54" s="81">
        <v>3</v>
      </c>
      <c r="BO54" s="81">
        <v>3</v>
      </c>
      <c r="BP54" s="81">
        <v>3</v>
      </c>
      <c r="BQ54" s="81">
        <v>2</v>
      </c>
      <c r="BR54" s="81">
        <v>2</v>
      </c>
      <c r="BS54" s="81">
        <v>2</v>
      </c>
      <c r="BT54" s="81">
        <v>3</v>
      </c>
      <c r="BU54" s="81">
        <v>0</v>
      </c>
      <c r="BV54" s="81">
        <v>1</v>
      </c>
      <c r="BW54" s="81">
        <v>0</v>
      </c>
      <c r="BX54" s="81">
        <v>0</v>
      </c>
      <c r="BY54" s="81">
        <v>0</v>
      </c>
      <c r="BZ54" s="81">
        <v>1</v>
      </c>
      <c r="CA54" s="81">
        <v>0</v>
      </c>
      <c r="CB54" s="81">
        <v>2</v>
      </c>
      <c r="CC54" s="81">
        <v>2</v>
      </c>
      <c r="CD54" s="81">
        <v>2</v>
      </c>
      <c r="CE54" s="81">
        <v>2</v>
      </c>
      <c r="CF54" s="81">
        <v>3</v>
      </c>
      <c r="CG54" s="81">
        <v>2</v>
      </c>
      <c r="CH54" s="81">
        <v>0</v>
      </c>
      <c r="CI54" s="81">
        <v>1</v>
      </c>
      <c r="CJ54" s="81">
        <v>0</v>
      </c>
      <c r="CK54" s="81">
        <v>1</v>
      </c>
      <c r="CL54" s="81">
        <v>1</v>
      </c>
      <c r="CM54" s="81">
        <v>0</v>
      </c>
      <c r="CN54" s="81">
        <v>1</v>
      </c>
      <c r="CO54" s="81" t="s">
        <v>574</v>
      </c>
    </row>
    <row r="55" spans="1:93" ht="11.55" customHeight="1" x14ac:dyDescent="0.3">
      <c r="A55" s="81" t="s">
        <v>609</v>
      </c>
      <c r="B55" s="81" t="s">
        <v>610</v>
      </c>
      <c r="C55" s="81" t="s">
        <v>395</v>
      </c>
      <c r="D55" s="94">
        <v>24</v>
      </c>
      <c r="E55" s="81">
        <v>0</v>
      </c>
      <c r="F55" s="81">
        <v>1</v>
      </c>
      <c r="G55" s="81">
        <v>0</v>
      </c>
      <c r="H55" s="81">
        <v>0</v>
      </c>
      <c r="I55" s="81">
        <v>0</v>
      </c>
      <c r="J55" s="81">
        <v>0</v>
      </c>
      <c r="K55" s="81">
        <v>0</v>
      </c>
      <c r="L55" s="81">
        <v>1</v>
      </c>
      <c r="M55" s="81">
        <v>0</v>
      </c>
      <c r="N55" s="81">
        <v>0</v>
      </c>
      <c r="O55" s="81">
        <v>0</v>
      </c>
      <c r="P55" s="81">
        <v>0</v>
      </c>
      <c r="Q55" s="81">
        <v>0</v>
      </c>
      <c r="R55" s="81">
        <v>0</v>
      </c>
      <c r="S55" s="81">
        <v>0</v>
      </c>
      <c r="T55" s="81">
        <v>0</v>
      </c>
      <c r="U55" s="81">
        <v>0</v>
      </c>
      <c r="V55" s="81">
        <v>0</v>
      </c>
      <c r="W55" s="81">
        <v>0</v>
      </c>
      <c r="X55" s="81">
        <v>0</v>
      </c>
      <c r="Y55" s="81">
        <v>1</v>
      </c>
      <c r="Z55" s="81">
        <v>0</v>
      </c>
      <c r="AA55" s="81">
        <v>1</v>
      </c>
      <c r="AB55" s="81">
        <v>0</v>
      </c>
      <c r="AC55" s="81">
        <v>1</v>
      </c>
      <c r="AD55" s="81">
        <v>0</v>
      </c>
      <c r="AE55" s="81">
        <v>1</v>
      </c>
      <c r="AF55" s="81">
        <v>0</v>
      </c>
      <c r="AG55" s="81">
        <v>1</v>
      </c>
      <c r="AH55" s="81">
        <v>0</v>
      </c>
      <c r="AI55" s="81">
        <v>1</v>
      </c>
      <c r="AJ55" s="81">
        <v>0</v>
      </c>
      <c r="AK55" s="81">
        <v>0</v>
      </c>
      <c r="AL55" s="81">
        <v>0</v>
      </c>
      <c r="AM55" s="81">
        <v>1</v>
      </c>
      <c r="AN55" s="81">
        <v>1</v>
      </c>
      <c r="AO55" s="81">
        <v>0</v>
      </c>
      <c r="AP55" s="81">
        <v>0</v>
      </c>
      <c r="AQ55" s="81">
        <v>0</v>
      </c>
      <c r="AR55" s="81">
        <v>0</v>
      </c>
      <c r="AS55" s="81">
        <v>0</v>
      </c>
      <c r="AT55" s="81">
        <v>0</v>
      </c>
      <c r="AU55" s="81">
        <v>0</v>
      </c>
      <c r="AV55" s="81">
        <v>0</v>
      </c>
      <c r="AW55" s="81">
        <v>0</v>
      </c>
      <c r="AX55" s="81">
        <v>1</v>
      </c>
      <c r="AY55" s="81">
        <v>0</v>
      </c>
      <c r="AZ55" s="81">
        <v>0</v>
      </c>
      <c r="BA55" s="81">
        <v>0</v>
      </c>
      <c r="BB55" s="81">
        <v>3</v>
      </c>
      <c r="BC55" s="81">
        <v>2</v>
      </c>
      <c r="BD55" s="81">
        <v>2</v>
      </c>
      <c r="BE55" s="81">
        <v>2</v>
      </c>
      <c r="BF55" s="81">
        <v>3</v>
      </c>
      <c r="BG55" s="81">
        <v>2</v>
      </c>
      <c r="BH55" s="81">
        <v>2</v>
      </c>
      <c r="BI55" s="81">
        <v>1</v>
      </c>
      <c r="BJ55" s="81">
        <v>2</v>
      </c>
      <c r="BK55" s="81">
        <v>2</v>
      </c>
      <c r="BL55" s="81">
        <v>2</v>
      </c>
      <c r="BM55" s="81">
        <v>1</v>
      </c>
      <c r="BN55" s="81">
        <v>3</v>
      </c>
      <c r="BO55" s="81">
        <v>3</v>
      </c>
      <c r="BP55" s="81">
        <v>3</v>
      </c>
      <c r="BQ55" s="81">
        <v>2</v>
      </c>
      <c r="BR55" s="81">
        <v>2</v>
      </c>
      <c r="BS55" s="81">
        <v>2</v>
      </c>
      <c r="BT55" s="81">
        <v>3</v>
      </c>
      <c r="BU55" s="81">
        <v>0</v>
      </c>
      <c r="BV55" s="81">
        <v>1</v>
      </c>
      <c r="BW55" s="81">
        <v>0</v>
      </c>
      <c r="BX55" s="81">
        <v>0</v>
      </c>
      <c r="BY55" s="81">
        <v>0</v>
      </c>
      <c r="BZ55" s="81">
        <v>1</v>
      </c>
      <c r="CA55" s="81">
        <v>0</v>
      </c>
      <c r="CB55" s="81">
        <v>2</v>
      </c>
      <c r="CC55" s="81">
        <v>2</v>
      </c>
      <c r="CD55" s="81">
        <v>2</v>
      </c>
      <c r="CE55" s="81">
        <v>2</v>
      </c>
      <c r="CF55" s="81">
        <v>3</v>
      </c>
      <c r="CG55" s="81">
        <v>2</v>
      </c>
      <c r="CH55" s="81">
        <v>0</v>
      </c>
      <c r="CI55" s="81">
        <v>1</v>
      </c>
      <c r="CJ55" s="81">
        <v>0</v>
      </c>
      <c r="CK55" s="81">
        <v>1</v>
      </c>
      <c r="CL55" s="81">
        <v>1</v>
      </c>
      <c r="CM55" s="81">
        <v>0</v>
      </c>
      <c r="CN55" s="81">
        <v>1</v>
      </c>
      <c r="CO55" s="81" t="s">
        <v>574</v>
      </c>
    </row>
    <row r="56" spans="1:93" ht="11.55" customHeight="1" x14ac:dyDescent="0.3">
      <c r="A56" s="81" t="s">
        <v>611</v>
      </c>
      <c r="B56" s="81" t="s">
        <v>612</v>
      </c>
      <c r="C56" s="81" t="s">
        <v>395</v>
      </c>
      <c r="D56" s="94">
        <v>24</v>
      </c>
      <c r="E56" s="81">
        <v>0</v>
      </c>
      <c r="F56" s="81">
        <v>1</v>
      </c>
      <c r="G56" s="81">
        <v>0</v>
      </c>
      <c r="H56" s="81">
        <v>0</v>
      </c>
      <c r="I56" s="81">
        <v>0</v>
      </c>
      <c r="J56" s="81">
        <v>0</v>
      </c>
      <c r="K56" s="81">
        <v>0</v>
      </c>
      <c r="L56" s="81">
        <v>1</v>
      </c>
      <c r="M56" s="81">
        <v>0</v>
      </c>
      <c r="N56" s="81">
        <v>0</v>
      </c>
      <c r="O56" s="81">
        <v>0</v>
      </c>
      <c r="P56" s="81">
        <v>0</v>
      </c>
      <c r="Q56" s="81">
        <v>0</v>
      </c>
      <c r="R56" s="81">
        <v>0</v>
      </c>
      <c r="S56" s="81">
        <v>0</v>
      </c>
      <c r="T56" s="81">
        <v>0</v>
      </c>
      <c r="U56" s="81">
        <v>0</v>
      </c>
      <c r="V56" s="81">
        <v>0</v>
      </c>
      <c r="W56" s="81">
        <v>0</v>
      </c>
      <c r="X56" s="81">
        <v>0</v>
      </c>
      <c r="Y56" s="81">
        <v>1</v>
      </c>
      <c r="Z56" s="81">
        <v>0</v>
      </c>
      <c r="AA56" s="81">
        <v>1</v>
      </c>
      <c r="AB56" s="81">
        <v>0</v>
      </c>
      <c r="AC56" s="81">
        <v>1</v>
      </c>
      <c r="AD56" s="81">
        <v>0</v>
      </c>
      <c r="AE56" s="81">
        <v>1</v>
      </c>
      <c r="AF56" s="81">
        <v>0</v>
      </c>
      <c r="AG56" s="81">
        <v>1</v>
      </c>
      <c r="AH56" s="81">
        <v>0</v>
      </c>
      <c r="AI56" s="81">
        <v>1</v>
      </c>
      <c r="AJ56" s="81">
        <v>0</v>
      </c>
      <c r="AK56" s="81">
        <v>0</v>
      </c>
      <c r="AL56" s="81">
        <v>0</v>
      </c>
      <c r="AM56" s="81">
        <v>1</v>
      </c>
      <c r="AN56" s="81">
        <v>1</v>
      </c>
      <c r="AO56" s="81">
        <v>0</v>
      </c>
      <c r="AP56" s="81">
        <v>0</v>
      </c>
      <c r="AQ56" s="81">
        <v>0</v>
      </c>
      <c r="AR56" s="81">
        <v>0</v>
      </c>
      <c r="AS56" s="81">
        <v>0</v>
      </c>
      <c r="AT56" s="81">
        <v>0</v>
      </c>
      <c r="AU56" s="81">
        <v>0</v>
      </c>
      <c r="AV56" s="81">
        <v>0</v>
      </c>
      <c r="AW56" s="81">
        <v>0</v>
      </c>
      <c r="AX56" s="81">
        <v>1</v>
      </c>
      <c r="AY56" s="81">
        <v>0</v>
      </c>
      <c r="AZ56" s="81">
        <v>0</v>
      </c>
      <c r="BA56" s="81">
        <v>0</v>
      </c>
      <c r="BB56" s="81">
        <v>3</v>
      </c>
      <c r="BC56" s="81">
        <v>2</v>
      </c>
      <c r="BD56" s="81">
        <v>2</v>
      </c>
      <c r="BE56" s="81">
        <v>2</v>
      </c>
      <c r="BF56" s="81">
        <v>3</v>
      </c>
      <c r="BG56" s="81">
        <v>2</v>
      </c>
      <c r="BH56" s="81">
        <v>2</v>
      </c>
      <c r="BI56" s="81">
        <v>1</v>
      </c>
      <c r="BJ56" s="81">
        <v>2</v>
      </c>
      <c r="BK56" s="81">
        <v>2</v>
      </c>
      <c r="BL56" s="81">
        <v>2</v>
      </c>
      <c r="BM56" s="81">
        <v>1</v>
      </c>
      <c r="BN56" s="81">
        <v>3</v>
      </c>
      <c r="BO56" s="81">
        <v>3</v>
      </c>
      <c r="BP56" s="81">
        <v>3</v>
      </c>
      <c r="BQ56" s="81">
        <v>2</v>
      </c>
      <c r="BR56" s="81">
        <v>2</v>
      </c>
      <c r="BS56" s="81">
        <v>2</v>
      </c>
      <c r="BT56" s="81">
        <v>3</v>
      </c>
      <c r="BU56" s="81">
        <v>0</v>
      </c>
      <c r="BV56" s="81">
        <v>1</v>
      </c>
      <c r="BW56" s="81">
        <v>0</v>
      </c>
      <c r="BX56" s="81">
        <v>0</v>
      </c>
      <c r="BY56" s="81">
        <v>0</v>
      </c>
      <c r="BZ56" s="81">
        <v>1</v>
      </c>
      <c r="CA56" s="81">
        <v>0</v>
      </c>
      <c r="CB56" s="81">
        <v>2</v>
      </c>
      <c r="CC56" s="81">
        <v>2</v>
      </c>
      <c r="CD56" s="81">
        <v>2</v>
      </c>
      <c r="CE56" s="81">
        <v>2</v>
      </c>
      <c r="CF56" s="81">
        <v>3</v>
      </c>
      <c r="CG56" s="81">
        <v>2</v>
      </c>
      <c r="CH56" s="81">
        <v>0</v>
      </c>
      <c r="CI56" s="81">
        <v>1</v>
      </c>
      <c r="CJ56" s="81">
        <v>0</v>
      </c>
      <c r="CK56" s="81">
        <v>1</v>
      </c>
      <c r="CL56" s="81">
        <v>1</v>
      </c>
      <c r="CM56" s="81">
        <v>0</v>
      </c>
      <c r="CN56" s="81">
        <v>1</v>
      </c>
      <c r="CO56" s="81" t="s">
        <v>574</v>
      </c>
    </row>
    <row r="57" spans="1:93" ht="11.55" customHeight="1" x14ac:dyDescent="0.3">
      <c r="A57" s="81" t="s">
        <v>613</v>
      </c>
      <c r="B57" s="81" t="s">
        <v>614</v>
      </c>
      <c r="C57" s="81" t="s">
        <v>395</v>
      </c>
      <c r="D57" s="94">
        <v>24</v>
      </c>
      <c r="E57" s="81">
        <v>0</v>
      </c>
      <c r="F57" s="81">
        <v>1</v>
      </c>
      <c r="G57" s="81">
        <v>0</v>
      </c>
      <c r="H57" s="81">
        <v>0</v>
      </c>
      <c r="I57" s="81">
        <v>0</v>
      </c>
      <c r="J57" s="81">
        <v>0</v>
      </c>
      <c r="K57" s="81">
        <v>0</v>
      </c>
      <c r="L57" s="81">
        <v>1</v>
      </c>
      <c r="M57" s="81">
        <v>0</v>
      </c>
      <c r="N57" s="81">
        <v>0</v>
      </c>
      <c r="O57" s="81">
        <v>0</v>
      </c>
      <c r="P57" s="81">
        <v>0</v>
      </c>
      <c r="Q57" s="81">
        <v>0</v>
      </c>
      <c r="R57" s="81">
        <v>0</v>
      </c>
      <c r="S57" s="81">
        <v>0</v>
      </c>
      <c r="T57" s="81">
        <v>0</v>
      </c>
      <c r="U57" s="81">
        <v>0</v>
      </c>
      <c r="V57" s="81">
        <v>0</v>
      </c>
      <c r="W57" s="81">
        <v>0</v>
      </c>
      <c r="X57" s="81">
        <v>0</v>
      </c>
      <c r="Y57" s="81">
        <v>1</v>
      </c>
      <c r="Z57" s="81">
        <v>0</v>
      </c>
      <c r="AA57" s="81">
        <v>1</v>
      </c>
      <c r="AB57" s="81">
        <v>0</v>
      </c>
      <c r="AC57" s="81">
        <v>1</v>
      </c>
      <c r="AD57" s="81">
        <v>0</v>
      </c>
      <c r="AE57" s="81">
        <v>1</v>
      </c>
      <c r="AF57" s="81">
        <v>0</v>
      </c>
      <c r="AG57" s="81">
        <v>1</v>
      </c>
      <c r="AH57" s="81">
        <v>0</v>
      </c>
      <c r="AI57" s="81">
        <v>1</v>
      </c>
      <c r="AJ57" s="81">
        <v>0</v>
      </c>
      <c r="AK57" s="81">
        <v>0</v>
      </c>
      <c r="AL57" s="81">
        <v>0</v>
      </c>
      <c r="AM57" s="81">
        <v>1</v>
      </c>
      <c r="AN57" s="81">
        <v>1</v>
      </c>
      <c r="AO57" s="81">
        <v>0</v>
      </c>
      <c r="AP57" s="81">
        <v>0</v>
      </c>
      <c r="AQ57" s="81">
        <v>0</v>
      </c>
      <c r="AR57" s="81">
        <v>0</v>
      </c>
      <c r="AS57" s="81">
        <v>0</v>
      </c>
      <c r="AT57" s="81">
        <v>0</v>
      </c>
      <c r="AU57" s="81">
        <v>0</v>
      </c>
      <c r="AV57" s="81">
        <v>0</v>
      </c>
      <c r="AW57" s="81">
        <v>0</v>
      </c>
      <c r="AX57" s="81">
        <v>1</v>
      </c>
      <c r="AY57" s="81">
        <v>0</v>
      </c>
      <c r="AZ57" s="81">
        <v>0</v>
      </c>
      <c r="BA57" s="81">
        <v>0</v>
      </c>
      <c r="BB57" s="81">
        <v>3</v>
      </c>
      <c r="BC57" s="81">
        <v>2</v>
      </c>
      <c r="BD57" s="81">
        <v>2</v>
      </c>
      <c r="BE57" s="81">
        <v>2</v>
      </c>
      <c r="BF57" s="81">
        <v>3</v>
      </c>
      <c r="BG57" s="81">
        <v>2</v>
      </c>
      <c r="BH57" s="81">
        <v>2</v>
      </c>
      <c r="BI57" s="81">
        <v>1</v>
      </c>
      <c r="BJ57" s="81">
        <v>2</v>
      </c>
      <c r="BK57" s="81">
        <v>2</v>
      </c>
      <c r="BL57" s="81">
        <v>2</v>
      </c>
      <c r="BM57" s="81">
        <v>1</v>
      </c>
      <c r="BN57" s="81">
        <v>3</v>
      </c>
      <c r="BO57" s="81">
        <v>3</v>
      </c>
      <c r="BP57" s="81">
        <v>3</v>
      </c>
      <c r="BQ57" s="81">
        <v>2</v>
      </c>
      <c r="BR57" s="81">
        <v>2</v>
      </c>
      <c r="BS57" s="81">
        <v>2</v>
      </c>
      <c r="BT57" s="81">
        <v>3</v>
      </c>
      <c r="BU57" s="81">
        <v>0</v>
      </c>
      <c r="BV57" s="81">
        <v>1</v>
      </c>
      <c r="BW57" s="81">
        <v>0</v>
      </c>
      <c r="BX57" s="81">
        <v>0</v>
      </c>
      <c r="BY57" s="81">
        <v>0</v>
      </c>
      <c r="BZ57" s="81">
        <v>1</v>
      </c>
      <c r="CA57" s="81">
        <v>0</v>
      </c>
      <c r="CB57" s="81">
        <v>2</v>
      </c>
      <c r="CC57" s="81">
        <v>2</v>
      </c>
      <c r="CD57" s="81">
        <v>2</v>
      </c>
      <c r="CE57" s="81">
        <v>2</v>
      </c>
      <c r="CF57" s="81">
        <v>3</v>
      </c>
      <c r="CG57" s="81">
        <v>2</v>
      </c>
      <c r="CH57" s="81">
        <v>0</v>
      </c>
      <c r="CI57" s="81">
        <v>1</v>
      </c>
      <c r="CJ57" s="81">
        <v>0</v>
      </c>
      <c r="CK57" s="81">
        <v>1</v>
      </c>
      <c r="CL57" s="81">
        <v>1</v>
      </c>
      <c r="CM57" s="81">
        <v>0</v>
      </c>
      <c r="CN57" s="81">
        <v>1</v>
      </c>
      <c r="CO57" s="81" t="s">
        <v>574</v>
      </c>
    </row>
    <row r="58" spans="1:93" ht="11.55" customHeight="1" x14ac:dyDescent="0.3">
      <c r="A58" s="81" t="s">
        <v>615</v>
      </c>
      <c r="B58" s="81" t="s">
        <v>616</v>
      </c>
      <c r="C58" s="81" t="s">
        <v>395</v>
      </c>
      <c r="D58" s="94">
        <v>24</v>
      </c>
      <c r="E58" s="81">
        <v>0</v>
      </c>
      <c r="F58" s="81">
        <v>1</v>
      </c>
      <c r="G58" s="81">
        <v>0</v>
      </c>
      <c r="H58" s="81">
        <v>0</v>
      </c>
      <c r="I58" s="81">
        <v>0</v>
      </c>
      <c r="J58" s="81">
        <v>0</v>
      </c>
      <c r="K58" s="81">
        <v>0</v>
      </c>
      <c r="L58" s="81">
        <v>1</v>
      </c>
      <c r="M58" s="81">
        <v>0</v>
      </c>
      <c r="N58" s="81">
        <v>0</v>
      </c>
      <c r="O58" s="81">
        <v>0</v>
      </c>
      <c r="P58" s="81">
        <v>0</v>
      </c>
      <c r="Q58" s="81">
        <v>0</v>
      </c>
      <c r="R58" s="81">
        <v>0</v>
      </c>
      <c r="S58" s="81">
        <v>0</v>
      </c>
      <c r="T58" s="81">
        <v>0</v>
      </c>
      <c r="U58" s="81">
        <v>0</v>
      </c>
      <c r="V58" s="81">
        <v>0</v>
      </c>
      <c r="W58" s="81">
        <v>0</v>
      </c>
      <c r="X58" s="81">
        <v>0</v>
      </c>
      <c r="Y58" s="81">
        <v>1</v>
      </c>
      <c r="Z58" s="81">
        <v>0</v>
      </c>
      <c r="AA58" s="81">
        <v>1</v>
      </c>
      <c r="AB58" s="81">
        <v>0</v>
      </c>
      <c r="AC58" s="81">
        <v>1</v>
      </c>
      <c r="AD58" s="81">
        <v>0</v>
      </c>
      <c r="AE58" s="81">
        <v>1</v>
      </c>
      <c r="AF58" s="81">
        <v>0</v>
      </c>
      <c r="AG58" s="81">
        <v>1</v>
      </c>
      <c r="AH58" s="81">
        <v>0</v>
      </c>
      <c r="AI58" s="81">
        <v>1</v>
      </c>
      <c r="AJ58" s="81">
        <v>0</v>
      </c>
      <c r="AK58" s="81">
        <v>0</v>
      </c>
      <c r="AL58" s="81">
        <v>0</v>
      </c>
      <c r="AM58" s="81">
        <v>1</v>
      </c>
      <c r="AN58" s="81">
        <v>1</v>
      </c>
      <c r="AO58" s="81">
        <v>0</v>
      </c>
      <c r="AP58" s="81">
        <v>0</v>
      </c>
      <c r="AQ58" s="81">
        <v>0</v>
      </c>
      <c r="AR58" s="81">
        <v>0</v>
      </c>
      <c r="AS58" s="81">
        <v>0</v>
      </c>
      <c r="AT58" s="81">
        <v>0</v>
      </c>
      <c r="AU58" s="81">
        <v>0</v>
      </c>
      <c r="AV58" s="81">
        <v>0</v>
      </c>
      <c r="AW58" s="81">
        <v>0</v>
      </c>
      <c r="AX58" s="81">
        <v>1</v>
      </c>
      <c r="AY58" s="81">
        <v>0</v>
      </c>
      <c r="AZ58" s="81">
        <v>0</v>
      </c>
      <c r="BA58" s="81">
        <v>0</v>
      </c>
      <c r="BB58" s="81">
        <v>3</v>
      </c>
      <c r="BC58" s="81">
        <v>2</v>
      </c>
      <c r="BD58" s="81">
        <v>2</v>
      </c>
      <c r="BE58" s="81">
        <v>2</v>
      </c>
      <c r="BF58" s="81">
        <v>3</v>
      </c>
      <c r="BG58" s="81">
        <v>2</v>
      </c>
      <c r="BH58" s="81">
        <v>2</v>
      </c>
      <c r="BI58" s="81">
        <v>1</v>
      </c>
      <c r="BJ58" s="81">
        <v>2</v>
      </c>
      <c r="BK58" s="81">
        <v>2</v>
      </c>
      <c r="BL58" s="81">
        <v>2</v>
      </c>
      <c r="BM58" s="81">
        <v>1</v>
      </c>
      <c r="BN58" s="81">
        <v>3</v>
      </c>
      <c r="BO58" s="81">
        <v>3</v>
      </c>
      <c r="BP58" s="81">
        <v>3</v>
      </c>
      <c r="BQ58" s="81">
        <v>2</v>
      </c>
      <c r="BR58" s="81">
        <v>2</v>
      </c>
      <c r="BS58" s="81">
        <v>2</v>
      </c>
      <c r="BT58" s="81">
        <v>3</v>
      </c>
      <c r="BU58" s="81">
        <v>0</v>
      </c>
      <c r="BV58" s="81">
        <v>1</v>
      </c>
      <c r="BW58" s="81">
        <v>0</v>
      </c>
      <c r="BX58" s="81">
        <v>0</v>
      </c>
      <c r="BY58" s="81">
        <v>0</v>
      </c>
      <c r="BZ58" s="81">
        <v>1</v>
      </c>
      <c r="CA58" s="81">
        <v>0</v>
      </c>
      <c r="CB58" s="81">
        <v>2</v>
      </c>
      <c r="CC58" s="81">
        <v>2</v>
      </c>
      <c r="CD58" s="81">
        <v>2</v>
      </c>
      <c r="CE58" s="81">
        <v>2</v>
      </c>
      <c r="CF58" s="81">
        <v>3</v>
      </c>
      <c r="CG58" s="81">
        <v>2</v>
      </c>
      <c r="CH58" s="81">
        <v>0</v>
      </c>
      <c r="CI58" s="81">
        <v>1</v>
      </c>
      <c r="CJ58" s="81">
        <v>0</v>
      </c>
      <c r="CK58" s="81">
        <v>1</v>
      </c>
      <c r="CL58" s="81">
        <v>1</v>
      </c>
      <c r="CM58" s="81">
        <v>0</v>
      </c>
      <c r="CN58" s="81">
        <v>1</v>
      </c>
      <c r="CO58" s="81" t="s">
        <v>574</v>
      </c>
    </row>
    <row r="59" spans="1:93" ht="11.55" customHeight="1" x14ac:dyDescent="0.3">
      <c r="A59" s="81" t="s">
        <v>617</v>
      </c>
      <c r="B59" s="81" t="s">
        <v>618</v>
      </c>
      <c r="C59" s="81" t="s">
        <v>395</v>
      </c>
      <c r="D59" s="94">
        <v>24</v>
      </c>
      <c r="E59" s="81">
        <v>0</v>
      </c>
      <c r="F59" s="81">
        <v>1</v>
      </c>
      <c r="G59" s="81">
        <v>0</v>
      </c>
      <c r="H59" s="81">
        <v>0</v>
      </c>
      <c r="I59" s="81">
        <v>0</v>
      </c>
      <c r="J59" s="81">
        <v>0</v>
      </c>
      <c r="K59" s="81">
        <v>0</v>
      </c>
      <c r="L59" s="81">
        <v>1</v>
      </c>
      <c r="M59" s="81">
        <v>0</v>
      </c>
      <c r="N59" s="81">
        <v>0</v>
      </c>
      <c r="O59" s="81">
        <v>0</v>
      </c>
      <c r="P59" s="81">
        <v>0</v>
      </c>
      <c r="Q59" s="81">
        <v>0</v>
      </c>
      <c r="R59" s="81">
        <v>0</v>
      </c>
      <c r="S59" s="81">
        <v>0</v>
      </c>
      <c r="T59" s="81">
        <v>0</v>
      </c>
      <c r="U59" s="81">
        <v>0</v>
      </c>
      <c r="V59" s="81">
        <v>0</v>
      </c>
      <c r="W59" s="81">
        <v>0</v>
      </c>
      <c r="X59" s="81">
        <v>0</v>
      </c>
      <c r="Y59" s="81">
        <v>1</v>
      </c>
      <c r="Z59" s="81">
        <v>0</v>
      </c>
      <c r="AA59" s="81">
        <v>1</v>
      </c>
      <c r="AB59" s="81">
        <v>0</v>
      </c>
      <c r="AC59" s="81">
        <v>1</v>
      </c>
      <c r="AD59" s="81">
        <v>0</v>
      </c>
      <c r="AE59" s="81">
        <v>1</v>
      </c>
      <c r="AF59" s="81">
        <v>0</v>
      </c>
      <c r="AG59" s="81">
        <v>1</v>
      </c>
      <c r="AH59" s="81">
        <v>0</v>
      </c>
      <c r="AI59" s="81">
        <v>1</v>
      </c>
      <c r="AJ59" s="81">
        <v>0</v>
      </c>
      <c r="AK59" s="81">
        <v>0</v>
      </c>
      <c r="AL59" s="81">
        <v>0</v>
      </c>
      <c r="AM59" s="81">
        <v>1</v>
      </c>
      <c r="AN59" s="81">
        <v>1</v>
      </c>
      <c r="AO59" s="81">
        <v>0</v>
      </c>
      <c r="AP59" s="81">
        <v>0</v>
      </c>
      <c r="AQ59" s="81">
        <v>0</v>
      </c>
      <c r="AR59" s="81">
        <v>0</v>
      </c>
      <c r="AS59" s="81">
        <v>0</v>
      </c>
      <c r="AT59" s="81">
        <v>0</v>
      </c>
      <c r="AU59" s="81">
        <v>0</v>
      </c>
      <c r="AV59" s="81">
        <v>0</v>
      </c>
      <c r="AW59" s="81">
        <v>0</v>
      </c>
      <c r="AX59" s="81">
        <v>1</v>
      </c>
      <c r="AY59" s="81">
        <v>0</v>
      </c>
      <c r="AZ59" s="81">
        <v>0</v>
      </c>
      <c r="BA59" s="81">
        <v>0</v>
      </c>
      <c r="BB59" s="81">
        <v>3</v>
      </c>
      <c r="BC59" s="81">
        <v>2</v>
      </c>
      <c r="BD59" s="81">
        <v>2</v>
      </c>
      <c r="BE59" s="81">
        <v>2</v>
      </c>
      <c r="BF59" s="81">
        <v>3</v>
      </c>
      <c r="BG59" s="81">
        <v>2</v>
      </c>
      <c r="BH59" s="81">
        <v>2</v>
      </c>
      <c r="BI59" s="81">
        <v>1</v>
      </c>
      <c r="BJ59" s="81">
        <v>2</v>
      </c>
      <c r="BK59" s="81">
        <v>2</v>
      </c>
      <c r="BL59" s="81">
        <v>2</v>
      </c>
      <c r="BM59" s="81">
        <v>1</v>
      </c>
      <c r="BN59" s="81">
        <v>3</v>
      </c>
      <c r="BO59" s="81">
        <v>3</v>
      </c>
      <c r="BP59" s="81">
        <v>3</v>
      </c>
      <c r="BQ59" s="81">
        <v>2</v>
      </c>
      <c r="BR59" s="81">
        <v>2</v>
      </c>
      <c r="BS59" s="81">
        <v>2</v>
      </c>
      <c r="BT59" s="81">
        <v>3</v>
      </c>
      <c r="BU59" s="81">
        <v>0</v>
      </c>
      <c r="BV59" s="81">
        <v>1</v>
      </c>
      <c r="BW59" s="81">
        <v>0</v>
      </c>
      <c r="BX59" s="81">
        <v>0</v>
      </c>
      <c r="BY59" s="81">
        <v>0</v>
      </c>
      <c r="BZ59" s="81">
        <v>1</v>
      </c>
      <c r="CA59" s="81">
        <v>0</v>
      </c>
      <c r="CB59" s="81">
        <v>2</v>
      </c>
      <c r="CC59" s="81">
        <v>2</v>
      </c>
      <c r="CD59" s="81">
        <v>2</v>
      </c>
      <c r="CE59" s="81">
        <v>2</v>
      </c>
      <c r="CF59" s="81">
        <v>3</v>
      </c>
      <c r="CG59" s="81">
        <v>2</v>
      </c>
      <c r="CH59" s="81">
        <v>0</v>
      </c>
      <c r="CI59" s="81">
        <v>1</v>
      </c>
      <c r="CJ59" s="81">
        <v>0</v>
      </c>
      <c r="CK59" s="81">
        <v>1</v>
      </c>
      <c r="CL59" s="81">
        <v>1</v>
      </c>
      <c r="CM59" s="81">
        <v>0</v>
      </c>
      <c r="CN59" s="81">
        <v>1</v>
      </c>
      <c r="CO59" s="81" t="s">
        <v>574</v>
      </c>
    </row>
    <row r="60" spans="1:93" ht="11.55" customHeight="1" x14ac:dyDescent="0.3">
      <c r="A60" s="81" t="s">
        <v>619</v>
      </c>
      <c r="B60" s="81" t="s">
        <v>620</v>
      </c>
      <c r="C60" s="81" t="s">
        <v>395</v>
      </c>
      <c r="D60" s="94">
        <v>24</v>
      </c>
      <c r="E60" s="81">
        <v>0</v>
      </c>
      <c r="F60" s="81">
        <v>1</v>
      </c>
      <c r="G60" s="81">
        <v>0</v>
      </c>
      <c r="H60" s="81">
        <v>0</v>
      </c>
      <c r="I60" s="81">
        <v>0</v>
      </c>
      <c r="J60" s="81">
        <v>0</v>
      </c>
      <c r="K60" s="81">
        <v>0</v>
      </c>
      <c r="L60" s="81">
        <v>1</v>
      </c>
      <c r="M60" s="81">
        <v>0</v>
      </c>
      <c r="N60" s="81">
        <v>0</v>
      </c>
      <c r="O60" s="81">
        <v>0</v>
      </c>
      <c r="P60" s="81">
        <v>0</v>
      </c>
      <c r="Q60" s="81">
        <v>0</v>
      </c>
      <c r="R60" s="81">
        <v>0</v>
      </c>
      <c r="S60" s="81">
        <v>0</v>
      </c>
      <c r="T60" s="81">
        <v>0</v>
      </c>
      <c r="U60" s="81">
        <v>0</v>
      </c>
      <c r="V60" s="81">
        <v>0</v>
      </c>
      <c r="W60" s="81">
        <v>0</v>
      </c>
      <c r="X60" s="81">
        <v>0</v>
      </c>
      <c r="Y60" s="81">
        <v>1</v>
      </c>
      <c r="Z60" s="81">
        <v>0</v>
      </c>
      <c r="AA60" s="81">
        <v>1</v>
      </c>
      <c r="AB60" s="81">
        <v>0</v>
      </c>
      <c r="AC60" s="81">
        <v>1</v>
      </c>
      <c r="AD60" s="81">
        <v>0</v>
      </c>
      <c r="AE60" s="81">
        <v>1</v>
      </c>
      <c r="AF60" s="81">
        <v>0</v>
      </c>
      <c r="AG60" s="81">
        <v>1</v>
      </c>
      <c r="AH60" s="81">
        <v>0</v>
      </c>
      <c r="AI60" s="81">
        <v>1</v>
      </c>
      <c r="AJ60" s="81">
        <v>0</v>
      </c>
      <c r="AK60" s="81">
        <v>0</v>
      </c>
      <c r="AL60" s="81">
        <v>0</v>
      </c>
      <c r="AM60" s="81">
        <v>1</v>
      </c>
      <c r="AN60" s="81">
        <v>1</v>
      </c>
      <c r="AO60" s="81">
        <v>0</v>
      </c>
      <c r="AP60" s="81">
        <v>0</v>
      </c>
      <c r="AQ60" s="81">
        <v>0</v>
      </c>
      <c r="AR60" s="81">
        <v>0</v>
      </c>
      <c r="AS60" s="81">
        <v>0</v>
      </c>
      <c r="AT60" s="81">
        <v>0</v>
      </c>
      <c r="AU60" s="81">
        <v>0</v>
      </c>
      <c r="AV60" s="81">
        <v>0</v>
      </c>
      <c r="AW60" s="81">
        <v>0</v>
      </c>
      <c r="AX60" s="81">
        <v>1</v>
      </c>
      <c r="AY60" s="81">
        <v>0</v>
      </c>
      <c r="AZ60" s="81">
        <v>0</v>
      </c>
      <c r="BA60" s="81">
        <v>0</v>
      </c>
      <c r="BB60" s="81">
        <v>3</v>
      </c>
      <c r="BC60" s="81">
        <v>2</v>
      </c>
      <c r="BD60" s="81">
        <v>2</v>
      </c>
      <c r="BE60" s="81">
        <v>2</v>
      </c>
      <c r="BF60" s="81">
        <v>3</v>
      </c>
      <c r="BG60" s="81">
        <v>2</v>
      </c>
      <c r="BH60" s="81">
        <v>2</v>
      </c>
      <c r="BI60" s="81">
        <v>1</v>
      </c>
      <c r="BJ60" s="81">
        <v>2</v>
      </c>
      <c r="BK60" s="81">
        <v>2</v>
      </c>
      <c r="BL60" s="81">
        <v>2</v>
      </c>
      <c r="BM60" s="81">
        <v>1</v>
      </c>
      <c r="BN60" s="81">
        <v>3</v>
      </c>
      <c r="BO60" s="81">
        <v>3</v>
      </c>
      <c r="BP60" s="81">
        <v>3</v>
      </c>
      <c r="BQ60" s="81">
        <v>2</v>
      </c>
      <c r="BR60" s="81">
        <v>2</v>
      </c>
      <c r="BS60" s="81">
        <v>2</v>
      </c>
      <c r="BT60" s="81">
        <v>3</v>
      </c>
      <c r="BU60" s="81">
        <v>0</v>
      </c>
      <c r="BV60" s="81">
        <v>1</v>
      </c>
      <c r="BW60" s="81">
        <v>0</v>
      </c>
      <c r="BX60" s="81">
        <v>0</v>
      </c>
      <c r="BY60" s="81">
        <v>0</v>
      </c>
      <c r="BZ60" s="81">
        <v>1</v>
      </c>
      <c r="CA60" s="81">
        <v>0</v>
      </c>
      <c r="CB60" s="81">
        <v>2</v>
      </c>
      <c r="CC60" s="81">
        <v>2</v>
      </c>
      <c r="CD60" s="81">
        <v>2</v>
      </c>
      <c r="CE60" s="81">
        <v>2</v>
      </c>
      <c r="CF60" s="81">
        <v>3</v>
      </c>
      <c r="CG60" s="81">
        <v>2</v>
      </c>
      <c r="CH60" s="81">
        <v>0</v>
      </c>
      <c r="CI60" s="81">
        <v>1</v>
      </c>
      <c r="CJ60" s="81">
        <v>0</v>
      </c>
      <c r="CK60" s="81">
        <v>1</v>
      </c>
      <c r="CL60" s="81">
        <v>1</v>
      </c>
      <c r="CM60" s="81">
        <v>0</v>
      </c>
      <c r="CN60" s="81">
        <v>1</v>
      </c>
      <c r="CO60" s="81" t="s">
        <v>574</v>
      </c>
    </row>
    <row r="61" spans="1:93" ht="11.55" customHeight="1" x14ac:dyDescent="0.3">
      <c r="A61" s="81" t="s">
        <v>621</v>
      </c>
      <c r="B61" s="81" t="s">
        <v>622</v>
      </c>
      <c r="C61" s="81" t="s">
        <v>395</v>
      </c>
      <c r="D61" s="94">
        <v>24</v>
      </c>
      <c r="E61" s="81">
        <v>0</v>
      </c>
      <c r="F61" s="81">
        <v>1</v>
      </c>
      <c r="G61" s="81">
        <v>0</v>
      </c>
      <c r="H61" s="81">
        <v>0</v>
      </c>
      <c r="I61" s="81">
        <v>0</v>
      </c>
      <c r="J61" s="81">
        <v>0</v>
      </c>
      <c r="K61" s="81">
        <v>0</v>
      </c>
      <c r="L61" s="81">
        <v>1</v>
      </c>
      <c r="M61" s="81">
        <v>0</v>
      </c>
      <c r="N61" s="81">
        <v>0</v>
      </c>
      <c r="O61" s="81">
        <v>0</v>
      </c>
      <c r="P61" s="81">
        <v>0</v>
      </c>
      <c r="Q61" s="81">
        <v>0</v>
      </c>
      <c r="R61" s="81">
        <v>0</v>
      </c>
      <c r="S61" s="81">
        <v>0</v>
      </c>
      <c r="T61" s="81">
        <v>0</v>
      </c>
      <c r="U61" s="81">
        <v>0</v>
      </c>
      <c r="V61" s="81">
        <v>0</v>
      </c>
      <c r="W61" s="81">
        <v>0</v>
      </c>
      <c r="X61" s="81">
        <v>0</v>
      </c>
      <c r="Y61" s="81">
        <v>1</v>
      </c>
      <c r="Z61" s="81">
        <v>0</v>
      </c>
      <c r="AA61" s="81">
        <v>1</v>
      </c>
      <c r="AB61" s="81">
        <v>0</v>
      </c>
      <c r="AC61" s="81">
        <v>1</v>
      </c>
      <c r="AD61" s="81">
        <v>0</v>
      </c>
      <c r="AE61" s="81">
        <v>1</v>
      </c>
      <c r="AF61" s="81">
        <v>0</v>
      </c>
      <c r="AG61" s="81">
        <v>1</v>
      </c>
      <c r="AH61" s="81">
        <v>0</v>
      </c>
      <c r="AI61" s="81">
        <v>1</v>
      </c>
      <c r="AJ61" s="81">
        <v>0</v>
      </c>
      <c r="AK61" s="81">
        <v>0</v>
      </c>
      <c r="AL61" s="81">
        <v>0</v>
      </c>
      <c r="AM61" s="81">
        <v>1</v>
      </c>
      <c r="AN61" s="81">
        <v>1</v>
      </c>
      <c r="AO61" s="81">
        <v>0</v>
      </c>
      <c r="AP61" s="81">
        <v>0</v>
      </c>
      <c r="AQ61" s="81">
        <v>0</v>
      </c>
      <c r="AR61" s="81">
        <v>0</v>
      </c>
      <c r="AS61" s="81">
        <v>0</v>
      </c>
      <c r="AT61" s="81">
        <v>0</v>
      </c>
      <c r="AU61" s="81">
        <v>0</v>
      </c>
      <c r="AV61" s="81">
        <v>0</v>
      </c>
      <c r="AW61" s="81">
        <v>0</v>
      </c>
      <c r="AX61" s="81">
        <v>1</v>
      </c>
      <c r="AY61" s="81">
        <v>0</v>
      </c>
      <c r="AZ61" s="81">
        <v>0</v>
      </c>
      <c r="BA61" s="81">
        <v>0</v>
      </c>
      <c r="BB61" s="81">
        <v>3</v>
      </c>
      <c r="BC61" s="81">
        <v>2</v>
      </c>
      <c r="BD61" s="81">
        <v>2</v>
      </c>
      <c r="BE61" s="81">
        <v>2</v>
      </c>
      <c r="BF61" s="81">
        <v>3</v>
      </c>
      <c r="BG61" s="81">
        <v>2</v>
      </c>
      <c r="BH61" s="81">
        <v>2</v>
      </c>
      <c r="BI61" s="81">
        <v>1</v>
      </c>
      <c r="BJ61" s="81">
        <v>2</v>
      </c>
      <c r="BK61" s="81">
        <v>2</v>
      </c>
      <c r="BL61" s="81">
        <v>2</v>
      </c>
      <c r="BM61" s="81">
        <v>1</v>
      </c>
      <c r="BN61" s="81">
        <v>3</v>
      </c>
      <c r="BO61" s="81">
        <v>3</v>
      </c>
      <c r="BP61" s="81">
        <v>3</v>
      </c>
      <c r="BQ61" s="81">
        <v>2</v>
      </c>
      <c r="BR61" s="81">
        <v>2</v>
      </c>
      <c r="BS61" s="81">
        <v>2</v>
      </c>
      <c r="BT61" s="81">
        <v>3</v>
      </c>
      <c r="BU61" s="81">
        <v>0</v>
      </c>
      <c r="BV61" s="81">
        <v>1</v>
      </c>
      <c r="BW61" s="81">
        <v>0</v>
      </c>
      <c r="BX61" s="81">
        <v>0</v>
      </c>
      <c r="BY61" s="81">
        <v>0</v>
      </c>
      <c r="BZ61" s="81">
        <v>1</v>
      </c>
      <c r="CA61" s="81">
        <v>0</v>
      </c>
      <c r="CB61" s="81">
        <v>2</v>
      </c>
      <c r="CC61" s="81">
        <v>2</v>
      </c>
      <c r="CD61" s="81">
        <v>2</v>
      </c>
      <c r="CE61" s="81">
        <v>2</v>
      </c>
      <c r="CF61" s="81">
        <v>3</v>
      </c>
      <c r="CG61" s="81">
        <v>2</v>
      </c>
      <c r="CH61" s="81">
        <v>0</v>
      </c>
      <c r="CI61" s="81">
        <v>1</v>
      </c>
      <c r="CJ61" s="81">
        <v>0</v>
      </c>
      <c r="CK61" s="81">
        <v>1</v>
      </c>
      <c r="CL61" s="81">
        <v>1</v>
      </c>
      <c r="CM61" s="81">
        <v>0</v>
      </c>
      <c r="CN61" s="81">
        <v>1</v>
      </c>
      <c r="CO61" s="81" t="s">
        <v>574</v>
      </c>
    </row>
    <row r="62" spans="1:93" ht="11.55" customHeight="1" x14ac:dyDescent="0.3">
      <c r="A62" s="81" t="s">
        <v>623</v>
      </c>
      <c r="B62" s="81" t="s">
        <v>624</v>
      </c>
      <c r="C62" s="81" t="s">
        <v>395</v>
      </c>
      <c r="D62" s="94">
        <v>24</v>
      </c>
      <c r="E62" s="81">
        <v>0</v>
      </c>
      <c r="F62" s="81">
        <v>1</v>
      </c>
      <c r="G62" s="81">
        <v>0</v>
      </c>
      <c r="H62" s="81">
        <v>0</v>
      </c>
      <c r="I62" s="81">
        <v>0</v>
      </c>
      <c r="J62" s="81">
        <v>0</v>
      </c>
      <c r="K62" s="81">
        <v>0</v>
      </c>
      <c r="L62" s="81">
        <v>1</v>
      </c>
      <c r="M62" s="81">
        <v>0</v>
      </c>
      <c r="N62" s="81">
        <v>0</v>
      </c>
      <c r="O62" s="81">
        <v>0</v>
      </c>
      <c r="P62" s="81">
        <v>0</v>
      </c>
      <c r="Q62" s="81">
        <v>0</v>
      </c>
      <c r="R62" s="81">
        <v>0</v>
      </c>
      <c r="S62" s="81">
        <v>0</v>
      </c>
      <c r="T62" s="81">
        <v>0</v>
      </c>
      <c r="U62" s="81">
        <v>0</v>
      </c>
      <c r="V62" s="81">
        <v>0</v>
      </c>
      <c r="W62" s="81">
        <v>0</v>
      </c>
      <c r="X62" s="81">
        <v>0</v>
      </c>
      <c r="Y62" s="81">
        <v>1</v>
      </c>
      <c r="Z62" s="81">
        <v>0</v>
      </c>
      <c r="AA62" s="81">
        <v>1</v>
      </c>
      <c r="AB62" s="81">
        <v>0</v>
      </c>
      <c r="AC62" s="81">
        <v>1</v>
      </c>
      <c r="AD62" s="81">
        <v>0</v>
      </c>
      <c r="AE62" s="81">
        <v>1</v>
      </c>
      <c r="AF62" s="81">
        <v>0</v>
      </c>
      <c r="AG62" s="81">
        <v>1</v>
      </c>
      <c r="AH62" s="81">
        <v>0</v>
      </c>
      <c r="AI62" s="81">
        <v>1</v>
      </c>
      <c r="AJ62" s="81">
        <v>0</v>
      </c>
      <c r="AK62" s="81">
        <v>0</v>
      </c>
      <c r="AL62" s="81">
        <v>0</v>
      </c>
      <c r="AM62" s="81">
        <v>1</v>
      </c>
      <c r="AN62" s="81">
        <v>1</v>
      </c>
      <c r="AO62" s="81">
        <v>0</v>
      </c>
      <c r="AP62" s="81">
        <v>0</v>
      </c>
      <c r="AQ62" s="81">
        <v>0</v>
      </c>
      <c r="AR62" s="81">
        <v>0</v>
      </c>
      <c r="AS62" s="81">
        <v>0</v>
      </c>
      <c r="AT62" s="81">
        <v>0</v>
      </c>
      <c r="AU62" s="81">
        <v>0</v>
      </c>
      <c r="AV62" s="81">
        <v>0</v>
      </c>
      <c r="AW62" s="81">
        <v>0</v>
      </c>
      <c r="AX62" s="81">
        <v>1</v>
      </c>
      <c r="AY62" s="81">
        <v>0</v>
      </c>
      <c r="AZ62" s="81">
        <v>0</v>
      </c>
      <c r="BA62" s="81">
        <v>0</v>
      </c>
      <c r="BB62" s="81">
        <v>3</v>
      </c>
      <c r="BC62" s="81">
        <v>2</v>
      </c>
      <c r="BD62" s="81">
        <v>2</v>
      </c>
      <c r="BE62" s="81">
        <v>2</v>
      </c>
      <c r="BF62" s="81">
        <v>3</v>
      </c>
      <c r="BG62" s="81">
        <v>2</v>
      </c>
      <c r="BH62" s="81">
        <v>2</v>
      </c>
      <c r="BI62" s="81">
        <v>1</v>
      </c>
      <c r="BJ62" s="81">
        <v>2</v>
      </c>
      <c r="BK62" s="81">
        <v>2</v>
      </c>
      <c r="BL62" s="81">
        <v>2</v>
      </c>
      <c r="BM62" s="81">
        <v>1</v>
      </c>
      <c r="BN62" s="81">
        <v>3</v>
      </c>
      <c r="BO62" s="81">
        <v>3</v>
      </c>
      <c r="BP62" s="81">
        <v>3</v>
      </c>
      <c r="BQ62" s="81">
        <v>2</v>
      </c>
      <c r="BR62" s="81">
        <v>2</v>
      </c>
      <c r="BS62" s="81">
        <v>2</v>
      </c>
      <c r="BT62" s="81">
        <v>3</v>
      </c>
      <c r="BU62" s="81">
        <v>0</v>
      </c>
      <c r="BV62" s="81">
        <v>1</v>
      </c>
      <c r="BW62" s="81">
        <v>0</v>
      </c>
      <c r="BX62" s="81">
        <v>0</v>
      </c>
      <c r="BY62" s="81">
        <v>0</v>
      </c>
      <c r="BZ62" s="81">
        <v>1</v>
      </c>
      <c r="CA62" s="81">
        <v>0</v>
      </c>
      <c r="CB62" s="81">
        <v>2</v>
      </c>
      <c r="CC62" s="81">
        <v>2</v>
      </c>
      <c r="CD62" s="81">
        <v>2</v>
      </c>
      <c r="CE62" s="81">
        <v>2</v>
      </c>
      <c r="CF62" s="81">
        <v>3</v>
      </c>
      <c r="CG62" s="81">
        <v>2</v>
      </c>
      <c r="CH62" s="81">
        <v>0</v>
      </c>
      <c r="CI62" s="81">
        <v>1</v>
      </c>
      <c r="CJ62" s="81">
        <v>0</v>
      </c>
      <c r="CK62" s="81">
        <v>1</v>
      </c>
      <c r="CL62" s="81">
        <v>1</v>
      </c>
      <c r="CM62" s="81">
        <v>0</v>
      </c>
      <c r="CN62" s="81">
        <v>1</v>
      </c>
      <c r="CO62" s="81" t="s">
        <v>574</v>
      </c>
    </row>
    <row r="63" spans="1:93" ht="11.55" customHeight="1" x14ac:dyDescent="0.3">
      <c r="A63" s="81" t="s">
        <v>625</v>
      </c>
      <c r="B63" s="81" t="s">
        <v>626</v>
      </c>
      <c r="C63" s="81" t="s">
        <v>395</v>
      </c>
      <c r="D63" s="94">
        <v>24</v>
      </c>
      <c r="E63" s="81">
        <v>0</v>
      </c>
      <c r="F63" s="81">
        <v>1</v>
      </c>
      <c r="G63" s="81">
        <v>0</v>
      </c>
      <c r="H63" s="81">
        <v>0</v>
      </c>
      <c r="I63" s="81">
        <v>0</v>
      </c>
      <c r="J63" s="81">
        <v>0</v>
      </c>
      <c r="K63" s="81">
        <v>0</v>
      </c>
      <c r="L63" s="81">
        <v>1</v>
      </c>
      <c r="M63" s="81">
        <v>0</v>
      </c>
      <c r="N63" s="81">
        <v>0</v>
      </c>
      <c r="O63" s="81">
        <v>0</v>
      </c>
      <c r="P63" s="81">
        <v>0</v>
      </c>
      <c r="Q63" s="81">
        <v>0</v>
      </c>
      <c r="R63" s="81">
        <v>0</v>
      </c>
      <c r="S63" s="81">
        <v>0</v>
      </c>
      <c r="T63" s="81">
        <v>0</v>
      </c>
      <c r="U63" s="81">
        <v>0</v>
      </c>
      <c r="V63" s="81">
        <v>0</v>
      </c>
      <c r="W63" s="81">
        <v>0</v>
      </c>
      <c r="X63" s="81">
        <v>0</v>
      </c>
      <c r="Y63" s="81">
        <v>1</v>
      </c>
      <c r="Z63" s="81">
        <v>0</v>
      </c>
      <c r="AA63" s="81">
        <v>1</v>
      </c>
      <c r="AB63" s="81">
        <v>0</v>
      </c>
      <c r="AC63" s="81">
        <v>1</v>
      </c>
      <c r="AD63" s="81">
        <v>0</v>
      </c>
      <c r="AE63" s="81">
        <v>1</v>
      </c>
      <c r="AF63" s="81">
        <v>0</v>
      </c>
      <c r="AG63" s="81">
        <v>1</v>
      </c>
      <c r="AH63" s="81">
        <v>0</v>
      </c>
      <c r="AI63" s="81">
        <v>1</v>
      </c>
      <c r="AJ63" s="81">
        <v>0</v>
      </c>
      <c r="AK63" s="81">
        <v>0</v>
      </c>
      <c r="AL63" s="81">
        <v>0</v>
      </c>
      <c r="AM63" s="81">
        <v>1</v>
      </c>
      <c r="AN63" s="81">
        <v>1</v>
      </c>
      <c r="AO63" s="81">
        <v>0</v>
      </c>
      <c r="AP63" s="81">
        <v>0</v>
      </c>
      <c r="AQ63" s="81">
        <v>0</v>
      </c>
      <c r="AR63" s="81">
        <v>0</v>
      </c>
      <c r="AS63" s="81">
        <v>0</v>
      </c>
      <c r="AT63" s="81">
        <v>0</v>
      </c>
      <c r="AU63" s="81">
        <v>0</v>
      </c>
      <c r="AV63" s="81">
        <v>0</v>
      </c>
      <c r="AW63" s="81">
        <v>0</v>
      </c>
      <c r="AX63" s="81">
        <v>1</v>
      </c>
      <c r="AY63" s="81">
        <v>0</v>
      </c>
      <c r="AZ63" s="81">
        <v>0</v>
      </c>
      <c r="BA63" s="81">
        <v>0</v>
      </c>
      <c r="BB63" s="81">
        <v>3</v>
      </c>
      <c r="BC63" s="81">
        <v>2</v>
      </c>
      <c r="BD63" s="81">
        <v>2</v>
      </c>
      <c r="BE63" s="81">
        <v>2</v>
      </c>
      <c r="BF63" s="81">
        <v>3</v>
      </c>
      <c r="BG63" s="81">
        <v>2</v>
      </c>
      <c r="BH63" s="81">
        <v>2</v>
      </c>
      <c r="BI63" s="81">
        <v>1</v>
      </c>
      <c r="BJ63" s="81">
        <v>2</v>
      </c>
      <c r="BK63" s="81">
        <v>2</v>
      </c>
      <c r="BL63" s="81">
        <v>2</v>
      </c>
      <c r="BM63" s="81">
        <v>1</v>
      </c>
      <c r="BN63" s="81">
        <v>3</v>
      </c>
      <c r="BO63" s="81">
        <v>3</v>
      </c>
      <c r="BP63" s="81">
        <v>3</v>
      </c>
      <c r="BQ63" s="81">
        <v>2</v>
      </c>
      <c r="BR63" s="81">
        <v>2</v>
      </c>
      <c r="BS63" s="81">
        <v>2</v>
      </c>
      <c r="BT63" s="81">
        <v>3</v>
      </c>
      <c r="BU63" s="81">
        <v>0</v>
      </c>
      <c r="BV63" s="81">
        <v>1</v>
      </c>
      <c r="BW63" s="81">
        <v>0</v>
      </c>
      <c r="BX63" s="81">
        <v>0</v>
      </c>
      <c r="BY63" s="81">
        <v>0</v>
      </c>
      <c r="BZ63" s="81">
        <v>1</v>
      </c>
      <c r="CA63" s="81">
        <v>0</v>
      </c>
      <c r="CB63" s="81">
        <v>2</v>
      </c>
      <c r="CC63" s="81">
        <v>2</v>
      </c>
      <c r="CD63" s="81">
        <v>2</v>
      </c>
      <c r="CE63" s="81">
        <v>2</v>
      </c>
      <c r="CF63" s="81">
        <v>3</v>
      </c>
      <c r="CG63" s="81">
        <v>2</v>
      </c>
      <c r="CH63" s="81">
        <v>0</v>
      </c>
      <c r="CI63" s="81">
        <v>1</v>
      </c>
      <c r="CJ63" s="81">
        <v>0</v>
      </c>
      <c r="CK63" s="81">
        <v>1</v>
      </c>
      <c r="CL63" s="81">
        <v>1</v>
      </c>
      <c r="CM63" s="81">
        <v>0</v>
      </c>
      <c r="CN63" s="81">
        <v>1</v>
      </c>
      <c r="CO63" s="81" t="s">
        <v>574</v>
      </c>
    </row>
    <row r="64" spans="1:93" ht="11.55" customHeight="1" x14ac:dyDescent="0.3">
      <c r="A64" s="81" t="s">
        <v>627</v>
      </c>
      <c r="B64" s="81" t="s">
        <v>628</v>
      </c>
      <c r="C64" s="81" t="s">
        <v>395</v>
      </c>
      <c r="D64" s="94">
        <v>22</v>
      </c>
      <c r="E64" s="81">
        <v>0</v>
      </c>
      <c r="F64" s="81">
        <v>1</v>
      </c>
      <c r="G64" s="81">
        <v>0</v>
      </c>
      <c r="H64" s="81">
        <v>0</v>
      </c>
      <c r="I64" s="81">
        <v>0</v>
      </c>
      <c r="J64" s="81">
        <v>0</v>
      </c>
      <c r="K64" s="81">
        <v>0</v>
      </c>
      <c r="L64" s="81">
        <v>1</v>
      </c>
      <c r="M64" s="81">
        <v>0</v>
      </c>
      <c r="N64" s="81">
        <v>0</v>
      </c>
      <c r="O64" s="81">
        <v>0</v>
      </c>
      <c r="P64" s="81">
        <v>0</v>
      </c>
      <c r="Q64" s="81">
        <v>0</v>
      </c>
      <c r="R64" s="81">
        <v>0</v>
      </c>
      <c r="S64" s="81">
        <v>0</v>
      </c>
      <c r="T64" s="81">
        <v>0</v>
      </c>
      <c r="U64" s="81">
        <v>0</v>
      </c>
      <c r="V64" s="81">
        <v>0</v>
      </c>
      <c r="W64" s="81">
        <v>0</v>
      </c>
      <c r="X64" s="81">
        <v>0</v>
      </c>
      <c r="Y64" s="81">
        <v>1</v>
      </c>
      <c r="Z64" s="81">
        <v>0</v>
      </c>
      <c r="AA64" s="81">
        <v>1</v>
      </c>
      <c r="AB64" s="81">
        <v>0</v>
      </c>
      <c r="AC64" s="81">
        <v>1</v>
      </c>
      <c r="AD64" s="81">
        <v>0</v>
      </c>
      <c r="AE64" s="81">
        <v>1</v>
      </c>
      <c r="AF64" s="81">
        <v>0</v>
      </c>
      <c r="AG64" s="81">
        <v>1</v>
      </c>
      <c r="AH64" s="81">
        <v>0</v>
      </c>
      <c r="AI64" s="81">
        <v>1</v>
      </c>
      <c r="AJ64" s="81">
        <v>0</v>
      </c>
      <c r="AK64" s="81">
        <v>0</v>
      </c>
      <c r="AL64" s="81">
        <v>0</v>
      </c>
      <c r="AM64" s="81">
        <v>1</v>
      </c>
      <c r="AN64" s="81">
        <v>1</v>
      </c>
      <c r="AO64" s="81">
        <v>0</v>
      </c>
      <c r="AP64" s="81">
        <v>0</v>
      </c>
      <c r="AQ64" s="81">
        <v>0</v>
      </c>
      <c r="AR64" s="81">
        <v>0</v>
      </c>
      <c r="AS64" s="81">
        <v>0</v>
      </c>
      <c r="AT64" s="81">
        <v>0</v>
      </c>
      <c r="AU64" s="81">
        <v>0</v>
      </c>
      <c r="AV64" s="81">
        <v>0</v>
      </c>
      <c r="AW64" s="81">
        <v>0</v>
      </c>
      <c r="AX64" s="81">
        <v>1</v>
      </c>
      <c r="AY64" s="81">
        <v>0</v>
      </c>
      <c r="AZ64" s="81">
        <v>0</v>
      </c>
      <c r="BA64" s="81">
        <v>0</v>
      </c>
      <c r="BB64" s="81">
        <v>3</v>
      </c>
      <c r="BC64" s="81">
        <v>2</v>
      </c>
      <c r="BD64" s="81">
        <v>2</v>
      </c>
      <c r="BE64" s="81">
        <v>2</v>
      </c>
      <c r="BF64" s="81">
        <v>3</v>
      </c>
      <c r="BG64" s="81">
        <v>2</v>
      </c>
      <c r="BH64" s="81">
        <v>2</v>
      </c>
      <c r="BI64" s="81">
        <v>1</v>
      </c>
      <c r="BJ64" s="81">
        <v>2</v>
      </c>
      <c r="BK64" s="81">
        <v>2</v>
      </c>
      <c r="BL64" s="81">
        <v>2</v>
      </c>
      <c r="BM64" s="81">
        <v>1</v>
      </c>
      <c r="BN64" s="81">
        <v>3</v>
      </c>
      <c r="BO64" s="81">
        <v>3</v>
      </c>
      <c r="BP64" s="81">
        <v>3</v>
      </c>
      <c r="BQ64" s="81">
        <v>2</v>
      </c>
      <c r="BR64" s="81">
        <v>2</v>
      </c>
      <c r="BS64" s="81">
        <v>2</v>
      </c>
      <c r="BT64" s="81">
        <v>3</v>
      </c>
      <c r="BU64" s="81">
        <v>0</v>
      </c>
      <c r="BV64" s="81">
        <v>1</v>
      </c>
      <c r="BW64" s="81">
        <v>0</v>
      </c>
      <c r="BX64" s="81">
        <v>0</v>
      </c>
      <c r="BY64" s="81">
        <v>0</v>
      </c>
      <c r="BZ64" s="81">
        <v>1</v>
      </c>
      <c r="CA64" s="81">
        <v>0</v>
      </c>
      <c r="CB64" s="81">
        <v>2</v>
      </c>
      <c r="CC64" s="81">
        <v>2</v>
      </c>
      <c r="CD64" s="81">
        <v>2</v>
      </c>
      <c r="CE64" s="81">
        <v>2</v>
      </c>
      <c r="CF64" s="81">
        <v>3</v>
      </c>
      <c r="CG64" s="81">
        <v>2</v>
      </c>
      <c r="CH64" s="81">
        <v>0</v>
      </c>
      <c r="CI64" s="81">
        <v>1</v>
      </c>
      <c r="CJ64" s="81">
        <v>0</v>
      </c>
      <c r="CK64" s="81">
        <v>1</v>
      </c>
      <c r="CL64" s="81">
        <v>1</v>
      </c>
      <c r="CM64" s="81">
        <v>0</v>
      </c>
      <c r="CN64" s="81">
        <v>1</v>
      </c>
      <c r="CO64" s="81" t="s">
        <v>574</v>
      </c>
    </row>
    <row r="65" spans="1:93" ht="11.55" customHeight="1" x14ac:dyDescent="0.3">
      <c r="A65" s="81" t="s">
        <v>629</v>
      </c>
      <c r="B65" s="81" t="s">
        <v>630</v>
      </c>
      <c r="C65" s="81" t="s">
        <v>395</v>
      </c>
      <c r="D65" s="94">
        <v>21</v>
      </c>
      <c r="E65" s="81">
        <v>0</v>
      </c>
      <c r="F65" s="81">
        <v>1</v>
      </c>
      <c r="G65" s="81">
        <v>0</v>
      </c>
      <c r="H65" s="81">
        <v>0</v>
      </c>
      <c r="I65" s="81">
        <v>0</v>
      </c>
      <c r="J65" s="81">
        <v>0</v>
      </c>
      <c r="K65" s="81">
        <v>0</v>
      </c>
      <c r="L65" s="81">
        <v>1</v>
      </c>
      <c r="M65" s="81">
        <v>0</v>
      </c>
      <c r="N65" s="81">
        <v>0</v>
      </c>
      <c r="O65" s="81">
        <v>0</v>
      </c>
      <c r="P65" s="81">
        <v>0</v>
      </c>
      <c r="Q65" s="81">
        <v>0</v>
      </c>
      <c r="R65" s="81">
        <v>0</v>
      </c>
      <c r="S65" s="81">
        <v>0</v>
      </c>
      <c r="T65" s="81">
        <v>0</v>
      </c>
      <c r="U65" s="81">
        <v>0</v>
      </c>
      <c r="V65" s="81">
        <v>0</v>
      </c>
      <c r="W65" s="81">
        <v>0</v>
      </c>
      <c r="X65" s="81">
        <v>0</v>
      </c>
      <c r="Y65" s="81">
        <v>1</v>
      </c>
      <c r="Z65" s="81">
        <v>0</v>
      </c>
      <c r="AA65" s="81">
        <v>1</v>
      </c>
      <c r="AB65" s="81">
        <v>0</v>
      </c>
      <c r="AC65" s="81">
        <v>1</v>
      </c>
      <c r="AD65" s="81">
        <v>0</v>
      </c>
      <c r="AE65" s="81">
        <v>1</v>
      </c>
      <c r="AF65" s="81">
        <v>0</v>
      </c>
      <c r="AG65" s="81">
        <v>1</v>
      </c>
      <c r="AH65" s="81">
        <v>0</v>
      </c>
      <c r="AI65" s="81">
        <v>1</v>
      </c>
      <c r="AJ65" s="81">
        <v>0</v>
      </c>
      <c r="AK65" s="81">
        <v>0</v>
      </c>
      <c r="AL65" s="81">
        <v>0</v>
      </c>
      <c r="AM65" s="81">
        <v>1</v>
      </c>
      <c r="AN65" s="81">
        <v>1</v>
      </c>
      <c r="AO65" s="81">
        <v>0</v>
      </c>
      <c r="AP65" s="81">
        <v>0</v>
      </c>
      <c r="AQ65" s="81">
        <v>0</v>
      </c>
      <c r="AR65" s="81">
        <v>0</v>
      </c>
      <c r="AS65" s="81">
        <v>0</v>
      </c>
      <c r="AT65" s="81">
        <v>0</v>
      </c>
      <c r="AU65" s="81">
        <v>0</v>
      </c>
      <c r="AV65" s="81">
        <v>0</v>
      </c>
      <c r="AW65" s="81">
        <v>0</v>
      </c>
      <c r="AX65" s="81">
        <v>1</v>
      </c>
      <c r="AY65" s="81">
        <v>0</v>
      </c>
      <c r="AZ65" s="81">
        <v>0</v>
      </c>
      <c r="BA65" s="81">
        <v>0</v>
      </c>
      <c r="BB65" s="81">
        <v>3</v>
      </c>
      <c r="BC65" s="81">
        <v>2</v>
      </c>
      <c r="BD65" s="81">
        <v>2</v>
      </c>
      <c r="BE65" s="81">
        <v>2</v>
      </c>
      <c r="BF65" s="81">
        <v>3</v>
      </c>
      <c r="BG65" s="81">
        <v>2</v>
      </c>
      <c r="BH65" s="81">
        <v>2</v>
      </c>
      <c r="BI65" s="81">
        <v>1</v>
      </c>
      <c r="BJ65" s="81">
        <v>2</v>
      </c>
      <c r="BK65" s="81">
        <v>2</v>
      </c>
      <c r="BL65" s="81">
        <v>2</v>
      </c>
      <c r="BM65" s="81">
        <v>1</v>
      </c>
      <c r="BN65" s="81">
        <v>3</v>
      </c>
      <c r="BO65" s="81">
        <v>3</v>
      </c>
      <c r="BP65" s="81">
        <v>3</v>
      </c>
      <c r="BQ65" s="81">
        <v>2</v>
      </c>
      <c r="BR65" s="81">
        <v>2</v>
      </c>
      <c r="BS65" s="81">
        <v>2</v>
      </c>
      <c r="BT65" s="81">
        <v>3</v>
      </c>
      <c r="BU65" s="81">
        <v>0</v>
      </c>
      <c r="BV65" s="81">
        <v>1</v>
      </c>
      <c r="BW65" s="81">
        <v>0</v>
      </c>
      <c r="BX65" s="81">
        <v>0</v>
      </c>
      <c r="BY65" s="81">
        <v>0</v>
      </c>
      <c r="BZ65" s="81">
        <v>1</v>
      </c>
      <c r="CA65" s="81">
        <v>0</v>
      </c>
      <c r="CB65" s="81">
        <v>2</v>
      </c>
      <c r="CC65" s="81">
        <v>2</v>
      </c>
      <c r="CD65" s="81">
        <v>2</v>
      </c>
      <c r="CE65" s="81">
        <v>2</v>
      </c>
      <c r="CF65" s="81">
        <v>3</v>
      </c>
      <c r="CG65" s="81">
        <v>2</v>
      </c>
      <c r="CH65" s="81">
        <v>0</v>
      </c>
      <c r="CI65" s="81">
        <v>1</v>
      </c>
      <c r="CJ65" s="81">
        <v>0</v>
      </c>
      <c r="CK65" s="81">
        <v>1</v>
      </c>
      <c r="CL65" s="81">
        <v>1</v>
      </c>
      <c r="CM65" s="81">
        <v>0</v>
      </c>
      <c r="CN65" s="81">
        <v>1</v>
      </c>
      <c r="CO65" s="81" t="s">
        <v>574</v>
      </c>
    </row>
    <row r="66" spans="1:93" ht="11.55" customHeight="1" x14ac:dyDescent="0.3">
      <c r="A66" s="81" t="s">
        <v>631</v>
      </c>
      <c r="B66" s="81" t="s">
        <v>632</v>
      </c>
      <c r="C66" s="81" t="s">
        <v>393</v>
      </c>
      <c r="D66" s="94">
        <v>26</v>
      </c>
      <c r="E66" s="81">
        <v>0</v>
      </c>
      <c r="F66" s="81">
        <v>0</v>
      </c>
      <c r="G66" s="81">
        <v>0</v>
      </c>
      <c r="H66" s="81">
        <v>0</v>
      </c>
      <c r="I66" s="81">
        <v>0</v>
      </c>
      <c r="J66" s="81">
        <v>0</v>
      </c>
      <c r="K66" s="81">
        <v>0</v>
      </c>
      <c r="L66" s="81">
        <v>0</v>
      </c>
      <c r="M66" s="81">
        <v>0</v>
      </c>
      <c r="N66" s="81">
        <v>0</v>
      </c>
      <c r="O66" s="81">
        <v>0</v>
      </c>
      <c r="P66" s="81">
        <v>1</v>
      </c>
      <c r="Q66" s="81">
        <v>1</v>
      </c>
      <c r="R66" s="81">
        <v>1</v>
      </c>
      <c r="S66" s="81">
        <v>0</v>
      </c>
      <c r="T66" s="81">
        <v>0</v>
      </c>
      <c r="U66" s="81">
        <v>0</v>
      </c>
      <c r="V66" s="81">
        <v>0</v>
      </c>
      <c r="W66" s="81">
        <v>1</v>
      </c>
      <c r="X66" s="81">
        <v>0</v>
      </c>
      <c r="Y66" s="81">
        <v>0</v>
      </c>
      <c r="Z66" s="81">
        <v>0</v>
      </c>
      <c r="AA66" s="81">
        <v>0</v>
      </c>
      <c r="AB66" s="81">
        <v>0</v>
      </c>
      <c r="AC66" s="81">
        <v>0</v>
      </c>
      <c r="AD66" s="81">
        <v>0</v>
      </c>
      <c r="AE66" s="81">
        <v>0</v>
      </c>
      <c r="AF66" s="81">
        <v>0</v>
      </c>
      <c r="AG66" s="81">
        <v>0</v>
      </c>
      <c r="AH66" s="81">
        <v>1</v>
      </c>
      <c r="AI66" s="81">
        <v>0</v>
      </c>
      <c r="AJ66" s="81">
        <v>0</v>
      </c>
      <c r="AK66" s="81">
        <v>1</v>
      </c>
      <c r="AL66" s="81">
        <v>0</v>
      </c>
      <c r="AM66" s="81">
        <v>1</v>
      </c>
      <c r="AN66" s="81">
        <v>0</v>
      </c>
      <c r="AO66" s="81">
        <v>0</v>
      </c>
      <c r="AP66" s="81">
        <v>0</v>
      </c>
      <c r="AQ66" s="81">
        <v>1</v>
      </c>
      <c r="AR66" s="81">
        <v>0</v>
      </c>
      <c r="AS66" s="81">
        <v>1</v>
      </c>
      <c r="AT66" s="81">
        <v>0</v>
      </c>
      <c r="AU66" s="81">
        <v>0</v>
      </c>
      <c r="AV66" s="81">
        <v>1</v>
      </c>
      <c r="AW66" s="81">
        <v>0</v>
      </c>
      <c r="AX66" s="81">
        <v>0</v>
      </c>
      <c r="AY66" s="81">
        <v>1</v>
      </c>
      <c r="AZ66" s="81">
        <v>0</v>
      </c>
      <c r="BA66" s="81">
        <v>0</v>
      </c>
      <c r="BB66" s="81">
        <v>2</v>
      </c>
      <c r="BC66" s="81">
        <v>2</v>
      </c>
      <c r="BD66" s="81">
        <v>2</v>
      </c>
      <c r="BE66" s="81">
        <v>2</v>
      </c>
      <c r="BF66" s="81">
        <v>2</v>
      </c>
      <c r="BG66" s="81">
        <v>3</v>
      </c>
      <c r="BH66" s="81">
        <v>2</v>
      </c>
      <c r="BI66" s="81">
        <v>2</v>
      </c>
      <c r="BJ66" s="81">
        <v>2</v>
      </c>
      <c r="BK66" s="81">
        <v>3</v>
      </c>
      <c r="BL66" s="81">
        <v>3</v>
      </c>
      <c r="BM66" s="81">
        <v>2</v>
      </c>
      <c r="BN66" s="81">
        <v>3</v>
      </c>
      <c r="BO66" s="81">
        <v>3</v>
      </c>
      <c r="BP66" s="81">
        <v>2</v>
      </c>
      <c r="BQ66" s="81">
        <v>2</v>
      </c>
      <c r="BR66" s="81">
        <v>2</v>
      </c>
      <c r="BS66" s="81">
        <v>2</v>
      </c>
      <c r="BT66" s="81">
        <v>3</v>
      </c>
      <c r="BU66" s="81">
        <v>2</v>
      </c>
      <c r="BV66" s="81">
        <v>3</v>
      </c>
      <c r="BW66" s="81">
        <v>2</v>
      </c>
      <c r="BX66" s="81">
        <v>2</v>
      </c>
      <c r="BY66" s="81">
        <v>2</v>
      </c>
      <c r="BZ66" s="81">
        <v>2</v>
      </c>
      <c r="CA66" s="81">
        <v>0</v>
      </c>
      <c r="CB66" s="81">
        <v>2</v>
      </c>
      <c r="CC66" s="81">
        <v>3</v>
      </c>
      <c r="CD66" s="81">
        <v>2</v>
      </c>
      <c r="CE66" s="81">
        <v>2</v>
      </c>
      <c r="CF66" s="81">
        <v>3</v>
      </c>
      <c r="CG66" s="81">
        <v>2</v>
      </c>
      <c r="CH66" s="81">
        <v>0</v>
      </c>
      <c r="CI66" s="81">
        <v>2</v>
      </c>
      <c r="CJ66" s="81">
        <v>2</v>
      </c>
      <c r="CK66" s="81">
        <v>2</v>
      </c>
      <c r="CL66" s="81">
        <v>2</v>
      </c>
      <c r="CM66" s="81">
        <v>1</v>
      </c>
      <c r="CN66" s="81">
        <v>2</v>
      </c>
      <c r="CO66" s="81" t="s">
        <v>633</v>
      </c>
    </row>
    <row r="67" spans="1:93" ht="11.55" customHeight="1" x14ac:dyDescent="0.3">
      <c r="A67" s="81" t="s">
        <v>634</v>
      </c>
      <c r="B67" s="81" t="s">
        <v>635</v>
      </c>
      <c r="C67" s="81" t="s">
        <v>395</v>
      </c>
      <c r="D67" s="94">
        <v>26</v>
      </c>
      <c r="E67" s="81">
        <v>0</v>
      </c>
      <c r="F67" s="81">
        <v>0</v>
      </c>
      <c r="G67" s="81">
        <v>0</v>
      </c>
      <c r="H67" s="81">
        <v>0</v>
      </c>
      <c r="I67" s="81">
        <v>0</v>
      </c>
      <c r="J67" s="81">
        <v>0</v>
      </c>
      <c r="K67" s="81">
        <v>0</v>
      </c>
      <c r="L67" s="81">
        <v>0</v>
      </c>
      <c r="M67" s="81">
        <v>0</v>
      </c>
      <c r="N67" s="81">
        <v>0</v>
      </c>
      <c r="O67" s="81">
        <v>0</v>
      </c>
      <c r="P67" s="81">
        <v>1</v>
      </c>
      <c r="Q67" s="81">
        <v>1</v>
      </c>
      <c r="R67" s="81">
        <v>1</v>
      </c>
      <c r="S67" s="81">
        <v>0</v>
      </c>
      <c r="T67" s="81">
        <v>0</v>
      </c>
      <c r="U67" s="81">
        <v>0</v>
      </c>
      <c r="V67" s="81">
        <v>0</v>
      </c>
      <c r="W67" s="81">
        <v>1</v>
      </c>
      <c r="X67" s="81">
        <v>0</v>
      </c>
      <c r="Y67" s="81">
        <v>0</v>
      </c>
      <c r="Z67" s="81">
        <v>0</v>
      </c>
      <c r="AA67" s="81">
        <v>0</v>
      </c>
      <c r="AB67" s="81">
        <v>0</v>
      </c>
      <c r="AC67" s="81">
        <v>0</v>
      </c>
      <c r="AD67" s="81">
        <v>0</v>
      </c>
      <c r="AE67" s="81">
        <v>0</v>
      </c>
      <c r="AF67" s="81">
        <v>0</v>
      </c>
      <c r="AG67" s="81">
        <v>0</v>
      </c>
      <c r="AH67" s="81">
        <v>1</v>
      </c>
      <c r="AI67" s="81">
        <v>0</v>
      </c>
      <c r="AJ67" s="81">
        <v>0</v>
      </c>
      <c r="AK67" s="81">
        <v>1</v>
      </c>
      <c r="AL67" s="81">
        <v>0</v>
      </c>
      <c r="AM67" s="81">
        <v>1</v>
      </c>
      <c r="AN67" s="81">
        <v>0</v>
      </c>
      <c r="AO67" s="81">
        <v>0</v>
      </c>
      <c r="AP67" s="81">
        <v>0</v>
      </c>
      <c r="AQ67" s="81">
        <v>1</v>
      </c>
      <c r="AR67" s="81">
        <v>0</v>
      </c>
      <c r="AS67" s="81">
        <v>1</v>
      </c>
      <c r="AT67" s="81">
        <v>0</v>
      </c>
      <c r="AU67" s="81">
        <v>0</v>
      </c>
      <c r="AV67" s="81">
        <v>1</v>
      </c>
      <c r="AW67" s="81">
        <v>0</v>
      </c>
      <c r="AX67" s="81">
        <v>0</v>
      </c>
      <c r="AY67" s="81">
        <v>1</v>
      </c>
      <c r="AZ67" s="81">
        <v>0</v>
      </c>
      <c r="BA67" s="81">
        <v>0</v>
      </c>
      <c r="BB67" s="81">
        <v>2</v>
      </c>
      <c r="BC67" s="81">
        <v>2</v>
      </c>
      <c r="BD67" s="81">
        <v>2</v>
      </c>
      <c r="BE67" s="81">
        <v>2</v>
      </c>
      <c r="BF67" s="81">
        <v>2</v>
      </c>
      <c r="BG67" s="81">
        <v>3</v>
      </c>
      <c r="BH67" s="81">
        <v>2</v>
      </c>
      <c r="BI67" s="81">
        <v>2</v>
      </c>
      <c r="BJ67" s="81">
        <v>2</v>
      </c>
      <c r="BK67" s="81">
        <v>3</v>
      </c>
      <c r="BL67" s="81">
        <v>3</v>
      </c>
      <c r="BM67" s="81">
        <v>2</v>
      </c>
      <c r="BN67" s="81">
        <v>3</v>
      </c>
      <c r="BO67" s="81">
        <v>3</v>
      </c>
      <c r="BP67" s="81">
        <v>2</v>
      </c>
      <c r="BQ67" s="81">
        <v>2</v>
      </c>
      <c r="BR67" s="81">
        <v>2</v>
      </c>
      <c r="BS67" s="81">
        <v>2</v>
      </c>
      <c r="BT67" s="81">
        <v>3</v>
      </c>
      <c r="BU67" s="81">
        <v>2</v>
      </c>
      <c r="BV67" s="81">
        <v>3</v>
      </c>
      <c r="BW67" s="81">
        <v>2</v>
      </c>
      <c r="BX67" s="81">
        <v>2</v>
      </c>
      <c r="BY67" s="81">
        <v>2</v>
      </c>
      <c r="BZ67" s="81">
        <v>2</v>
      </c>
      <c r="CA67" s="81">
        <v>0</v>
      </c>
      <c r="CB67" s="81">
        <v>2</v>
      </c>
      <c r="CC67" s="81">
        <v>3</v>
      </c>
      <c r="CD67" s="81">
        <v>2</v>
      </c>
      <c r="CE67" s="81">
        <v>2</v>
      </c>
      <c r="CF67" s="81">
        <v>3</v>
      </c>
      <c r="CG67" s="81">
        <v>2</v>
      </c>
      <c r="CH67" s="81">
        <v>0</v>
      </c>
      <c r="CI67" s="81">
        <v>2</v>
      </c>
      <c r="CJ67" s="81">
        <v>2</v>
      </c>
      <c r="CK67" s="81">
        <v>2</v>
      </c>
      <c r="CL67" s="81">
        <v>2</v>
      </c>
      <c r="CM67" s="81">
        <v>1</v>
      </c>
      <c r="CN67" s="81">
        <v>2</v>
      </c>
      <c r="CO67" s="81" t="s">
        <v>636</v>
      </c>
    </row>
    <row r="68" spans="1:93" ht="11.55" customHeight="1" x14ac:dyDescent="0.3">
      <c r="A68" s="81" t="s">
        <v>637</v>
      </c>
      <c r="B68" s="81" t="s">
        <v>638</v>
      </c>
      <c r="C68" s="81" t="s">
        <v>393</v>
      </c>
      <c r="D68" s="94">
        <v>26</v>
      </c>
      <c r="E68" s="81">
        <v>0</v>
      </c>
      <c r="F68" s="81">
        <v>0</v>
      </c>
      <c r="G68" s="81">
        <v>0</v>
      </c>
      <c r="H68" s="81">
        <v>0</v>
      </c>
      <c r="I68" s="81">
        <v>0</v>
      </c>
      <c r="J68" s="81">
        <v>0</v>
      </c>
      <c r="K68" s="81">
        <v>0</v>
      </c>
      <c r="L68" s="81">
        <v>0</v>
      </c>
      <c r="M68" s="81">
        <v>0</v>
      </c>
      <c r="N68" s="81">
        <v>0</v>
      </c>
      <c r="O68" s="81">
        <v>0</v>
      </c>
      <c r="P68" s="81">
        <v>1</v>
      </c>
      <c r="Q68" s="81">
        <v>1</v>
      </c>
      <c r="R68" s="81">
        <v>1</v>
      </c>
      <c r="S68" s="81">
        <v>0</v>
      </c>
      <c r="T68" s="81">
        <v>0</v>
      </c>
      <c r="U68" s="81">
        <v>0</v>
      </c>
      <c r="V68" s="81">
        <v>0</v>
      </c>
      <c r="W68" s="81">
        <v>1</v>
      </c>
      <c r="X68" s="81">
        <v>0</v>
      </c>
      <c r="Y68" s="81">
        <v>0</v>
      </c>
      <c r="Z68" s="81">
        <v>0</v>
      </c>
      <c r="AA68" s="81">
        <v>0</v>
      </c>
      <c r="AB68" s="81">
        <v>0</v>
      </c>
      <c r="AC68" s="81">
        <v>0</v>
      </c>
      <c r="AD68" s="81">
        <v>0</v>
      </c>
      <c r="AE68" s="81">
        <v>0</v>
      </c>
      <c r="AF68" s="81">
        <v>0</v>
      </c>
      <c r="AG68" s="81">
        <v>0</v>
      </c>
      <c r="AH68" s="81">
        <v>1</v>
      </c>
      <c r="AI68" s="81">
        <v>0</v>
      </c>
      <c r="AJ68" s="81">
        <v>0</v>
      </c>
      <c r="AK68" s="81">
        <v>1</v>
      </c>
      <c r="AL68" s="81">
        <v>0</v>
      </c>
      <c r="AM68" s="81">
        <v>1</v>
      </c>
      <c r="AN68" s="81">
        <v>0</v>
      </c>
      <c r="AO68" s="81">
        <v>0</v>
      </c>
      <c r="AP68" s="81">
        <v>0</v>
      </c>
      <c r="AQ68" s="81">
        <v>1</v>
      </c>
      <c r="AR68" s="81">
        <v>0</v>
      </c>
      <c r="AS68" s="81">
        <v>1</v>
      </c>
      <c r="AT68" s="81">
        <v>0</v>
      </c>
      <c r="AU68" s="81">
        <v>0</v>
      </c>
      <c r="AV68" s="81">
        <v>1</v>
      </c>
      <c r="AW68" s="81">
        <v>0</v>
      </c>
      <c r="AX68" s="81">
        <v>0</v>
      </c>
      <c r="AY68" s="81">
        <v>1</v>
      </c>
      <c r="AZ68" s="81">
        <v>0</v>
      </c>
      <c r="BA68" s="81">
        <v>0</v>
      </c>
      <c r="BB68" s="81">
        <v>2</v>
      </c>
      <c r="BC68" s="81">
        <v>2</v>
      </c>
      <c r="BD68" s="81">
        <v>2</v>
      </c>
      <c r="BE68" s="81">
        <v>2</v>
      </c>
      <c r="BF68" s="81">
        <v>2</v>
      </c>
      <c r="BG68" s="81">
        <v>3</v>
      </c>
      <c r="BH68" s="81">
        <v>2</v>
      </c>
      <c r="BI68" s="81">
        <v>2</v>
      </c>
      <c r="BJ68" s="81">
        <v>2</v>
      </c>
      <c r="BK68" s="81">
        <v>3</v>
      </c>
      <c r="BL68" s="81">
        <v>3</v>
      </c>
      <c r="BM68" s="81">
        <v>2</v>
      </c>
      <c r="BN68" s="81">
        <v>3</v>
      </c>
      <c r="BO68" s="81">
        <v>3</v>
      </c>
      <c r="BP68" s="81">
        <v>2</v>
      </c>
      <c r="BQ68" s="81">
        <v>2</v>
      </c>
      <c r="BR68" s="81">
        <v>2</v>
      </c>
      <c r="BS68" s="81">
        <v>2</v>
      </c>
      <c r="BT68" s="81">
        <v>3</v>
      </c>
      <c r="BU68" s="81">
        <v>2</v>
      </c>
      <c r="BV68" s="81">
        <v>3</v>
      </c>
      <c r="BW68" s="81">
        <v>2</v>
      </c>
      <c r="BX68" s="81">
        <v>2</v>
      </c>
      <c r="BY68" s="81">
        <v>2</v>
      </c>
      <c r="BZ68" s="81">
        <v>2</v>
      </c>
      <c r="CA68" s="81">
        <v>0</v>
      </c>
      <c r="CB68" s="81">
        <v>2</v>
      </c>
      <c r="CC68" s="81">
        <v>3</v>
      </c>
      <c r="CD68" s="81">
        <v>2</v>
      </c>
      <c r="CE68" s="81">
        <v>2</v>
      </c>
      <c r="CF68" s="81">
        <v>3</v>
      </c>
      <c r="CG68" s="81">
        <v>2</v>
      </c>
      <c r="CH68" s="81">
        <v>0</v>
      </c>
      <c r="CI68" s="81">
        <v>2</v>
      </c>
      <c r="CJ68" s="81">
        <v>2</v>
      </c>
      <c r="CK68" s="81">
        <v>2</v>
      </c>
      <c r="CL68" s="81">
        <v>2</v>
      </c>
      <c r="CM68" s="81">
        <v>1</v>
      </c>
      <c r="CN68" s="81">
        <v>2</v>
      </c>
      <c r="CO68" s="81" t="s">
        <v>633</v>
      </c>
    </row>
    <row r="69" spans="1:93" ht="11.55" customHeight="1" x14ac:dyDescent="0.3">
      <c r="A69" s="81" t="s">
        <v>639</v>
      </c>
      <c r="B69" s="81" t="s">
        <v>640</v>
      </c>
      <c r="C69" s="81" t="s">
        <v>395</v>
      </c>
      <c r="D69" s="94">
        <v>26</v>
      </c>
      <c r="E69" s="81">
        <v>0</v>
      </c>
      <c r="F69" s="81">
        <v>0</v>
      </c>
      <c r="G69" s="81">
        <v>0</v>
      </c>
      <c r="H69" s="81">
        <v>0</v>
      </c>
      <c r="I69" s="81">
        <v>0</v>
      </c>
      <c r="J69" s="81">
        <v>0</v>
      </c>
      <c r="K69" s="81">
        <v>0</v>
      </c>
      <c r="L69" s="81">
        <v>0</v>
      </c>
      <c r="M69" s="81">
        <v>0</v>
      </c>
      <c r="N69" s="81">
        <v>0</v>
      </c>
      <c r="O69" s="81">
        <v>0</v>
      </c>
      <c r="P69" s="81">
        <v>1</v>
      </c>
      <c r="Q69" s="81">
        <v>1</v>
      </c>
      <c r="R69" s="81">
        <v>1</v>
      </c>
      <c r="S69" s="81">
        <v>0</v>
      </c>
      <c r="T69" s="81">
        <v>0</v>
      </c>
      <c r="U69" s="81">
        <v>0</v>
      </c>
      <c r="V69" s="81">
        <v>0</v>
      </c>
      <c r="W69" s="81">
        <v>1</v>
      </c>
      <c r="X69" s="81">
        <v>0</v>
      </c>
      <c r="Y69" s="81">
        <v>0</v>
      </c>
      <c r="Z69" s="81">
        <v>0</v>
      </c>
      <c r="AA69" s="81">
        <v>0</v>
      </c>
      <c r="AB69" s="81">
        <v>0</v>
      </c>
      <c r="AC69" s="81">
        <v>0</v>
      </c>
      <c r="AD69" s="81">
        <v>0</v>
      </c>
      <c r="AE69" s="81">
        <v>0</v>
      </c>
      <c r="AF69" s="81">
        <v>0</v>
      </c>
      <c r="AG69" s="81">
        <v>0</v>
      </c>
      <c r="AH69" s="81">
        <v>1</v>
      </c>
      <c r="AI69" s="81">
        <v>0</v>
      </c>
      <c r="AJ69" s="81">
        <v>0</v>
      </c>
      <c r="AK69" s="81">
        <v>1</v>
      </c>
      <c r="AL69" s="81">
        <v>0</v>
      </c>
      <c r="AM69" s="81">
        <v>1</v>
      </c>
      <c r="AN69" s="81">
        <v>0</v>
      </c>
      <c r="AO69" s="81">
        <v>0</v>
      </c>
      <c r="AP69" s="81">
        <v>0</v>
      </c>
      <c r="AQ69" s="81">
        <v>1</v>
      </c>
      <c r="AR69" s="81">
        <v>0</v>
      </c>
      <c r="AS69" s="81">
        <v>1</v>
      </c>
      <c r="AT69" s="81">
        <v>0</v>
      </c>
      <c r="AU69" s="81">
        <v>0</v>
      </c>
      <c r="AV69" s="81">
        <v>1</v>
      </c>
      <c r="AW69" s="81">
        <v>0</v>
      </c>
      <c r="AX69" s="81">
        <v>0</v>
      </c>
      <c r="AY69" s="81">
        <v>1</v>
      </c>
      <c r="AZ69" s="81">
        <v>0</v>
      </c>
      <c r="BA69" s="81">
        <v>0</v>
      </c>
      <c r="BB69" s="81">
        <v>2</v>
      </c>
      <c r="BC69" s="81">
        <v>2</v>
      </c>
      <c r="BD69" s="81">
        <v>2</v>
      </c>
      <c r="BE69" s="81">
        <v>2</v>
      </c>
      <c r="BF69" s="81">
        <v>2</v>
      </c>
      <c r="BG69" s="81">
        <v>3</v>
      </c>
      <c r="BH69" s="81">
        <v>2</v>
      </c>
      <c r="BI69" s="81">
        <v>2</v>
      </c>
      <c r="BJ69" s="81">
        <v>2</v>
      </c>
      <c r="BK69" s="81">
        <v>3</v>
      </c>
      <c r="BL69" s="81">
        <v>3</v>
      </c>
      <c r="BM69" s="81">
        <v>2</v>
      </c>
      <c r="BN69" s="81">
        <v>3</v>
      </c>
      <c r="BO69" s="81">
        <v>3</v>
      </c>
      <c r="BP69" s="81">
        <v>2</v>
      </c>
      <c r="BQ69" s="81">
        <v>2</v>
      </c>
      <c r="BR69" s="81">
        <v>2</v>
      </c>
      <c r="BS69" s="81">
        <v>2</v>
      </c>
      <c r="BT69" s="81">
        <v>3</v>
      </c>
      <c r="BU69" s="81">
        <v>2</v>
      </c>
      <c r="BV69" s="81">
        <v>3</v>
      </c>
      <c r="BW69" s="81">
        <v>2</v>
      </c>
      <c r="BX69" s="81">
        <v>2</v>
      </c>
      <c r="BY69" s="81">
        <v>2</v>
      </c>
      <c r="BZ69" s="81">
        <v>2</v>
      </c>
      <c r="CA69" s="81">
        <v>0</v>
      </c>
      <c r="CB69" s="81">
        <v>2</v>
      </c>
      <c r="CC69" s="81">
        <v>3</v>
      </c>
      <c r="CD69" s="81">
        <v>2</v>
      </c>
      <c r="CE69" s="81">
        <v>2</v>
      </c>
      <c r="CF69" s="81">
        <v>3</v>
      </c>
      <c r="CG69" s="81">
        <v>2</v>
      </c>
      <c r="CH69" s="81">
        <v>0</v>
      </c>
      <c r="CI69" s="81">
        <v>2</v>
      </c>
      <c r="CJ69" s="81">
        <v>2</v>
      </c>
      <c r="CK69" s="81">
        <v>2</v>
      </c>
      <c r="CL69" s="81">
        <v>2</v>
      </c>
      <c r="CM69" s="81">
        <v>1</v>
      </c>
      <c r="CN69" s="81">
        <v>2</v>
      </c>
      <c r="CO69" s="81" t="s">
        <v>636</v>
      </c>
    </row>
    <row r="70" spans="1:93" ht="11.55" customHeight="1" x14ac:dyDescent="0.3">
      <c r="A70" s="81" t="s">
        <v>641</v>
      </c>
      <c r="B70" s="81" t="s">
        <v>642</v>
      </c>
      <c r="C70" s="81" t="s">
        <v>397</v>
      </c>
      <c r="D70" s="94">
        <v>21</v>
      </c>
      <c r="E70" s="81">
        <v>0</v>
      </c>
      <c r="F70" s="81">
        <v>0</v>
      </c>
      <c r="G70" s="81">
        <v>0</v>
      </c>
      <c r="H70" s="81">
        <v>0</v>
      </c>
      <c r="I70" s="81">
        <v>1</v>
      </c>
      <c r="J70" s="81">
        <v>0</v>
      </c>
      <c r="K70" s="81">
        <v>0</v>
      </c>
      <c r="L70" s="81">
        <v>0</v>
      </c>
      <c r="M70" s="81">
        <v>1</v>
      </c>
      <c r="N70" s="81">
        <v>0</v>
      </c>
      <c r="O70" s="81">
        <v>1</v>
      </c>
      <c r="P70" s="81">
        <v>0</v>
      </c>
      <c r="Q70" s="81">
        <v>0</v>
      </c>
      <c r="R70" s="81">
        <v>0</v>
      </c>
      <c r="S70" s="81">
        <v>0</v>
      </c>
      <c r="T70" s="81">
        <v>0</v>
      </c>
      <c r="U70" s="81">
        <v>0</v>
      </c>
      <c r="V70" s="81">
        <v>0</v>
      </c>
      <c r="W70" s="81">
        <v>0</v>
      </c>
      <c r="X70" s="81">
        <v>0</v>
      </c>
      <c r="Y70" s="81">
        <v>0</v>
      </c>
      <c r="Z70" s="81">
        <v>1</v>
      </c>
      <c r="AA70" s="81">
        <v>0</v>
      </c>
      <c r="AB70" s="81">
        <v>0</v>
      </c>
      <c r="AC70" s="81">
        <v>0</v>
      </c>
      <c r="AD70" s="81">
        <v>0</v>
      </c>
      <c r="AE70" s="81">
        <v>1</v>
      </c>
      <c r="AF70" s="81">
        <v>0</v>
      </c>
      <c r="AG70" s="81">
        <v>0</v>
      </c>
      <c r="AH70" s="81">
        <v>1</v>
      </c>
      <c r="AI70" s="81">
        <v>0</v>
      </c>
      <c r="AJ70" s="81">
        <v>0</v>
      </c>
      <c r="AK70" s="81">
        <v>0</v>
      </c>
      <c r="AL70" s="81">
        <v>1</v>
      </c>
      <c r="AM70" s="81">
        <v>1</v>
      </c>
      <c r="AN70" s="81">
        <v>0</v>
      </c>
      <c r="AO70" s="81">
        <v>0</v>
      </c>
      <c r="AP70" s="81">
        <v>0</v>
      </c>
      <c r="AQ70" s="81">
        <v>0</v>
      </c>
      <c r="AR70" s="81">
        <v>1</v>
      </c>
      <c r="AS70" s="81">
        <v>0</v>
      </c>
      <c r="AT70" s="81">
        <v>1</v>
      </c>
      <c r="AU70" s="81">
        <v>0</v>
      </c>
      <c r="AV70" s="81">
        <v>0</v>
      </c>
      <c r="AW70" s="81">
        <v>1</v>
      </c>
      <c r="AX70" s="81">
        <v>0</v>
      </c>
      <c r="AY70" s="81">
        <v>1</v>
      </c>
      <c r="AZ70" s="81">
        <v>0</v>
      </c>
      <c r="BA70" s="81">
        <v>0</v>
      </c>
      <c r="BB70" s="81">
        <v>2</v>
      </c>
      <c r="BC70" s="81">
        <v>1</v>
      </c>
      <c r="BD70" s="81">
        <v>1</v>
      </c>
      <c r="BE70" s="81">
        <v>2</v>
      </c>
      <c r="BF70" s="81">
        <v>2</v>
      </c>
      <c r="BG70" s="81">
        <v>2</v>
      </c>
      <c r="BH70" s="81">
        <v>1</v>
      </c>
      <c r="BI70" s="81">
        <v>1</v>
      </c>
      <c r="BJ70" s="81">
        <v>2</v>
      </c>
      <c r="BK70" s="81">
        <v>2</v>
      </c>
      <c r="BL70" s="81">
        <v>2</v>
      </c>
      <c r="BM70" s="81">
        <v>2</v>
      </c>
      <c r="BN70" s="81">
        <v>2</v>
      </c>
      <c r="BO70" s="81">
        <v>2</v>
      </c>
      <c r="BP70" s="81">
        <v>2</v>
      </c>
      <c r="BQ70" s="81">
        <v>2</v>
      </c>
      <c r="BR70" s="81">
        <v>2</v>
      </c>
      <c r="BS70" s="81">
        <v>2</v>
      </c>
      <c r="BT70" s="81">
        <v>2</v>
      </c>
      <c r="BU70" s="81">
        <v>2</v>
      </c>
      <c r="BV70" s="81">
        <v>2</v>
      </c>
      <c r="BW70" s="81">
        <v>2</v>
      </c>
      <c r="BX70" s="81">
        <v>2</v>
      </c>
      <c r="BY70" s="81">
        <v>2</v>
      </c>
      <c r="BZ70" s="81">
        <v>2</v>
      </c>
      <c r="CA70" s="81">
        <v>2</v>
      </c>
      <c r="CB70" s="81">
        <v>2</v>
      </c>
      <c r="CC70" s="81">
        <v>2</v>
      </c>
      <c r="CD70" s="81">
        <v>2</v>
      </c>
      <c r="CE70" s="81">
        <v>2</v>
      </c>
      <c r="CF70" s="81">
        <v>2</v>
      </c>
      <c r="CG70" s="81">
        <v>2</v>
      </c>
      <c r="CH70" s="81">
        <v>0</v>
      </c>
      <c r="CI70" s="81">
        <v>1</v>
      </c>
      <c r="CJ70" s="81">
        <v>1</v>
      </c>
      <c r="CK70" s="81">
        <v>2</v>
      </c>
      <c r="CL70" s="81">
        <v>1</v>
      </c>
      <c r="CM70" s="81">
        <v>1</v>
      </c>
      <c r="CN70" s="81">
        <v>1</v>
      </c>
      <c r="CO70" s="81" t="s">
        <v>643</v>
      </c>
    </row>
    <row r="71" spans="1:93" ht="11.55" customHeight="1" x14ac:dyDescent="0.3">
      <c r="A71" s="81" t="s">
        <v>644</v>
      </c>
      <c r="B71" s="81" t="s">
        <v>645</v>
      </c>
      <c r="C71" s="81" t="s">
        <v>397</v>
      </c>
      <c r="D71" s="94">
        <v>21</v>
      </c>
      <c r="E71" s="81">
        <v>0</v>
      </c>
      <c r="F71" s="81">
        <v>0</v>
      </c>
      <c r="G71" s="81">
        <v>0</v>
      </c>
      <c r="H71" s="81">
        <v>0</v>
      </c>
      <c r="I71" s="81">
        <v>1</v>
      </c>
      <c r="J71" s="81">
        <v>0</v>
      </c>
      <c r="K71" s="81">
        <v>0</v>
      </c>
      <c r="L71" s="81">
        <v>0</v>
      </c>
      <c r="M71" s="81">
        <v>1</v>
      </c>
      <c r="N71" s="81">
        <v>0</v>
      </c>
      <c r="O71" s="81">
        <v>1</v>
      </c>
      <c r="P71" s="81">
        <v>0</v>
      </c>
      <c r="Q71" s="81">
        <v>0</v>
      </c>
      <c r="R71" s="81">
        <v>0</v>
      </c>
      <c r="S71" s="81">
        <v>0</v>
      </c>
      <c r="T71" s="81">
        <v>0</v>
      </c>
      <c r="U71" s="81">
        <v>0</v>
      </c>
      <c r="V71" s="81">
        <v>0</v>
      </c>
      <c r="W71" s="81">
        <v>0</v>
      </c>
      <c r="X71" s="81">
        <v>0</v>
      </c>
      <c r="Y71" s="81">
        <v>0</v>
      </c>
      <c r="Z71" s="81">
        <v>1</v>
      </c>
      <c r="AA71" s="81">
        <v>0</v>
      </c>
      <c r="AB71" s="81">
        <v>0</v>
      </c>
      <c r="AC71" s="81">
        <v>0</v>
      </c>
      <c r="AD71" s="81">
        <v>0</v>
      </c>
      <c r="AE71" s="81">
        <v>1</v>
      </c>
      <c r="AF71" s="81">
        <v>0</v>
      </c>
      <c r="AG71" s="81">
        <v>0</v>
      </c>
      <c r="AH71" s="81">
        <v>1</v>
      </c>
      <c r="AI71" s="81">
        <v>0</v>
      </c>
      <c r="AJ71" s="81">
        <v>0</v>
      </c>
      <c r="AK71" s="81">
        <v>0</v>
      </c>
      <c r="AL71" s="81">
        <v>1</v>
      </c>
      <c r="AM71" s="81">
        <v>1</v>
      </c>
      <c r="AN71" s="81">
        <v>0</v>
      </c>
      <c r="AO71" s="81">
        <v>0</v>
      </c>
      <c r="AP71" s="81">
        <v>0</v>
      </c>
      <c r="AQ71" s="81">
        <v>0</v>
      </c>
      <c r="AR71" s="81">
        <v>1</v>
      </c>
      <c r="AS71" s="81">
        <v>0</v>
      </c>
      <c r="AT71" s="81">
        <v>1</v>
      </c>
      <c r="AU71" s="81">
        <v>0</v>
      </c>
      <c r="AV71" s="81">
        <v>0</v>
      </c>
      <c r="AW71" s="81">
        <v>1</v>
      </c>
      <c r="AX71" s="81">
        <v>0</v>
      </c>
      <c r="AY71" s="81">
        <v>1</v>
      </c>
      <c r="AZ71" s="81">
        <v>0</v>
      </c>
      <c r="BA71" s="81">
        <v>0</v>
      </c>
      <c r="BB71" s="81">
        <v>2</v>
      </c>
      <c r="BC71" s="81">
        <v>1</v>
      </c>
      <c r="BD71" s="81">
        <v>1</v>
      </c>
      <c r="BE71" s="81">
        <v>2</v>
      </c>
      <c r="BF71" s="81">
        <v>2</v>
      </c>
      <c r="BG71" s="81">
        <v>2</v>
      </c>
      <c r="BH71" s="81">
        <v>1</v>
      </c>
      <c r="BI71" s="81">
        <v>1</v>
      </c>
      <c r="BJ71" s="81">
        <v>2</v>
      </c>
      <c r="BK71" s="81">
        <v>2</v>
      </c>
      <c r="BL71" s="81">
        <v>2</v>
      </c>
      <c r="BM71" s="81">
        <v>2</v>
      </c>
      <c r="BN71" s="81">
        <v>2</v>
      </c>
      <c r="BO71" s="81">
        <v>2</v>
      </c>
      <c r="BP71" s="81">
        <v>2</v>
      </c>
      <c r="BQ71" s="81">
        <v>2</v>
      </c>
      <c r="BR71" s="81">
        <v>2</v>
      </c>
      <c r="BS71" s="81">
        <v>2</v>
      </c>
      <c r="BT71" s="81">
        <v>2</v>
      </c>
      <c r="BU71" s="81">
        <v>2</v>
      </c>
      <c r="BV71" s="81">
        <v>2</v>
      </c>
      <c r="BW71" s="81">
        <v>2</v>
      </c>
      <c r="BX71" s="81">
        <v>2</v>
      </c>
      <c r="BY71" s="81">
        <v>2</v>
      </c>
      <c r="BZ71" s="81">
        <v>2</v>
      </c>
      <c r="CA71" s="81">
        <v>2</v>
      </c>
      <c r="CB71" s="81">
        <v>2</v>
      </c>
      <c r="CC71" s="81">
        <v>2</v>
      </c>
      <c r="CD71" s="81">
        <v>2</v>
      </c>
      <c r="CE71" s="81">
        <v>2</v>
      </c>
      <c r="CF71" s="81">
        <v>2</v>
      </c>
      <c r="CG71" s="81">
        <v>2</v>
      </c>
      <c r="CH71" s="81">
        <v>0</v>
      </c>
      <c r="CI71" s="81">
        <v>1</v>
      </c>
      <c r="CJ71" s="81">
        <v>1</v>
      </c>
      <c r="CK71" s="81">
        <v>2</v>
      </c>
      <c r="CL71" s="81">
        <v>1</v>
      </c>
      <c r="CM71" s="81">
        <v>1</v>
      </c>
      <c r="CN71" s="81">
        <v>1</v>
      </c>
      <c r="CO71" s="81" t="s">
        <v>646</v>
      </c>
    </row>
    <row r="72" spans="1:93" ht="11.55" customHeight="1" x14ac:dyDescent="0.3">
      <c r="A72" s="81" t="s">
        <v>647</v>
      </c>
      <c r="B72" s="81" t="s">
        <v>648</v>
      </c>
      <c r="C72" s="81" t="s">
        <v>397</v>
      </c>
      <c r="D72" s="94">
        <v>21</v>
      </c>
      <c r="E72" s="81">
        <v>0</v>
      </c>
      <c r="F72" s="81">
        <v>0</v>
      </c>
      <c r="G72" s="81">
        <v>0</v>
      </c>
      <c r="H72" s="81">
        <v>0</v>
      </c>
      <c r="I72" s="81">
        <v>1</v>
      </c>
      <c r="J72" s="81">
        <v>0</v>
      </c>
      <c r="K72" s="81">
        <v>0</v>
      </c>
      <c r="L72" s="81">
        <v>0</v>
      </c>
      <c r="M72" s="81">
        <v>1</v>
      </c>
      <c r="N72" s="81">
        <v>0</v>
      </c>
      <c r="O72" s="81">
        <v>1</v>
      </c>
      <c r="P72" s="81">
        <v>0</v>
      </c>
      <c r="Q72" s="81">
        <v>0</v>
      </c>
      <c r="R72" s="81">
        <v>0</v>
      </c>
      <c r="S72" s="81">
        <v>0</v>
      </c>
      <c r="T72" s="81">
        <v>0</v>
      </c>
      <c r="U72" s="81">
        <v>0</v>
      </c>
      <c r="V72" s="81">
        <v>0</v>
      </c>
      <c r="W72" s="81">
        <v>0</v>
      </c>
      <c r="X72" s="81">
        <v>0</v>
      </c>
      <c r="Y72" s="81">
        <v>0</v>
      </c>
      <c r="Z72" s="81">
        <v>1</v>
      </c>
      <c r="AA72" s="81">
        <v>0</v>
      </c>
      <c r="AB72" s="81">
        <v>0</v>
      </c>
      <c r="AC72" s="81">
        <v>0</v>
      </c>
      <c r="AD72" s="81">
        <v>0</v>
      </c>
      <c r="AE72" s="81">
        <v>1</v>
      </c>
      <c r="AF72" s="81">
        <v>0</v>
      </c>
      <c r="AG72" s="81">
        <v>0</v>
      </c>
      <c r="AH72" s="81">
        <v>1</v>
      </c>
      <c r="AI72" s="81">
        <v>0</v>
      </c>
      <c r="AJ72" s="81">
        <v>0</v>
      </c>
      <c r="AK72" s="81">
        <v>0</v>
      </c>
      <c r="AL72" s="81">
        <v>1</v>
      </c>
      <c r="AM72" s="81">
        <v>1</v>
      </c>
      <c r="AN72" s="81">
        <v>0</v>
      </c>
      <c r="AO72" s="81">
        <v>0</v>
      </c>
      <c r="AP72" s="81">
        <v>0</v>
      </c>
      <c r="AQ72" s="81">
        <v>0</v>
      </c>
      <c r="AR72" s="81">
        <v>1</v>
      </c>
      <c r="AS72" s="81">
        <v>0</v>
      </c>
      <c r="AT72" s="81">
        <v>1</v>
      </c>
      <c r="AU72" s="81">
        <v>0</v>
      </c>
      <c r="AV72" s="81">
        <v>0</v>
      </c>
      <c r="AW72" s="81">
        <v>1</v>
      </c>
      <c r="AX72" s="81">
        <v>0</v>
      </c>
      <c r="AY72" s="81">
        <v>1</v>
      </c>
      <c r="AZ72" s="81">
        <v>0</v>
      </c>
      <c r="BA72" s="81">
        <v>0</v>
      </c>
      <c r="BB72" s="81">
        <v>2</v>
      </c>
      <c r="BC72" s="81">
        <v>1</v>
      </c>
      <c r="BD72" s="81">
        <v>1</v>
      </c>
      <c r="BE72" s="81">
        <v>2</v>
      </c>
      <c r="BF72" s="81">
        <v>2</v>
      </c>
      <c r="BG72" s="81">
        <v>2</v>
      </c>
      <c r="BH72" s="81">
        <v>1</v>
      </c>
      <c r="BI72" s="81">
        <v>1</v>
      </c>
      <c r="BJ72" s="81">
        <v>2</v>
      </c>
      <c r="BK72" s="81">
        <v>2</v>
      </c>
      <c r="BL72" s="81">
        <v>2</v>
      </c>
      <c r="BM72" s="81">
        <v>2</v>
      </c>
      <c r="BN72" s="81">
        <v>2</v>
      </c>
      <c r="BO72" s="81">
        <v>2</v>
      </c>
      <c r="BP72" s="81">
        <v>2</v>
      </c>
      <c r="BQ72" s="81">
        <v>2</v>
      </c>
      <c r="BR72" s="81">
        <v>2</v>
      </c>
      <c r="BS72" s="81">
        <v>2</v>
      </c>
      <c r="BT72" s="81">
        <v>2</v>
      </c>
      <c r="BU72" s="81">
        <v>2</v>
      </c>
      <c r="BV72" s="81">
        <v>2</v>
      </c>
      <c r="BW72" s="81">
        <v>2</v>
      </c>
      <c r="BX72" s="81">
        <v>2</v>
      </c>
      <c r="BY72" s="81">
        <v>2</v>
      </c>
      <c r="BZ72" s="81">
        <v>2</v>
      </c>
      <c r="CA72" s="81">
        <v>2</v>
      </c>
      <c r="CB72" s="81">
        <v>2</v>
      </c>
      <c r="CC72" s="81">
        <v>2</v>
      </c>
      <c r="CD72" s="81">
        <v>2</v>
      </c>
      <c r="CE72" s="81">
        <v>2</v>
      </c>
      <c r="CF72" s="81">
        <v>2</v>
      </c>
      <c r="CG72" s="81">
        <v>2</v>
      </c>
      <c r="CH72" s="81">
        <v>0</v>
      </c>
      <c r="CI72" s="81">
        <v>1</v>
      </c>
      <c r="CJ72" s="81">
        <v>1</v>
      </c>
      <c r="CK72" s="81">
        <v>2</v>
      </c>
      <c r="CL72" s="81">
        <v>1</v>
      </c>
      <c r="CM72" s="81">
        <v>1</v>
      </c>
      <c r="CN72" s="81">
        <v>1</v>
      </c>
      <c r="CO72" s="81" t="s">
        <v>646</v>
      </c>
    </row>
    <row r="73" spans="1:93" ht="11.55" customHeight="1" x14ac:dyDescent="0.3">
      <c r="A73" s="81" t="s">
        <v>649</v>
      </c>
      <c r="B73" s="81" t="s">
        <v>650</v>
      </c>
      <c r="C73" s="81" t="s">
        <v>397</v>
      </c>
      <c r="D73" s="94">
        <v>21</v>
      </c>
      <c r="E73" s="81">
        <v>0</v>
      </c>
      <c r="F73" s="81">
        <v>0</v>
      </c>
      <c r="G73" s="81">
        <v>0</v>
      </c>
      <c r="H73" s="81">
        <v>0</v>
      </c>
      <c r="I73" s="81">
        <v>1</v>
      </c>
      <c r="J73" s="81">
        <v>0</v>
      </c>
      <c r="K73" s="81">
        <v>0</v>
      </c>
      <c r="L73" s="81">
        <v>0</v>
      </c>
      <c r="M73" s="81">
        <v>1</v>
      </c>
      <c r="N73" s="81">
        <v>0</v>
      </c>
      <c r="O73" s="81">
        <v>1</v>
      </c>
      <c r="P73" s="81">
        <v>0</v>
      </c>
      <c r="Q73" s="81">
        <v>0</v>
      </c>
      <c r="R73" s="81">
        <v>0</v>
      </c>
      <c r="S73" s="81">
        <v>0</v>
      </c>
      <c r="T73" s="81">
        <v>0</v>
      </c>
      <c r="U73" s="81">
        <v>0</v>
      </c>
      <c r="V73" s="81">
        <v>0</v>
      </c>
      <c r="W73" s="81">
        <v>0</v>
      </c>
      <c r="X73" s="81">
        <v>0</v>
      </c>
      <c r="Y73" s="81">
        <v>0</v>
      </c>
      <c r="Z73" s="81">
        <v>1</v>
      </c>
      <c r="AA73" s="81">
        <v>0</v>
      </c>
      <c r="AB73" s="81">
        <v>0</v>
      </c>
      <c r="AC73" s="81">
        <v>0</v>
      </c>
      <c r="AD73" s="81">
        <v>0</v>
      </c>
      <c r="AE73" s="81">
        <v>1</v>
      </c>
      <c r="AF73" s="81">
        <v>0</v>
      </c>
      <c r="AG73" s="81">
        <v>0</v>
      </c>
      <c r="AH73" s="81">
        <v>1</v>
      </c>
      <c r="AI73" s="81">
        <v>0</v>
      </c>
      <c r="AJ73" s="81">
        <v>0</v>
      </c>
      <c r="AK73" s="81">
        <v>0</v>
      </c>
      <c r="AL73" s="81">
        <v>1</v>
      </c>
      <c r="AM73" s="81">
        <v>1</v>
      </c>
      <c r="AN73" s="81">
        <v>0</v>
      </c>
      <c r="AO73" s="81">
        <v>0</v>
      </c>
      <c r="AP73" s="81">
        <v>0</v>
      </c>
      <c r="AQ73" s="81">
        <v>0</v>
      </c>
      <c r="AR73" s="81">
        <v>1</v>
      </c>
      <c r="AS73" s="81">
        <v>0</v>
      </c>
      <c r="AT73" s="81">
        <v>1</v>
      </c>
      <c r="AU73" s="81">
        <v>0</v>
      </c>
      <c r="AV73" s="81">
        <v>0</v>
      </c>
      <c r="AW73" s="81">
        <v>1</v>
      </c>
      <c r="AX73" s="81">
        <v>0</v>
      </c>
      <c r="AY73" s="81">
        <v>1</v>
      </c>
      <c r="AZ73" s="81">
        <v>0</v>
      </c>
      <c r="BA73" s="81">
        <v>0</v>
      </c>
      <c r="BB73" s="81">
        <v>2</v>
      </c>
      <c r="BC73" s="81">
        <v>1</v>
      </c>
      <c r="BD73" s="81">
        <v>1</v>
      </c>
      <c r="BE73" s="81">
        <v>2</v>
      </c>
      <c r="BF73" s="81">
        <v>2</v>
      </c>
      <c r="BG73" s="81">
        <v>2</v>
      </c>
      <c r="BH73" s="81">
        <v>1</v>
      </c>
      <c r="BI73" s="81">
        <v>1</v>
      </c>
      <c r="BJ73" s="81">
        <v>2</v>
      </c>
      <c r="BK73" s="81">
        <v>2</v>
      </c>
      <c r="BL73" s="81">
        <v>2</v>
      </c>
      <c r="BM73" s="81">
        <v>2</v>
      </c>
      <c r="BN73" s="81">
        <v>2</v>
      </c>
      <c r="BO73" s="81">
        <v>2</v>
      </c>
      <c r="BP73" s="81">
        <v>2</v>
      </c>
      <c r="BQ73" s="81">
        <v>2</v>
      </c>
      <c r="BR73" s="81">
        <v>2</v>
      </c>
      <c r="BS73" s="81">
        <v>2</v>
      </c>
      <c r="BT73" s="81">
        <v>2</v>
      </c>
      <c r="BU73" s="81">
        <v>2</v>
      </c>
      <c r="BV73" s="81">
        <v>2</v>
      </c>
      <c r="BW73" s="81">
        <v>2</v>
      </c>
      <c r="BX73" s="81">
        <v>2</v>
      </c>
      <c r="BY73" s="81">
        <v>2</v>
      </c>
      <c r="BZ73" s="81">
        <v>2</v>
      </c>
      <c r="CA73" s="81">
        <v>2</v>
      </c>
      <c r="CB73" s="81">
        <v>2</v>
      </c>
      <c r="CC73" s="81">
        <v>2</v>
      </c>
      <c r="CD73" s="81">
        <v>2</v>
      </c>
      <c r="CE73" s="81">
        <v>2</v>
      </c>
      <c r="CF73" s="81">
        <v>2</v>
      </c>
      <c r="CG73" s="81">
        <v>2</v>
      </c>
      <c r="CH73" s="81">
        <v>0</v>
      </c>
      <c r="CI73" s="81">
        <v>1</v>
      </c>
      <c r="CJ73" s="81">
        <v>1</v>
      </c>
      <c r="CK73" s="81">
        <v>2</v>
      </c>
      <c r="CL73" s="81">
        <v>1</v>
      </c>
      <c r="CM73" s="81">
        <v>1</v>
      </c>
      <c r="CN73" s="81">
        <v>1</v>
      </c>
      <c r="CO73" s="81" t="s">
        <v>643</v>
      </c>
    </row>
    <row r="74" spans="1:93" ht="11.55" customHeight="1" x14ac:dyDescent="0.3">
      <c r="A74" s="81" t="s">
        <v>651</v>
      </c>
      <c r="B74" s="81" t="s">
        <v>652</v>
      </c>
      <c r="C74" s="81" t="s">
        <v>397</v>
      </c>
      <c r="D74" s="94">
        <v>21</v>
      </c>
      <c r="E74" s="81">
        <v>0</v>
      </c>
      <c r="F74" s="81">
        <v>0</v>
      </c>
      <c r="G74" s="81">
        <v>0</v>
      </c>
      <c r="H74" s="81">
        <v>0</v>
      </c>
      <c r="I74" s="81">
        <v>1</v>
      </c>
      <c r="J74" s="81">
        <v>0</v>
      </c>
      <c r="K74" s="81">
        <v>0</v>
      </c>
      <c r="L74" s="81">
        <v>0</v>
      </c>
      <c r="M74" s="81">
        <v>1</v>
      </c>
      <c r="N74" s="81">
        <v>0</v>
      </c>
      <c r="O74" s="81">
        <v>1</v>
      </c>
      <c r="P74" s="81">
        <v>0</v>
      </c>
      <c r="Q74" s="81">
        <v>0</v>
      </c>
      <c r="R74" s="81">
        <v>0</v>
      </c>
      <c r="S74" s="81">
        <v>0</v>
      </c>
      <c r="T74" s="81">
        <v>0</v>
      </c>
      <c r="U74" s="81">
        <v>0</v>
      </c>
      <c r="V74" s="81">
        <v>0</v>
      </c>
      <c r="W74" s="81">
        <v>0</v>
      </c>
      <c r="X74" s="81">
        <v>0</v>
      </c>
      <c r="Y74" s="81">
        <v>0</v>
      </c>
      <c r="Z74" s="81">
        <v>1</v>
      </c>
      <c r="AA74" s="81">
        <v>0</v>
      </c>
      <c r="AB74" s="81">
        <v>0</v>
      </c>
      <c r="AC74" s="81">
        <v>0</v>
      </c>
      <c r="AD74" s="81">
        <v>0</v>
      </c>
      <c r="AE74" s="81">
        <v>1</v>
      </c>
      <c r="AF74" s="81">
        <v>0</v>
      </c>
      <c r="AG74" s="81">
        <v>0</v>
      </c>
      <c r="AH74" s="81">
        <v>1</v>
      </c>
      <c r="AI74" s="81">
        <v>0</v>
      </c>
      <c r="AJ74" s="81">
        <v>0</v>
      </c>
      <c r="AK74" s="81">
        <v>0</v>
      </c>
      <c r="AL74" s="81">
        <v>1</v>
      </c>
      <c r="AM74" s="81">
        <v>1</v>
      </c>
      <c r="AN74" s="81">
        <v>0</v>
      </c>
      <c r="AO74" s="81">
        <v>0</v>
      </c>
      <c r="AP74" s="81">
        <v>0</v>
      </c>
      <c r="AQ74" s="81">
        <v>0</v>
      </c>
      <c r="AR74" s="81">
        <v>1</v>
      </c>
      <c r="AS74" s="81">
        <v>0</v>
      </c>
      <c r="AT74" s="81">
        <v>1</v>
      </c>
      <c r="AU74" s="81">
        <v>0</v>
      </c>
      <c r="AV74" s="81">
        <v>0</v>
      </c>
      <c r="AW74" s="81">
        <v>1</v>
      </c>
      <c r="AX74" s="81">
        <v>0</v>
      </c>
      <c r="AY74" s="81">
        <v>1</v>
      </c>
      <c r="AZ74" s="81">
        <v>0</v>
      </c>
      <c r="BA74" s="81">
        <v>0</v>
      </c>
      <c r="BB74" s="81">
        <v>2</v>
      </c>
      <c r="BC74" s="81">
        <v>1</v>
      </c>
      <c r="BD74" s="81">
        <v>1</v>
      </c>
      <c r="BE74" s="81">
        <v>2</v>
      </c>
      <c r="BF74" s="81">
        <v>2</v>
      </c>
      <c r="BG74" s="81">
        <v>2</v>
      </c>
      <c r="BH74" s="81">
        <v>1</v>
      </c>
      <c r="BI74" s="81">
        <v>1</v>
      </c>
      <c r="BJ74" s="81">
        <v>2</v>
      </c>
      <c r="BK74" s="81">
        <v>2</v>
      </c>
      <c r="BL74" s="81">
        <v>2</v>
      </c>
      <c r="BM74" s="81">
        <v>2</v>
      </c>
      <c r="BN74" s="81">
        <v>2</v>
      </c>
      <c r="BO74" s="81">
        <v>2</v>
      </c>
      <c r="BP74" s="81">
        <v>2</v>
      </c>
      <c r="BQ74" s="81">
        <v>2</v>
      </c>
      <c r="BR74" s="81">
        <v>2</v>
      </c>
      <c r="BS74" s="81">
        <v>2</v>
      </c>
      <c r="BT74" s="81">
        <v>2</v>
      </c>
      <c r="BU74" s="81">
        <v>2</v>
      </c>
      <c r="BV74" s="81">
        <v>2</v>
      </c>
      <c r="BW74" s="81">
        <v>2</v>
      </c>
      <c r="BX74" s="81">
        <v>2</v>
      </c>
      <c r="BY74" s="81">
        <v>2</v>
      </c>
      <c r="BZ74" s="81">
        <v>2</v>
      </c>
      <c r="CA74" s="81">
        <v>2</v>
      </c>
      <c r="CB74" s="81">
        <v>2</v>
      </c>
      <c r="CC74" s="81">
        <v>2</v>
      </c>
      <c r="CD74" s="81">
        <v>2</v>
      </c>
      <c r="CE74" s="81">
        <v>2</v>
      </c>
      <c r="CF74" s="81">
        <v>2</v>
      </c>
      <c r="CG74" s="81">
        <v>2</v>
      </c>
      <c r="CH74" s="81">
        <v>0</v>
      </c>
      <c r="CI74" s="81">
        <v>1</v>
      </c>
      <c r="CJ74" s="81">
        <v>1</v>
      </c>
      <c r="CK74" s="81">
        <v>2</v>
      </c>
      <c r="CL74" s="81">
        <v>1</v>
      </c>
      <c r="CM74" s="81">
        <v>1</v>
      </c>
      <c r="CN74" s="81">
        <v>1</v>
      </c>
      <c r="CO74" s="81" t="s">
        <v>646</v>
      </c>
    </row>
    <row r="75" spans="1:93" ht="11.55" customHeight="1" x14ac:dyDescent="0.3">
      <c r="A75" s="81" t="s">
        <v>653</v>
      </c>
      <c r="B75" s="81" t="s">
        <v>654</v>
      </c>
      <c r="C75" s="81" t="s">
        <v>397</v>
      </c>
      <c r="D75" s="94">
        <v>21</v>
      </c>
      <c r="E75" s="81">
        <v>0</v>
      </c>
      <c r="F75" s="81">
        <v>0</v>
      </c>
      <c r="G75" s="81">
        <v>0</v>
      </c>
      <c r="H75" s="81">
        <v>0</v>
      </c>
      <c r="I75" s="81">
        <v>1</v>
      </c>
      <c r="J75" s="81">
        <v>0</v>
      </c>
      <c r="K75" s="81">
        <v>0</v>
      </c>
      <c r="L75" s="81">
        <v>0</v>
      </c>
      <c r="M75" s="81">
        <v>1</v>
      </c>
      <c r="N75" s="81">
        <v>0</v>
      </c>
      <c r="O75" s="81">
        <v>1</v>
      </c>
      <c r="P75" s="81">
        <v>0</v>
      </c>
      <c r="Q75" s="81">
        <v>0</v>
      </c>
      <c r="R75" s="81">
        <v>0</v>
      </c>
      <c r="S75" s="81">
        <v>0</v>
      </c>
      <c r="T75" s="81">
        <v>0</v>
      </c>
      <c r="U75" s="81">
        <v>0</v>
      </c>
      <c r="V75" s="81">
        <v>0</v>
      </c>
      <c r="W75" s="81">
        <v>0</v>
      </c>
      <c r="X75" s="81">
        <v>0</v>
      </c>
      <c r="Y75" s="81">
        <v>0</v>
      </c>
      <c r="Z75" s="81">
        <v>1</v>
      </c>
      <c r="AA75" s="81">
        <v>0</v>
      </c>
      <c r="AB75" s="81">
        <v>0</v>
      </c>
      <c r="AC75" s="81">
        <v>0</v>
      </c>
      <c r="AD75" s="81">
        <v>0</v>
      </c>
      <c r="AE75" s="81">
        <v>1</v>
      </c>
      <c r="AF75" s="81">
        <v>0</v>
      </c>
      <c r="AG75" s="81">
        <v>0</v>
      </c>
      <c r="AH75" s="81">
        <v>1</v>
      </c>
      <c r="AI75" s="81">
        <v>0</v>
      </c>
      <c r="AJ75" s="81">
        <v>0</v>
      </c>
      <c r="AK75" s="81">
        <v>0</v>
      </c>
      <c r="AL75" s="81">
        <v>1</v>
      </c>
      <c r="AM75" s="81">
        <v>1</v>
      </c>
      <c r="AN75" s="81">
        <v>0</v>
      </c>
      <c r="AO75" s="81">
        <v>0</v>
      </c>
      <c r="AP75" s="81">
        <v>0</v>
      </c>
      <c r="AQ75" s="81">
        <v>0</v>
      </c>
      <c r="AR75" s="81">
        <v>1</v>
      </c>
      <c r="AS75" s="81">
        <v>0</v>
      </c>
      <c r="AT75" s="81">
        <v>1</v>
      </c>
      <c r="AU75" s="81">
        <v>0</v>
      </c>
      <c r="AV75" s="81">
        <v>0</v>
      </c>
      <c r="AW75" s="81">
        <v>1</v>
      </c>
      <c r="AX75" s="81">
        <v>0</v>
      </c>
      <c r="AY75" s="81">
        <v>1</v>
      </c>
      <c r="AZ75" s="81">
        <v>0</v>
      </c>
      <c r="BA75" s="81">
        <v>0</v>
      </c>
      <c r="BB75" s="81">
        <v>2</v>
      </c>
      <c r="BC75" s="81">
        <v>1</v>
      </c>
      <c r="BD75" s="81">
        <v>1</v>
      </c>
      <c r="BE75" s="81">
        <v>2</v>
      </c>
      <c r="BF75" s="81">
        <v>2</v>
      </c>
      <c r="BG75" s="81">
        <v>2</v>
      </c>
      <c r="BH75" s="81">
        <v>1</v>
      </c>
      <c r="BI75" s="81">
        <v>1</v>
      </c>
      <c r="BJ75" s="81">
        <v>2</v>
      </c>
      <c r="BK75" s="81">
        <v>2</v>
      </c>
      <c r="BL75" s="81">
        <v>2</v>
      </c>
      <c r="BM75" s="81">
        <v>2</v>
      </c>
      <c r="BN75" s="81">
        <v>2</v>
      </c>
      <c r="BO75" s="81">
        <v>2</v>
      </c>
      <c r="BP75" s="81">
        <v>2</v>
      </c>
      <c r="BQ75" s="81">
        <v>2</v>
      </c>
      <c r="BR75" s="81">
        <v>2</v>
      </c>
      <c r="BS75" s="81">
        <v>2</v>
      </c>
      <c r="BT75" s="81">
        <v>2</v>
      </c>
      <c r="BU75" s="81">
        <v>2</v>
      </c>
      <c r="BV75" s="81">
        <v>2</v>
      </c>
      <c r="BW75" s="81">
        <v>2</v>
      </c>
      <c r="BX75" s="81">
        <v>2</v>
      </c>
      <c r="BY75" s="81">
        <v>2</v>
      </c>
      <c r="BZ75" s="81">
        <v>2</v>
      </c>
      <c r="CA75" s="81">
        <v>2</v>
      </c>
      <c r="CB75" s="81">
        <v>2</v>
      </c>
      <c r="CC75" s="81">
        <v>2</v>
      </c>
      <c r="CD75" s="81">
        <v>2</v>
      </c>
      <c r="CE75" s="81">
        <v>2</v>
      </c>
      <c r="CF75" s="81">
        <v>2</v>
      </c>
      <c r="CG75" s="81">
        <v>2</v>
      </c>
      <c r="CH75" s="81">
        <v>0</v>
      </c>
      <c r="CI75" s="81">
        <v>1</v>
      </c>
      <c r="CJ75" s="81">
        <v>1</v>
      </c>
      <c r="CK75" s="81">
        <v>2</v>
      </c>
      <c r="CL75" s="81">
        <v>1</v>
      </c>
      <c r="CM75" s="81">
        <v>1</v>
      </c>
      <c r="CN75" s="81">
        <v>1</v>
      </c>
      <c r="CO75" s="81" t="s">
        <v>646</v>
      </c>
    </row>
    <row r="76" spans="1:93" ht="11.55" customHeight="1" x14ac:dyDescent="0.3">
      <c r="A76" s="81" t="s">
        <v>655</v>
      </c>
      <c r="B76" s="81" t="s">
        <v>656</v>
      </c>
      <c r="C76" s="81" t="s">
        <v>397</v>
      </c>
      <c r="D76" s="94">
        <v>21</v>
      </c>
      <c r="E76" s="81">
        <v>0</v>
      </c>
      <c r="F76" s="81">
        <v>0</v>
      </c>
      <c r="G76" s="81">
        <v>0</v>
      </c>
      <c r="H76" s="81">
        <v>0</v>
      </c>
      <c r="I76" s="81">
        <v>1</v>
      </c>
      <c r="J76" s="81">
        <v>0</v>
      </c>
      <c r="K76" s="81">
        <v>0</v>
      </c>
      <c r="L76" s="81">
        <v>0</v>
      </c>
      <c r="M76" s="81">
        <v>1</v>
      </c>
      <c r="N76" s="81">
        <v>0</v>
      </c>
      <c r="O76" s="81">
        <v>1</v>
      </c>
      <c r="P76" s="81">
        <v>0</v>
      </c>
      <c r="Q76" s="81">
        <v>0</v>
      </c>
      <c r="R76" s="81">
        <v>0</v>
      </c>
      <c r="S76" s="81">
        <v>0</v>
      </c>
      <c r="T76" s="81">
        <v>0</v>
      </c>
      <c r="U76" s="81">
        <v>0</v>
      </c>
      <c r="V76" s="81">
        <v>0</v>
      </c>
      <c r="W76" s="81">
        <v>0</v>
      </c>
      <c r="X76" s="81">
        <v>0</v>
      </c>
      <c r="Y76" s="81">
        <v>0</v>
      </c>
      <c r="Z76" s="81">
        <v>1</v>
      </c>
      <c r="AA76" s="81">
        <v>0</v>
      </c>
      <c r="AB76" s="81">
        <v>0</v>
      </c>
      <c r="AC76" s="81">
        <v>0</v>
      </c>
      <c r="AD76" s="81">
        <v>0</v>
      </c>
      <c r="AE76" s="81">
        <v>1</v>
      </c>
      <c r="AF76" s="81">
        <v>0</v>
      </c>
      <c r="AG76" s="81">
        <v>0</v>
      </c>
      <c r="AH76" s="81">
        <v>1</v>
      </c>
      <c r="AI76" s="81">
        <v>0</v>
      </c>
      <c r="AJ76" s="81">
        <v>0</v>
      </c>
      <c r="AK76" s="81">
        <v>0</v>
      </c>
      <c r="AL76" s="81">
        <v>1</v>
      </c>
      <c r="AM76" s="81">
        <v>1</v>
      </c>
      <c r="AN76" s="81">
        <v>0</v>
      </c>
      <c r="AO76" s="81">
        <v>0</v>
      </c>
      <c r="AP76" s="81">
        <v>0</v>
      </c>
      <c r="AQ76" s="81">
        <v>0</v>
      </c>
      <c r="AR76" s="81">
        <v>1</v>
      </c>
      <c r="AS76" s="81">
        <v>0</v>
      </c>
      <c r="AT76" s="81">
        <v>1</v>
      </c>
      <c r="AU76" s="81">
        <v>0</v>
      </c>
      <c r="AV76" s="81">
        <v>0</v>
      </c>
      <c r="AW76" s="81">
        <v>1</v>
      </c>
      <c r="AX76" s="81">
        <v>0</v>
      </c>
      <c r="AY76" s="81">
        <v>1</v>
      </c>
      <c r="AZ76" s="81">
        <v>0</v>
      </c>
      <c r="BA76" s="81">
        <v>0</v>
      </c>
      <c r="BB76" s="81">
        <v>2</v>
      </c>
      <c r="BC76" s="81">
        <v>1</v>
      </c>
      <c r="BD76" s="81">
        <v>1</v>
      </c>
      <c r="BE76" s="81">
        <v>2</v>
      </c>
      <c r="BF76" s="81">
        <v>2</v>
      </c>
      <c r="BG76" s="81">
        <v>2</v>
      </c>
      <c r="BH76" s="81">
        <v>1</v>
      </c>
      <c r="BI76" s="81">
        <v>1</v>
      </c>
      <c r="BJ76" s="81">
        <v>2</v>
      </c>
      <c r="BK76" s="81">
        <v>2</v>
      </c>
      <c r="BL76" s="81">
        <v>2</v>
      </c>
      <c r="BM76" s="81">
        <v>2</v>
      </c>
      <c r="BN76" s="81">
        <v>2</v>
      </c>
      <c r="BO76" s="81">
        <v>2</v>
      </c>
      <c r="BP76" s="81">
        <v>2</v>
      </c>
      <c r="BQ76" s="81">
        <v>2</v>
      </c>
      <c r="BR76" s="81">
        <v>2</v>
      </c>
      <c r="BS76" s="81">
        <v>2</v>
      </c>
      <c r="BT76" s="81">
        <v>2</v>
      </c>
      <c r="BU76" s="81">
        <v>2</v>
      </c>
      <c r="BV76" s="81">
        <v>2</v>
      </c>
      <c r="BW76" s="81">
        <v>2</v>
      </c>
      <c r="BX76" s="81">
        <v>2</v>
      </c>
      <c r="BY76" s="81">
        <v>2</v>
      </c>
      <c r="BZ76" s="81">
        <v>2</v>
      </c>
      <c r="CA76" s="81">
        <v>2</v>
      </c>
      <c r="CB76" s="81">
        <v>2</v>
      </c>
      <c r="CC76" s="81">
        <v>2</v>
      </c>
      <c r="CD76" s="81">
        <v>2</v>
      </c>
      <c r="CE76" s="81">
        <v>2</v>
      </c>
      <c r="CF76" s="81">
        <v>2</v>
      </c>
      <c r="CG76" s="81">
        <v>2</v>
      </c>
      <c r="CH76" s="81">
        <v>0</v>
      </c>
      <c r="CI76" s="81">
        <v>1</v>
      </c>
      <c r="CJ76" s="81">
        <v>1</v>
      </c>
      <c r="CK76" s="81">
        <v>2</v>
      </c>
      <c r="CL76" s="81">
        <v>1</v>
      </c>
      <c r="CM76" s="81">
        <v>1</v>
      </c>
      <c r="CN76" s="81">
        <v>1</v>
      </c>
      <c r="CO76" s="81" t="s">
        <v>646</v>
      </c>
    </row>
    <row r="77" spans="1:93" ht="11.55" customHeight="1" x14ac:dyDescent="0.3">
      <c r="A77" s="81" t="s">
        <v>657</v>
      </c>
      <c r="B77" s="81" t="s">
        <v>658</v>
      </c>
      <c r="C77" s="81" t="s">
        <v>397</v>
      </c>
      <c r="D77" s="94">
        <v>21</v>
      </c>
      <c r="E77" s="81">
        <v>0</v>
      </c>
      <c r="F77" s="81">
        <v>0</v>
      </c>
      <c r="G77" s="81">
        <v>0</v>
      </c>
      <c r="H77" s="81">
        <v>0</v>
      </c>
      <c r="I77" s="81">
        <v>1</v>
      </c>
      <c r="J77" s="81">
        <v>0</v>
      </c>
      <c r="K77" s="81">
        <v>0</v>
      </c>
      <c r="L77" s="81">
        <v>0</v>
      </c>
      <c r="M77" s="81">
        <v>1</v>
      </c>
      <c r="N77" s="81">
        <v>0</v>
      </c>
      <c r="O77" s="81">
        <v>1</v>
      </c>
      <c r="P77" s="81">
        <v>0</v>
      </c>
      <c r="Q77" s="81">
        <v>0</v>
      </c>
      <c r="R77" s="81">
        <v>0</v>
      </c>
      <c r="S77" s="81">
        <v>0</v>
      </c>
      <c r="T77" s="81">
        <v>0</v>
      </c>
      <c r="U77" s="81">
        <v>0</v>
      </c>
      <c r="V77" s="81">
        <v>0</v>
      </c>
      <c r="W77" s="81">
        <v>0</v>
      </c>
      <c r="X77" s="81">
        <v>0</v>
      </c>
      <c r="Y77" s="81">
        <v>0</v>
      </c>
      <c r="Z77" s="81">
        <v>1</v>
      </c>
      <c r="AA77" s="81">
        <v>0</v>
      </c>
      <c r="AB77" s="81">
        <v>0</v>
      </c>
      <c r="AC77" s="81">
        <v>0</v>
      </c>
      <c r="AD77" s="81">
        <v>0</v>
      </c>
      <c r="AE77" s="81">
        <v>1</v>
      </c>
      <c r="AF77" s="81">
        <v>0</v>
      </c>
      <c r="AG77" s="81">
        <v>0</v>
      </c>
      <c r="AH77" s="81">
        <v>1</v>
      </c>
      <c r="AI77" s="81">
        <v>0</v>
      </c>
      <c r="AJ77" s="81">
        <v>0</v>
      </c>
      <c r="AK77" s="81">
        <v>0</v>
      </c>
      <c r="AL77" s="81">
        <v>1</v>
      </c>
      <c r="AM77" s="81">
        <v>1</v>
      </c>
      <c r="AN77" s="81">
        <v>0</v>
      </c>
      <c r="AO77" s="81">
        <v>0</v>
      </c>
      <c r="AP77" s="81">
        <v>0</v>
      </c>
      <c r="AQ77" s="81">
        <v>0</v>
      </c>
      <c r="AR77" s="81">
        <v>1</v>
      </c>
      <c r="AS77" s="81">
        <v>0</v>
      </c>
      <c r="AT77" s="81">
        <v>1</v>
      </c>
      <c r="AU77" s="81">
        <v>0</v>
      </c>
      <c r="AV77" s="81">
        <v>0</v>
      </c>
      <c r="AW77" s="81">
        <v>1</v>
      </c>
      <c r="AX77" s="81">
        <v>0</v>
      </c>
      <c r="AY77" s="81">
        <v>1</v>
      </c>
      <c r="AZ77" s="81">
        <v>0</v>
      </c>
      <c r="BA77" s="81">
        <v>0</v>
      </c>
      <c r="BB77" s="81">
        <v>2</v>
      </c>
      <c r="BC77" s="81">
        <v>1</v>
      </c>
      <c r="BD77" s="81">
        <v>1</v>
      </c>
      <c r="BE77" s="81">
        <v>2</v>
      </c>
      <c r="BF77" s="81">
        <v>2</v>
      </c>
      <c r="BG77" s="81">
        <v>2</v>
      </c>
      <c r="BH77" s="81">
        <v>1</v>
      </c>
      <c r="BI77" s="81">
        <v>1</v>
      </c>
      <c r="BJ77" s="81">
        <v>2</v>
      </c>
      <c r="BK77" s="81">
        <v>2</v>
      </c>
      <c r="BL77" s="81">
        <v>2</v>
      </c>
      <c r="BM77" s="81">
        <v>2</v>
      </c>
      <c r="BN77" s="81">
        <v>2</v>
      </c>
      <c r="BO77" s="81">
        <v>2</v>
      </c>
      <c r="BP77" s="81">
        <v>2</v>
      </c>
      <c r="BQ77" s="81">
        <v>2</v>
      </c>
      <c r="BR77" s="81">
        <v>2</v>
      </c>
      <c r="BS77" s="81">
        <v>2</v>
      </c>
      <c r="BT77" s="81">
        <v>2</v>
      </c>
      <c r="BU77" s="81">
        <v>2</v>
      </c>
      <c r="BV77" s="81">
        <v>2</v>
      </c>
      <c r="BW77" s="81">
        <v>2</v>
      </c>
      <c r="BX77" s="81">
        <v>2</v>
      </c>
      <c r="BY77" s="81">
        <v>2</v>
      </c>
      <c r="BZ77" s="81">
        <v>2</v>
      </c>
      <c r="CA77" s="81">
        <v>2</v>
      </c>
      <c r="CB77" s="81">
        <v>2</v>
      </c>
      <c r="CC77" s="81">
        <v>2</v>
      </c>
      <c r="CD77" s="81">
        <v>2</v>
      </c>
      <c r="CE77" s="81">
        <v>2</v>
      </c>
      <c r="CF77" s="81">
        <v>2</v>
      </c>
      <c r="CG77" s="81">
        <v>2</v>
      </c>
      <c r="CH77" s="81">
        <v>0</v>
      </c>
      <c r="CI77" s="81">
        <v>1</v>
      </c>
      <c r="CJ77" s="81">
        <v>1</v>
      </c>
      <c r="CK77" s="81">
        <v>2</v>
      </c>
      <c r="CL77" s="81">
        <v>1</v>
      </c>
      <c r="CM77" s="81">
        <v>1</v>
      </c>
      <c r="CN77" s="81">
        <v>1</v>
      </c>
      <c r="CO77" s="81" t="s">
        <v>646</v>
      </c>
    </row>
    <row r="78" spans="1:93" ht="11.55" customHeight="1" x14ac:dyDescent="0.3">
      <c r="A78" s="81" t="s">
        <v>659</v>
      </c>
      <c r="B78" s="81" t="s">
        <v>660</v>
      </c>
      <c r="C78" s="81" t="s">
        <v>397</v>
      </c>
      <c r="D78" s="94">
        <v>21</v>
      </c>
      <c r="E78" s="81">
        <v>0</v>
      </c>
      <c r="F78" s="81">
        <v>0</v>
      </c>
      <c r="G78" s="81">
        <v>0</v>
      </c>
      <c r="H78" s="81">
        <v>0</v>
      </c>
      <c r="I78" s="81">
        <v>1</v>
      </c>
      <c r="J78" s="81">
        <v>0</v>
      </c>
      <c r="K78" s="81">
        <v>0</v>
      </c>
      <c r="L78" s="81">
        <v>0</v>
      </c>
      <c r="M78" s="81">
        <v>1</v>
      </c>
      <c r="N78" s="81">
        <v>0</v>
      </c>
      <c r="O78" s="81">
        <v>1</v>
      </c>
      <c r="P78" s="81">
        <v>0</v>
      </c>
      <c r="Q78" s="81">
        <v>0</v>
      </c>
      <c r="R78" s="81">
        <v>0</v>
      </c>
      <c r="S78" s="81">
        <v>0</v>
      </c>
      <c r="T78" s="81">
        <v>0</v>
      </c>
      <c r="U78" s="81">
        <v>0</v>
      </c>
      <c r="V78" s="81">
        <v>0</v>
      </c>
      <c r="W78" s="81">
        <v>0</v>
      </c>
      <c r="X78" s="81">
        <v>0</v>
      </c>
      <c r="Y78" s="81">
        <v>0</v>
      </c>
      <c r="Z78" s="81">
        <v>1</v>
      </c>
      <c r="AA78" s="81">
        <v>0</v>
      </c>
      <c r="AB78" s="81">
        <v>0</v>
      </c>
      <c r="AC78" s="81">
        <v>0</v>
      </c>
      <c r="AD78" s="81">
        <v>0</v>
      </c>
      <c r="AE78" s="81">
        <v>1</v>
      </c>
      <c r="AF78" s="81">
        <v>0</v>
      </c>
      <c r="AG78" s="81">
        <v>0</v>
      </c>
      <c r="AH78" s="81">
        <v>1</v>
      </c>
      <c r="AI78" s="81">
        <v>0</v>
      </c>
      <c r="AJ78" s="81">
        <v>0</v>
      </c>
      <c r="AK78" s="81">
        <v>0</v>
      </c>
      <c r="AL78" s="81">
        <v>1</v>
      </c>
      <c r="AM78" s="81">
        <v>1</v>
      </c>
      <c r="AN78" s="81">
        <v>0</v>
      </c>
      <c r="AO78" s="81">
        <v>0</v>
      </c>
      <c r="AP78" s="81">
        <v>0</v>
      </c>
      <c r="AQ78" s="81">
        <v>0</v>
      </c>
      <c r="AR78" s="81">
        <v>1</v>
      </c>
      <c r="AS78" s="81">
        <v>0</v>
      </c>
      <c r="AT78" s="81">
        <v>1</v>
      </c>
      <c r="AU78" s="81">
        <v>0</v>
      </c>
      <c r="AV78" s="81">
        <v>0</v>
      </c>
      <c r="AW78" s="81">
        <v>1</v>
      </c>
      <c r="AX78" s="81">
        <v>0</v>
      </c>
      <c r="AY78" s="81">
        <v>1</v>
      </c>
      <c r="AZ78" s="81">
        <v>0</v>
      </c>
      <c r="BA78" s="81">
        <v>0</v>
      </c>
      <c r="BB78" s="81">
        <v>2</v>
      </c>
      <c r="BC78" s="81">
        <v>1</v>
      </c>
      <c r="BD78" s="81">
        <v>1</v>
      </c>
      <c r="BE78" s="81">
        <v>2</v>
      </c>
      <c r="BF78" s="81">
        <v>2</v>
      </c>
      <c r="BG78" s="81">
        <v>2</v>
      </c>
      <c r="BH78" s="81">
        <v>1</v>
      </c>
      <c r="BI78" s="81">
        <v>1</v>
      </c>
      <c r="BJ78" s="81">
        <v>2</v>
      </c>
      <c r="BK78" s="81">
        <v>2</v>
      </c>
      <c r="BL78" s="81">
        <v>2</v>
      </c>
      <c r="BM78" s="81">
        <v>2</v>
      </c>
      <c r="BN78" s="81">
        <v>2</v>
      </c>
      <c r="BO78" s="81">
        <v>2</v>
      </c>
      <c r="BP78" s="81">
        <v>2</v>
      </c>
      <c r="BQ78" s="81">
        <v>2</v>
      </c>
      <c r="BR78" s="81">
        <v>2</v>
      </c>
      <c r="BS78" s="81">
        <v>2</v>
      </c>
      <c r="BT78" s="81">
        <v>2</v>
      </c>
      <c r="BU78" s="81">
        <v>2</v>
      </c>
      <c r="BV78" s="81">
        <v>2</v>
      </c>
      <c r="BW78" s="81">
        <v>2</v>
      </c>
      <c r="BX78" s="81">
        <v>2</v>
      </c>
      <c r="BY78" s="81">
        <v>2</v>
      </c>
      <c r="BZ78" s="81">
        <v>2</v>
      </c>
      <c r="CA78" s="81">
        <v>2</v>
      </c>
      <c r="CB78" s="81">
        <v>2</v>
      </c>
      <c r="CC78" s="81">
        <v>2</v>
      </c>
      <c r="CD78" s="81">
        <v>2</v>
      </c>
      <c r="CE78" s="81">
        <v>2</v>
      </c>
      <c r="CF78" s="81">
        <v>2</v>
      </c>
      <c r="CG78" s="81">
        <v>2</v>
      </c>
      <c r="CH78" s="81">
        <v>0</v>
      </c>
      <c r="CI78" s="81">
        <v>1</v>
      </c>
      <c r="CJ78" s="81">
        <v>1</v>
      </c>
      <c r="CK78" s="81">
        <v>2</v>
      </c>
      <c r="CL78" s="81">
        <v>1</v>
      </c>
      <c r="CM78" s="81">
        <v>1</v>
      </c>
      <c r="CN78" s="81">
        <v>1</v>
      </c>
      <c r="CO78" s="81" t="s">
        <v>646</v>
      </c>
    </row>
    <row r="79" spans="1:93" ht="11.55" customHeight="1" x14ac:dyDescent="0.3">
      <c r="A79" s="81" t="s">
        <v>661</v>
      </c>
      <c r="B79" s="81" t="s">
        <v>662</v>
      </c>
      <c r="C79" s="81" t="s">
        <v>397</v>
      </c>
      <c r="D79" s="94">
        <v>21</v>
      </c>
      <c r="E79" s="81">
        <v>0</v>
      </c>
      <c r="F79" s="81">
        <v>0</v>
      </c>
      <c r="G79" s="81">
        <v>0</v>
      </c>
      <c r="H79" s="81">
        <v>0</v>
      </c>
      <c r="I79" s="81">
        <v>1</v>
      </c>
      <c r="J79" s="81">
        <v>0</v>
      </c>
      <c r="K79" s="81">
        <v>0</v>
      </c>
      <c r="L79" s="81">
        <v>0</v>
      </c>
      <c r="M79" s="81">
        <v>1</v>
      </c>
      <c r="N79" s="81">
        <v>0</v>
      </c>
      <c r="O79" s="81">
        <v>1</v>
      </c>
      <c r="P79" s="81">
        <v>0</v>
      </c>
      <c r="Q79" s="81">
        <v>0</v>
      </c>
      <c r="R79" s="81">
        <v>0</v>
      </c>
      <c r="S79" s="81">
        <v>0</v>
      </c>
      <c r="T79" s="81">
        <v>0</v>
      </c>
      <c r="U79" s="81">
        <v>0</v>
      </c>
      <c r="V79" s="81">
        <v>0</v>
      </c>
      <c r="W79" s="81">
        <v>0</v>
      </c>
      <c r="X79" s="81">
        <v>0</v>
      </c>
      <c r="Y79" s="81">
        <v>0</v>
      </c>
      <c r="Z79" s="81">
        <v>1</v>
      </c>
      <c r="AA79" s="81">
        <v>0</v>
      </c>
      <c r="AB79" s="81">
        <v>0</v>
      </c>
      <c r="AC79" s="81">
        <v>0</v>
      </c>
      <c r="AD79" s="81">
        <v>0</v>
      </c>
      <c r="AE79" s="81">
        <v>1</v>
      </c>
      <c r="AF79" s="81">
        <v>0</v>
      </c>
      <c r="AG79" s="81">
        <v>0</v>
      </c>
      <c r="AH79" s="81">
        <v>1</v>
      </c>
      <c r="AI79" s="81">
        <v>0</v>
      </c>
      <c r="AJ79" s="81">
        <v>0</v>
      </c>
      <c r="AK79" s="81">
        <v>0</v>
      </c>
      <c r="AL79" s="81">
        <v>1</v>
      </c>
      <c r="AM79" s="81">
        <v>1</v>
      </c>
      <c r="AN79" s="81">
        <v>0</v>
      </c>
      <c r="AO79" s="81">
        <v>0</v>
      </c>
      <c r="AP79" s="81">
        <v>0</v>
      </c>
      <c r="AQ79" s="81">
        <v>0</v>
      </c>
      <c r="AR79" s="81">
        <v>1</v>
      </c>
      <c r="AS79" s="81">
        <v>0</v>
      </c>
      <c r="AT79" s="81">
        <v>1</v>
      </c>
      <c r="AU79" s="81">
        <v>0</v>
      </c>
      <c r="AV79" s="81">
        <v>0</v>
      </c>
      <c r="AW79" s="81">
        <v>1</v>
      </c>
      <c r="AX79" s="81">
        <v>0</v>
      </c>
      <c r="AY79" s="81">
        <v>1</v>
      </c>
      <c r="AZ79" s="81">
        <v>0</v>
      </c>
      <c r="BA79" s="81">
        <v>0</v>
      </c>
      <c r="BB79" s="81">
        <v>2</v>
      </c>
      <c r="BC79" s="81">
        <v>1</v>
      </c>
      <c r="BD79" s="81">
        <v>1</v>
      </c>
      <c r="BE79" s="81">
        <v>2</v>
      </c>
      <c r="BF79" s="81">
        <v>2</v>
      </c>
      <c r="BG79" s="81">
        <v>2</v>
      </c>
      <c r="BH79" s="81">
        <v>1</v>
      </c>
      <c r="BI79" s="81">
        <v>1</v>
      </c>
      <c r="BJ79" s="81">
        <v>2</v>
      </c>
      <c r="BK79" s="81">
        <v>2</v>
      </c>
      <c r="BL79" s="81">
        <v>2</v>
      </c>
      <c r="BM79" s="81">
        <v>2</v>
      </c>
      <c r="BN79" s="81">
        <v>2</v>
      </c>
      <c r="BO79" s="81">
        <v>2</v>
      </c>
      <c r="BP79" s="81">
        <v>2</v>
      </c>
      <c r="BQ79" s="81">
        <v>2</v>
      </c>
      <c r="BR79" s="81">
        <v>2</v>
      </c>
      <c r="BS79" s="81">
        <v>2</v>
      </c>
      <c r="BT79" s="81">
        <v>2</v>
      </c>
      <c r="BU79" s="81">
        <v>2</v>
      </c>
      <c r="BV79" s="81">
        <v>2</v>
      </c>
      <c r="BW79" s="81">
        <v>2</v>
      </c>
      <c r="BX79" s="81">
        <v>2</v>
      </c>
      <c r="BY79" s="81">
        <v>2</v>
      </c>
      <c r="BZ79" s="81">
        <v>2</v>
      </c>
      <c r="CA79" s="81">
        <v>2</v>
      </c>
      <c r="CB79" s="81">
        <v>2</v>
      </c>
      <c r="CC79" s="81">
        <v>2</v>
      </c>
      <c r="CD79" s="81">
        <v>2</v>
      </c>
      <c r="CE79" s="81">
        <v>2</v>
      </c>
      <c r="CF79" s="81">
        <v>2</v>
      </c>
      <c r="CG79" s="81">
        <v>2</v>
      </c>
      <c r="CH79" s="81">
        <v>0</v>
      </c>
      <c r="CI79" s="81">
        <v>1</v>
      </c>
      <c r="CJ79" s="81">
        <v>1</v>
      </c>
      <c r="CK79" s="81">
        <v>2</v>
      </c>
      <c r="CL79" s="81">
        <v>1</v>
      </c>
      <c r="CM79" s="81">
        <v>1</v>
      </c>
      <c r="CN79" s="81">
        <v>1</v>
      </c>
      <c r="CO79" s="81" t="s">
        <v>643</v>
      </c>
    </row>
    <row r="80" spans="1:93" ht="11.55" customHeight="1" x14ac:dyDescent="0.3">
      <c r="A80" s="81" t="s">
        <v>663</v>
      </c>
      <c r="B80" s="81" t="s">
        <v>664</v>
      </c>
      <c r="C80" s="81" t="s">
        <v>397</v>
      </c>
      <c r="D80" s="94">
        <v>21</v>
      </c>
      <c r="E80" s="81">
        <v>0</v>
      </c>
      <c r="F80" s="81">
        <v>0</v>
      </c>
      <c r="G80" s="81">
        <v>0</v>
      </c>
      <c r="H80" s="81">
        <v>0</v>
      </c>
      <c r="I80" s="81">
        <v>1</v>
      </c>
      <c r="J80" s="81">
        <v>0</v>
      </c>
      <c r="K80" s="81">
        <v>0</v>
      </c>
      <c r="L80" s="81">
        <v>0</v>
      </c>
      <c r="M80" s="81">
        <v>1</v>
      </c>
      <c r="N80" s="81">
        <v>0</v>
      </c>
      <c r="O80" s="81">
        <v>1</v>
      </c>
      <c r="P80" s="81">
        <v>0</v>
      </c>
      <c r="Q80" s="81">
        <v>0</v>
      </c>
      <c r="R80" s="81">
        <v>0</v>
      </c>
      <c r="S80" s="81">
        <v>0</v>
      </c>
      <c r="T80" s="81">
        <v>0</v>
      </c>
      <c r="U80" s="81">
        <v>0</v>
      </c>
      <c r="V80" s="81">
        <v>0</v>
      </c>
      <c r="W80" s="81">
        <v>0</v>
      </c>
      <c r="X80" s="81">
        <v>0</v>
      </c>
      <c r="Y80" s="81">
        <v>0</v>
      </c>
      <c r="Z80" s="81">
        <v>1</v>
      </c>
      <c r="AA80" s="81">
        <v>0</v>
      </c>
      <c r="AB80" s="81">
        <v>0</v>
      </c>
      <c r="AC80" s="81">
        <v>0</v>
      </c>
      <c r="AD80" s="81">
        <v>0</v>
      </c>
      <c r="AE80" s="81">
        <v>1</v>
      </c>
      <c r="AF80" s="81">
        <v>0</v>
      </c>
      <c r="AG80" s="81">
        <v>0</v>
      </c>
      <c r="AH80" s="81">
        <v>1</v>
      </c>
      <c r="AI80" s="81">
        <v>0</v>
      </c>
      <c r="AJ80" s="81">
        <v>0</v>
      </c>
      <c r="AK80" s="81">
        <v>0</v>
      </c>
      <c r="AL80" s="81">
        <v>1</v>
      </c>
      <c r="AM80" s="81">
        <v>1</v>
      </c>
      <c r="AN80" s="81">
        <v>0</v>
      </c>
      <c r="AO80" s="81">
        <v>0</v>
      </c>
      <c r="AP80" s="81">
        <v>0</v>
      </c>
      <c r="AQ80" s="81">
        <v>0</v>
      </c>
      <c r="AR80" s="81">
        <v>1</v>
      </c>
      <c r="AS80" s="81">
        <v>0</v>
      </c>
      <c r="AT80" s="81">
        <v>1</v>
      </c>
      <c r="AU80" s="81">
        <v>0</v>
      </c>
      <c r="AV80" s="81">
        <v>0</v>
      </c>
      <c r="AW80" s="81">
        <v>1</v>
      </c>
      <c r="AX80" s="81">
        <v>0</v>
      </c>
      <c r="AY80" s="81">
        <v>1</v>
      </c>
      <c r="AZ80" s="81">
        <v>0</v>
      </c>
      <c r="BA80" s="81">
        <v>0</v>
      </c>
      <c r="BB80" s="81">
        <v>2</v>
      </c>
      <c r="BC80" s="81">
        <v>1</v>
      </c>
      <c r="BD80" s="81">
        <v>1</v>
      </c>
      <c r="BE80" s="81">
        <v>2</v>
      </c>
      <c r="BF80" s="81">
        <v>2</v>
      </c>
      <c r="BG80" s="81">
        <v>2</v>
      </c>
      <c r="BH80" s="81">
        <v>1</v>
      </c>
      <c r="BI80" s="81">
        <v>1</v>
      </c>
      <c r="BJ80" s="81">
        <v>2</v>
      </c>
      <c r="BK80" s="81">
        <v>2</v>
      </c>
      <c r="BL80" s="81">
        <v>2</v>
      </c>
      <c r="BM80" s="81">
        <v>2</v>
      </c>
      <c r="BN80" s="81">
        <v>2</v>
      </c>
      <c r="BO80" s="81">
        <v>2</v>
      </c>
      <c r="BP80" s="81">
        <v>2</v>
      </c>
      <c r="BQ80" s="81">
        <v>2</v>
      </c>
      <c r="BR80" s="81">
        <v>2</v>
      </c>
      <c r="BS80" s="81">
        <v>2</v>
      </c>
      <c r="BT80" s="81">
        <v>2</v>
      </c>
      <c r="BU80" s="81">
        <v>2</v>
      </c>
      <c r="BV80" s="81">
        <v>2</v>
      </c>
      <c r="BW80" s="81">
        <v>2</v>
      </c>
      <c r="BX80" s="81">
        <v>2</v>
      </c>
      <c r="BY80" s="81">
        <v>2</v>
      </c>
      <c r="BZ80" s="81">
        <v>2</v>
      </c>
      <c r="CA80" s="81">
        <v>2</v>
      </c>
      <c r="CB80" s="81">
        <v>2</v>
      </c>
      <c r="CC80" s="81">
        <v>2</v>
      </c>
      <c r="CD80" s="81">
        <v>2</v>
      </c>
      <c r="CE80" s="81">
        <v>2</v>
      </c>
      <c r="CF80" s="81">
        <v>2</v>
      </c>
      <c r="CG80" s="81">
        <v>2</v>
      </c>
      <c r="CH80" s="81">
        <v>0</v>
      </c>
      <c r="CI80" s="81">
        <v>1</v>
      </c>
      <c r="CJ80" s="81">
        <v>1</v>
      </c>
      <c r="CK80" s="81">
        <v>2</v>
      </c>
      <c r="CL80" s="81">
        <v>1</v>
      </c>
      <c r="CM80" s="81">
        <v>1</v>
      </c>
      <c r="CN80" s="81">
        <v>1</v>
      </c>
      <c r="CO80" s="81" t="s">
        <v>646</v>
      </c>
    </row>
    <row r="81" spans="1:93" ht="11.55" customHeight="1" x14ac:dyDescent="0.3">
      <c r="A81" s="81" t="s">
        <v>665</v>
      </c>
      <c r="B81" s="81" t="s">
        <v>666</v>
      </c>
      <c r="C81" s="81" t="s">
        <v>397</v>
      </c>
      <c r="D81" s="94">
        <v>21</v>
      </c>
      <c r="E81" s="81">
        <v>0</v>
      </c>
      <c r="F81" s="81">
        <v>0</v>
      </c>
      <c r="G81" s="81">
        <v>0</v>
      </c>
      <c r="H81" s="81">
        <v>0</v>
      </c>
      <c r="I81" s="81">
        <v>1</v>
      </c>
      <c r="J81" s="81">
        <v>0</v>
      </c>
      <c r="K81" s="81">
        <v>0</v>
      </c>
      <c r="L81" s="81">
        <v>0</v>
      </c>
      <c r="M81" s="81">
        <v>1</v>
      </c>
      <c r="N81" s="81">
        <v>0</v>
      </c>
      <c r="O81" s="81">
        <v>1</v>
      </c>
      <c r="P81" s="81">
        <v>0</v>
      </c>
      <c r="Q81" s="81">
        <v>0</v>
      </c>
      <c r="R81" s="81">
        <v>0</v>
      </c>
      <c r="S81" s="81">
        <v>0</v>
      </c>
      <c r="T81" s="81">
        <v>0</v>
      </c>
      <c r="U81" s="81">
        <v>0</v>
      </c>
      <c r="V81" s="81">
        <v>0</v>
      </c>
      <c r="W81" s="81">
        <v>0</v>
      </c>
      <c r="X81" s="81">
        <v>0</v>
      </c>
      <c r="Y81" s="81">
        <v>0</v>
      </c>
      <c r="Z81" s="81">
        <v>1</v>
      </c>
      <c r="AA81" s="81">
        <v>0</v>
      </c>
      <c r="AB81" s="81">
        <v>0</v>
      </c>
      <c r="AC81" s="81">
        <v>0</v>
      </c>
      <c r="AD81" s="81">
        <v>0</v>
      </c>
      <c r="AE81" s="81">
        <v>1</v>
      </c>
      <c r="AF81" s="81">
        <v>0</v>
      </c>
      <c r="AG81" s="81">
        <v>0</v>
      </c>
      <c r="AH81" s="81">
        <v>1</v>
      </c>
      <c r="AI81" s="81">
        <v>0</v>
      </c>
      <c r="AJ81" s="81">
        <v>0</v>
      </c>
      <c r="AK81" s="81">
        <v>0</v>
      </c>
      <c r="AL81" s="81">
        <v>1</v>
      </c>
      <c r="AM81" s="81">
        <v>1</v>
      </c>
      <c r="AN81" s="81">
        <v>0</v>
      </c>
      <c r="AO81" s="81">
        <v>0</v>
      </c>
      <c r="AP81" s="81">
        <v>0</v>
      </c>
      <c r="AQ81" s="81">
        <v>0</v>
      </c>
      <c r="AR81" s="81">
        <v>1</v>
      </c>
      <c r="AS81" s="81">
        <v>0</v>
      </c>
      <c r="AT81" s="81">
        <v>1</v>
      </c>
      <c r="AU81" s="81">
        <v>0</v>
      </c>
      <c r="AV81" s="81">
        <v>0</v>
      </c>
      <c r="AW81" s="81">
        <v>1</v>
      </c>
      <c r="AX81" s="81">
        <v>0</v>
      </c>
      <c r="AY81" s="81">
        <v>1</v>
      </c>
      <c r="AZ81" s="81">
        <v>0</v>
      </c>
      <c r="BA81" s="81">
        <v>0</v>
      </c>
      <c r="BB81" s="81">
        <v>2</v>
      </c>
      <c r="BC81" s="81">
        <v>1</v>
      </c>
      <c r="BD81" s="81">
        <v>1</v>
      </c>
      <c r="BE81" s="81">
        <v>2</v>
      </c>
      <c r="BF81" s="81">
        <v>2</v>
      </c>
      <c r="BG81" s="81">
        <v>2</v>
      </c>
      <c r="BH81" s="81">
        <v>1</v>
      </c>
      <c r="BI81" s="81">
        <v>1</v>
      </c>
      <c r="BJ81" s="81">
        <v>2</v>
      </c>
      <c r="BK81" s="81">
        <v>2</v>
      </c>
      <c r="BL81" s="81">
        <v>2</v>
      </c>
      <c r="BM81" s="81">
        <v>2</v>
      </c>
      <c r="BN81" s="81">
        <v>2</v>
      </c>
      <c r="BO81" s="81">
        <v>2</v>
      </c>
      <c r="BP81" s="81">
        <v>2</v>
      </c>
      <c r="BQ81" s="81">
        <v>2</v>
      </c>
      <c r="BR81" s="81">
        <v>2</v>
      </c>
      <c r="BS81" s="81">
        <v>2</v>
      </c>
      <c r="BT81" s="81">
        <v>2</v>
      </c>
      <c r="BU81" s="81">
        <v>2</v>
      </c>
      <c r="BV81" s="81">
        <v>2</v>
      </c>
      <c r="BW81" s="81">
        <v>2</v>
      </c>
      <c r="BX81" s="81">
        <v>2</v>
      </c>
      <c r="BY81" s="81">
        <v>2</v>
      </c>
      <c r="BZ81" s="81">
        <v>2</v>
      </c>
      <c r="CA81" s="81">
        <v>2</v>
      </c>
      <c r="CB81" s="81">
        <v>2</v>
      </c>
      <c r="CC81" s="81">
        <v>2</v>
      </c>
      <c r="CD81" s="81">
        <v>2</v>
      </c>
      <c r="CE81" s="81">
        <v>2</v>
      </c>
      <c r="CF81" s="81">
        <v>2</v>
      </c>
      <c r="CG81" s="81">
        <v>2</v>
      </c>
      <c r="CH81" s="81">
        <v>0</v>
      </c>
      <c r="CI81" s="81">
        <v>1</v>
      </c>
      <c r="CJ81" s="81">
        <v>1</v>
      </c>
      <c r="CK81" s="81">
        <v>2</v>
      </c>
      <c r="CL81" s="81">
        <v>1</v>
      </c>
      <c r="CM81" s="81">
        <v>1</v>
      </c>
      <c r="CN81" s="81">
        <v>1</v>
      </c>
      <c r="CO81" s="81" t="s">
        <v>646</v>
      </c>
    </row>
    <row r="82" spans="1:93" ht="11.55" customHeight="1" x14ac:dyDescent="0.3">
      <c r="A82" s="81" t="s">
        <v>667</v>
      </c>
      <c r="B82" s="81" t="s">
        <v>668</v>
      </c>
      <c r="C82" s="81" t="s">
        <v>397</v>
      </c>
      <c r="D82" s="94">
        <v>21</v>
      </c>
      <c r="E82" s="81">
        <v>0</v>
      </c>
      <c r="F82" s="81">
        <v>0</v>
      </c>
      <c r="G82" s="81">
        <v>0</v>
      </c>
      <c r="H82" s="81">
        <v>0</v>
      </c>
      <c r="I82" s="81">
        <v>1</v>
      </c>
      <c r="J82" s="81">
        <v>0</v>
      </c>
      <c r="K82" s="81">
        <v>0</v>
      </c>
      <c r="L82" s="81">
        <v>0</v>
      </c>
      <c r="M82" s="81">
        <v>1</v>
      </c>
      <c r="N82" s="81">
        <v>0</v>
      </c>
      <c r="O82" s="81">
        <v>1</v>
      </c>
      <c r="P82" s="81">
        <v>0</v>
      </c>
      <c r="Q82" s="81">
        <v>0</v>
      </c>
      <c r="R82" s="81">
        <v>0</v>
      </c>
      <c r="S82" s="81">
        <v>0</v>
      </c>
      <c r="T82" s="81">
        <v>0</v>
      </c>
      <c r="U82" s="81">
        <v>0</v>
      </c>
      <c r="V82" s="81">
        <v>0</v>
      </c>
      <c r="W82" s="81">
        <v>0</v>
      </c>
      <c r="X82" s="81">
        <v>0</v>
      </c>
      <c r="Y82" s="81">
        <v>0</v>
      </c>
      <c r="Z82" s="81">
        <v>1</v>
      </c>
      <c r="AA82" s="81">
        <v>0</v>
      </c>
      <c r="AB82" s="81">
        <v>0</v>
      </c>
      <c r="AC82" s="81">
        <v>0</v>
      </c>
      <c r="AD82" s="81">
        <v>0</v>
      </c>
      <c r="AE82" s="81">
        <v>1</v>
      </c>
      <c r="AF82" s="81">
        <v>0</v>
      </c>
      <c r="AG82" s="81">
        <v>0</v>
      </c>
      <c r="AH82" s="81">
        <v>1</v>
      </c>
      <c r="AI82" s="81">
        <v>0</v>
      </c>
      <c r="AJ82" s="81">
        <v>0</v>
      </c>
      <c r="AK82" s="81">
        <v>0</v>
      </c>
      <c r="AL82" s="81">
        <v>1</v>
      </c>
      <c r="AM82" s="81">
        <v>1</v>
      </c>
      <c r="AN82" s="81">
        <v>0</v>
      </c>
      <c r="AO82" s="81">
        <v>0</v>
      </c>
      <c r="AP82" s="81">
        <v>0</v>
      </c>
      <c r="AQ82" s="81">
        <v>0</v>
      </c>
      <c r="AR82" s="81">
        <v>1</v>
      </c>
      <c r="AS82" s="81">
        <v>0</v>
      </c>
      <c r="AT82" s="81">
        <v>1</v>
      </c>
      <c r="AU82" s="81">
        <v>0</v>
      </c>
      <c r="AV82" s="81">
        <v>0</v>
      </c>
      <c r="AW82" s="81">
        <v>1</v>
      </c>
      <c r="AX82" s="81">
        <v>0</v>
      </c>
      <c r="AY82" s="81">
        <v>1</v>
      </c>
      <c r="AZ82" s="81">
        <v>0</v>
      </c>
      <c r="BA82" s="81">
        <v>0</v>
      </c>
      <c r="BB82" s="81">
        <v>2</v>
      </c>
      <c r="BC82" s="81">
        <v>1</v>
      </c>
      <c r="BD82" s="81">
        <v>1</v>
      </c>
      <c r="BE82" s="81">
        <v>2</v>
      </c>
      <c r="BF82" s="81">
        <v>2</v>
      </c>
      <c r="BG82" s="81">
        <v>2</v>
      </c>
      <c r="BH82" s="81">
        <v>1</v>
      </c>
      <c r="BI82" s="81">
        <v>1</v>
      </c>
      <c r="BJ82" s="81">
        <v>2</v>
      </c>
      <c r="BK82" s="81">
        <v>2</v>
      </c>
      <c r="BL82" s="81">
        <v>2</v>
      </c>
      <c r="BM82" s="81">
        <v>2</v>
      </c>
      <c r="BN82" s="81">
        <v>2</v>
      </c>
      <c r="BO82" s="81">
        <v>2</v>
      </c>
      <c r="BP82" s="81">
        <v>2</v>
      </c>
      <c r="BQ82" s="81">
        <v>2</v>
      </c>
      <c r="BR82" s="81">
        <v>2</v>
      </c>
      <c r="BS82" s="81">
        <v>2</v>
      </c>
      <c r="BT82" s="81">
        <v>2</v>
      </c>
      <c r="BU82" s="81">
        <v>2</v>
      </c>
      <c r="BV82" s="81">
        <v>2</v>
      </c>
      <c r="BW82" s="81">
        <v>2</v>
      </c>
      <c r="BX82" s="81">
        <v>2</v>
      </c>
      <c r="BY82" s="81">
        <v>2</v>
      </c>
      <c r="BZ82" s="81">
        <v>2</v>
      </c>
      <c r="CA82" s="81">
        <v>2</v>
      </c>
      <c r="CB82" s="81">
        <v>2</v>
      </c>
      <c r="CC82" s="81">
        <v>2</v>
      </c>
      <c r="CD82" s="81">
        <v>2</v>
      </c>
      <c r="CE82" s="81">
        <v>2</v>
      </c>
      <c r="CF82" s="81">
        <v>2</v>
      </c>
      <c r="CG82" s="81">
        <v>2</v>
      </c>
      <c r="CH82" s="81">
        <v>0</v>
      </c>
      <c r="CI82" s="81">
        <v>1</v>
      </c>
      <c r="CJ82" s="81">
        <v>1</v>
      </c>
      <c r="CK82" s="81">
        <v>2</v>
      </c>
      <c r="CL82" s="81">
        <v>1</v>
      </c>
      <c r="CM82" s="81">
        <v>1</v>
      </c>
      <c r="CN82" s="81">
        <v>1</v>
      </c>
      <c r="CO82" s="81" t="s">
        <v>669</v>
      </c>
    </row>
    <row r="83" spans="1:93" ht="11.55" customHeight="1" x14ac:dyDescent="0.3">
      <c r="A83" s="81" t="s">
        <v>670</v>
      </c>
      <c r="B83" s="81" t="s">
        <v>671</v>
      </c>
      <c r="C83" s="81" t="s">
        <v>397</v>
      </c>
      <c r="D83" s="94">
        <v>21</v>
      </c>
      <c r="E83" s="81">
        <v>0</v>
      </c>
      <c r="F83" s="81">
        <v>0</v>
      </c>
      <c r="G83" s="81">
        <v>0</v>
      </c>
      <c r="H83" s="81">
        <v>0</v>
      </c>
      <c r="I83" s="81">
        <v>1</v>
      </c>
      <c r="J83" s="81">
        <v>0</v>
      </c>
      <c r="K83" s="81">
        <v>0</v>
      </c>
      <c r="L83" s="81">
        <v>0</v>
      </c>
      <c r="M83" s="81">
        <v>1</v>
      </c>
      <c r="N83" s="81">
        <v>0</v>
      </c>
      <c r="O83" s="81">
        <v>1</v>
      </c>
      <c r="P83" s="81">
        <v>0</v>
      </c>
      <c r="Q83" s="81">
        <v>0</v>
      </c>
      <c r="R83" s="81">
        <v>0</v>
      </c>
      <c r="S83" s="81">
        <v>0</v>
      </c>
      <c r="T83" s="81">
        <v>0</v>
      </c>
      <c r="U83" s="81">
        <v>0</v>
      </c>
      <c r="V83" s="81">
        <v>0</v>
      </c>
      <c r="W83" s="81">
        <v>0</v>
      </c>
      <c r="X83" s="81">
        <v>0</v>
      </c>
      <c r="Y83" s="81">
        <v>0</v>
      </c>
      <c r="Z83" s="81">
        <v>1</v>
      </c>
      <c r="AA83" s="81">
        <v>0</v>
      </c>
      <c r="AB83" s="81">
        <v>0</v>
      </c>
      <c r="AC83" s="81">
        <v>0</v>
      </c>
      <c r="AD83" s="81">
        <v>0</v>
      </c>
      <c r="AE83" s="81">
        <v>1</v>
      </c>
      <c r="AF83" s="81">
        <v>0</v>
      </c>
      <c r="AG83" s="81">
        <v>0</v>
      </c>
      <c r="AH83" s="81">
        <v>1</v>
      </c>
      <c r="AI83" s="81">
        <v>0</v>
      </c>
      <c r="AJ83" s="81">
        <v>0</v>
      </c>
      <c r="AK83" s="81">
        <v>0</v>
      </c>
      <c r="AL83" s="81">
        <v>1</v>
      </c>
      <c r="AM83" s="81">
        <v>1</v>
      </c>
      <c r="AN83" s="81">
        <v>0</v>
      </c>
      <c r="AO83" s="81">
        <v>0</v>
      </c>
      <c r="AP83" s="81">
        <v>0</v>
      </c>
      <c r="AQ83" s="81">
        <v>0</v>
      </c>
      <c r="AR83" s="81">
        <v>1</v>
      </c>
      <c r="AS83" s="81">
        <v>0</v>
      </c>
      <c r="AT83" s="81">
        <v>1</v>
      </c>
      <c r="AU83" s="81">
        <v>0</v>
      </c>
      <c r="AV83" s="81">
        <v>0</v>
      </c>
      <c r="AW83" s="81">
        <v>1</v>
      </c>
      <c r="AX83" s="81">
        <v>0</v>
      </c>
      <c r="AY83" s="81">
        <v>1</v>
      </c>
      <c r="AZ83" s="81">
        <v>0</v>
      </c>
      <c r="BA83" s="81">
        <v>0</v>
      </c>
      <c r="BB83" s="81">
        <v>2</v>
      </c>
      <c r="BC83" s="81">
        <v>1</v>
      </c>
      <c r="BD83" s="81">
        <v>1</v>
      </c>
      <c r="BE83" s="81">
        <v>2</v>
      </c>
      <c r="BF83" s="81">
        <v>2</v>
      </c>
      <c r="BG83" s="81">
        <v>2</v>
      </c>
      <c r="BH83" s="81">
        <v>1</v>
      </c>
      <c r="BI83" s="81">
        <v>1</v>
      </c>
      <c r="BJ83" s="81">
        <v>2</v>
      </c>
      <c r="BK83" s="81">
        <v>2</v>
      </c>
      <c r="BL83" s="81">
        <v>2</v>
      </c>
      <c r="BM83" s="81">
        <v>2</v>
      </c>
      <c r="BN83" s="81">
        <v>2</v>
      </c>
      <c r="BO83" s="81">
        <v>2</v>
      </c>
      <c r="BP83" s="81">
        <v>2</v>
      </c>
      <c r="BQ83" s="81">
        <v>2</v>
      </c>
      <c r="BR83" s="81">
        <v>2</v>
      </c>
      <c r="BS83" s="81">
        <v>2</v>
      </c>
      <c r="BT83" s="81">
        <v>2</v>
      </c>
      <c r="BU83" s="81">
        <v>2</v>
      </c>
      <c r="BV83" s="81">
        <v>2</v>
      </c>
      <c r="BW83" s="81">
        <v>2</v>
      </c>
      <c r="BX83" s="81">
        <v>2</v>
      </c>
      <c r="BY83" s="81">
        <v>2</v>
      </c>
      <c r="BZ83" s="81">
        <v>2</v>
      </c>
      <c r="CA83" s="81">
        <v>2</v>
      </c>
      <c r="CB83" s="81">
        <v>2</v>
      </c>
      <c r="CC83" s="81">
        <v>2</v>
      </c>
      <c r="CD83" s="81">
        <v>2</v>
      </c>
      <c r="CE83" s="81">
        <v>2</v>
      </c>
      <c r="CF83" s="81">
        <v>2</v>
      </c>
      <c r="CG83" s="81">
        <v>2</v>
      </c>
      <c r="CH83" s="81">
        <v>0</v>
      </c>
      <c r="CI83" s="81">
        <v>1</v>
      </c>
      <c r="CJ83" s="81">
        <v>1</v>
      </c>
      <c r="CK83" s="81">
        <v>2</v>
      </c>
      <c r="CL83" s="81">
        <v>1</v>
      </c>
      <c r="CM83" s="81">
        <v>1</v>
      </c>
      <c r="CN83" s="81">
        <v>1</v>
      </c>
      <c r="CO83" s="81" t="s">
        <v>646</v>
      </c>
    </row>
    <row r="84" spans="1:93" ht="11.55" customHeight="1" x14ac:dyDescent="0.3">
      <c r="A84" s="81" t="s">
        <v>672</v>
      </c>
      <c r="B84" s="81" t="s">
        <v>673</v>
      </c>
      <c r="C84" s="81" t="s">
        <v>397</v>
      </c>
      <c r="D84" s="94">
        <v>21</v>
      </c>
      <c r="E84" s="81">
        <v>0</v>
      </c>
      <c r="F84" s="81">
        <v>0</v>
      </c>
      <c r="G84" s="81">
        <v>0</v>
      </c>
      <c r="H84" s="81">
        <v>0</v>
      </c>
      <c r="I84" s="81">
        <v>1</v>
      </c>
      <c r="J84" s="81">
        <v>0</v>
      </c>
      <c r="K84" s="81">
        <v>0</v>
      </c>
      <c r="L84" s="81">
        <v>0</v>
      </c>
      <c r="M84" s="81">
        <v>1</v>
      </c>
      <c r="N84" s="81">
        <v>0</v>
      </c>
      <c r="O84" s="81">
        <v>1</v>
      </c>
      <c r="P84" s="81">
        <v>0</v>
      </c>
      <c r="Q84" s="81">
        <v>0</v>
      </c>
      <c r="R84" s="81">
        <v>0</v>
      </c>
      <c r="S84" s="81">
        <v>0</v>
      </c>
      <c r="T84" s="81">
        <v>0</v>
      </c>
      <c r="U84" s="81">
        <v>0</v>
      </c>
      <c r="V84" s="81">
        <v>0</v>
      </c>
      <c r="W84" s="81">
        <v>0</v>
      </c>
      <c r="X84" s="81">
        <v>0</v>
      </c>
      <c r="Y84" s="81">
        <v>0</v>
      </c>
      <c r="Z84" s="81">
        <v>1</v>
      </c>
      <c r="AA84" s="81">
        <v>0</v>
      </c>
      <c r="AB84" s="81">
        <v>0</v>
      </c>
      <c r="AC84" s="81">
        <v>0</v>
      </c>
      <c r="AD84" s="81">
        <v>0</v>
      </c>
      <c r="AE84" s="81">
        <v>1</v>
      </c>
      <c r="AF84" s="81">
        <v>0</v>
      </c>
      <c r="AG84" s="81">
        <v>0</v>
      </c>
      <c r="AH84" s="81">
        <v>1</v>
      </c>
      <c r="AI84" s="81">
        <v>0</v>
      </c>
      <c r="AJ84" s="81">
        <v>0</v>
      </c>
      <c r="AK84" s="81">
        <v>0</v>
      </c>
      <c r="AL84" s="81">
        <v>1</v>
      </c>
      <c r="AM84" s="81">
        <v>1</v>
      </c>
      <c r="AN84" s="81">
        <v>0</v>
      </c>
      <c r="AO84" s="81">
        <v>0</v>
      </c>
      <c r="AP84" s="81">
        <v>0</v>
      </c>
      <c r="AQ84" s="81">
        <v>0</v>
      </c>
      <c r="AR84" s="81">
        <v>1</v>
      </c>
      <c r="AS84" s="81">
        <v>0</v>
      </c>
      <c r="AT84" s="81">
        <v>1</v>
      </c>
      <c r="AU84" s="81">
        <v>0</v>
      </c>
      <c r="AV84" s="81">
        <v>0</v>
      </c>
      <c r="AW84" s="81">
        <v>1</v>
      </c>
      <c r="AX84" s="81">
        <v>0</v>
      </c>
      <c r="AY84" s="81">
        <v>1</v>
      </c>
      <c r="AZ84" s="81">
        <v>0</v>
      </c>
      <c r="BA84" s="81">
        <v>0</v>
      </c>
      <c r="BB84" s="81">
        <v>2</v>
      </c>
      <c r="BC84" s="81">
        <v>1</v>
      </c>
      <c r="BD84" s="81">
        <v>1</v>
      </c>
      <c r="BE84" s="81">
        <v>2</v>
      </c>
      <c r="BF84" s="81">
        <v>2</v>
      </c>
      <c r="BG84" s="81">
        <v>2</v>
      </c>
      <c r="BH84" s="81">
        <v>1</v>
      </c>
      <c r="BI84" s="81">
        <v>1</v>
      </c>
      <c r="BJ84" s="81">
        <v>2</v>
      </c>
      <c r="BK84" s="81">
        <v>2</v>
      </c>
      <c r="BL84" s="81">
        <v>2</v>
      </c>
      <c r="BM84" s="81">
        <v>2</v>
      </c>
      <c r="BN84" s="81">
        <v>2</v>
      </c>
      <c r="BO84" s="81">
        <v>2</v>
      </c>
      <c r="BP84" s="81">
        <v>2</v>
      </c>
      <c r="BQ84" s="81">
        <v>2</v>
      </c>
      <c r="BR84" s="81">
        <v>2</v>
      </c>
      <c r="BS84" s="81">
        <v>2</v>
      </c>
      <c r="BT84" s="81">
        <v>2</v>
      </c>
      <c r="BU84" s="81">
        <v>2</v>
      </c>
      <c r="BV84" s="81">
        <v>2</v>
      </c>
      <c r="BW84" s="81">
        <v>2</v>
      </c>
      <c r="BX84" s="81">
        <v>2</v>
      </c>
      <c r="BY84" s="81">
        <v>2</v>
      </c>
      <c r="BZ84" s="81">
        <v>2</v>
      </c>
      <c r="CA84" s="81">
        <v>2</v>
      </c>
      <c r="CB84" s="81">
        <v>2</v>
      </c>
      <c r="CC84" s="81">
        <v>2</v>
      </c>
      <c r="CD84" s="81">
        <v>2</v>
      </c>
      <c r="CE84" s="81">
        <v>2</v>
      </c>
      <c r="CF84" s="81">
        <v>2</v>
      </c>
      <c r="CG84" s="81">
        <v>2</v>
      </c>
      <c r="CH84" s="81">
        <v>0</v>
      </c>
      <c r="CI84" s="81">
        <v>1</v>
      </c>
      <c r="CJ84" s="81">
        <v>1</v>
      </c>
      <c r="CK84" s="81">
        <v>2</v>
      </c>
      <c r="CL84" s="81">
        <v>1</v>
      </c>
      <c r="CM84" s="81">
        <v>1</v>
      </c>
      <c r="CN84" s="81">
        <v>1</v>
      </c>
      <c r="CO84" s="81" t="s">
        <v>646</v>
      </c>
    </row>
    <row r="85" spans="1:93" ht="11.55" customHeight="1" x14ac:dyDescent="0.3">
      <c r="A85" s="81" t="s">
        <v>674</v>
      </c>
      <c r="B85" s="81" t="s">
        <v>675</v>
      </c>
      <c r="C85" s="81" t="s">
        <v>397</v>
      </c>
      <c r="D85" s="94">
        <v>21</v>
      </c>
      <c r="E85" s="81">
        <v>0</v>
      </c>
      <c r="F85" s="81">
        <v>0</v>
      </c>
      <c r="G85" s="81">
        <v>0</v>
      </c>
      <c r="H85" s="81">
        <v>0</v>
      </c>
      <c r="I85" s="81">
        <v>1</v>
      </c>
      <c r="J85" s="81">
        <v>0</v>
      </c>
      <c r="K85" s="81">
        <v>0</v>
      </c>
      <c r="L85" s="81">
        <v>0</v>
      </c>
      <c r="M85" s="81">
        <v>1</v>
      </c>
      <c r="N85" s="81">
        <v>0</v>
      </c>
      <c r="O85" s="81">
        <v>1</v>
      </c>
      <c r="P85" s="81">
        <v>0</v>
      </c>
      <c r="Q85" s="81">
        <v>0</v>
      </c>
      <c r="R85" s="81">
        <v>0</v>
      </c>
      <c r="S85" s="81">
        <v>0</v>
      </c>
      <c r="T85" s="81">
        <v>0</v>
      </c>
      <c r="U85" s="81">
        <v>0</v>
      </c>
      <c r="V85" s="81">
        <v>0</v>
      </c>
      <c r="W85" s="81">
        <v>0</v>
      </c>
      <c r="X85" s="81">
        <v>0</v>
      </c>
      <c r="Y85" s="81">
        <v>0</v>
      </c>
      <c r="Z85" s="81">
        <v>1</v>
      </c>
      <c r="AA85" s="81">
        <v>0</v>
      </c>
      <c r="AB85" s="81">
        <v>0</v>
      </c>
      <c r="AC85" s="81">
        <v>0</v>
      </c>
      <c r="AD85" s="81">
        <v>0</v>
      </c>
      <c r="AE85" s="81">
        <v>1</v>
      </c>
      <c r="AF85" s="81">
        <v>0</v>
      </c>
      <c r="AG85" s="81">
        <v>0</v>
      </c>
      <c r="AH85" s="81">
        <v>1</v>
      </c>
      <c r="AI85" s="81">
        <v>0</v>
      </c>
      <c r="AJ85" s="81">
        <v>0</v>
      </c>
      <c r="AK85" s="81">
        <v>0</v>
      </c>
      <c r="AL85" s="81">
        <v>1</v>
      </c>
      <c r="AM85" s="81">
        <v>1</v>
      </c>
      <c r="AN85" s="81">
        <v>0</v>
      </c>
      <c r="AO85" s="81">
        <v>0</v>
      </c>
      <c r="AP85" s="81">
        <v>0</v>
      </c>
      <c r="AQ85" s="81">
        <v>0</v>
      </c>
      <c r="AR85" s="81">
        <v>1</v>
      </c>
      <c r="AS85" s="81">
        <v>0</v>
      </c>
      <c r="AT85" s="81">
        <v>1</v>
      </c>
      <c r="AU85" s="81">
        <v>0</v>
      </c>
      <c r="AV85" s="81">
        <v>0</v>
      </c>
      <c r="AW85" s="81">
        <v>1</v>
      </c>
      <c r="AX85" s="81">
        <v>0</v>
      </c>
      <c r="AY85" s="81">
        <v>1</v>
      </c>
      <c r="AZ85" s="81">
        <v>0</v>
      </c>
      <c r="BA85" s="81">
        <v>0</v>
      </c>
      <c r="BB85" s="81">
        <v>2</v>
      </c>
      <c r="BC85" s="81">
        <v>1</v>
      </c>
      <c r="BD85" s="81">
        <v>1</v>
      </c>
      <c r="BE85" s="81">
        <v>2</v>
      </c>
      <c r="BF85" s="81">
        <v>2</v>
      </c>
      <c r="BG85" s="81">
        <v>2</v>
      </c>
      <c r="BH85" s="81">
        <v>1</v>
      </c>
      <c r="BI85" s="81">
        <v>1</v>
      </c>
      <c r="BJ85" s="81">
        <v>2</v>
      </c>
      <c r="BK85" s="81">
        <v>2</v>
      </c>
      <c r="BL85" s="81">
        <v>2</v>
      </c>
      <c r="BM85" s="81">
        <v>2</v>
      </c>
      <c r="BN85" s="81">
        <v>2</v>
      </c>
      <c r="BO85" s="81">
        <v>2</v>
      </c>
      <c r="BP85" s="81">
        <v>2</v>
      </c>
      <c r="BQ85" s="81">
        <v>2</v>
      </c>
      <c r="BR85" s="81">
        <v>2</v>
      </c>
      <c r="BS85" s="81">
        <v>2</v>
      </c>
      <c r="BT85" s="81">
        <v>2</v>
      </c>
      <c r="BU85" s="81">
        <v>2</v>
      </c>
      <c r="BV85" s="81">
        <v>2</v>
      </c>
      <c r="BW85" s="81">
        <v>2</v>
      </c>
      <c r="BX85" s="81">
        <v>2</v>
      </c>
      <c r="BY85" s="81">
        <v>2</v>
      </c>
      <c r="BZ85" s="81">
        <v>2</v>
      </c>
      <c r="CA85" s="81">
        <v>2</v>
      </c>
      <c r="CB85" s="81">
        <v>2</v>
      </c>
      <c r="CC85" s="81">
        <v>2</v>
      </c>
      <c r="CD85" s="81">
        <v>2</v>
      </c>
      <c r="CE85" s="81">
        <v>2</v>
      </c>
      <c r="CF85" s="81">
        <v>2</v>
      </c>
      <c r="CG85" s="81">
        <v>2</v>
      </c>
      <c r="CH85" s="81">
        <v>0</v>
      </c>
      <c r="CI85" s="81">
        <v>1</v>
      </c>
      <c r="CJ85" s="81">
        <v>1</v>
      </c>
      <c r="CK85" s="81">
        <v>2</v>
      </c>
      <c r="CL85" s="81">
        <v>1</v>
      </c>
      <c r="CM85" s="81">
        <v>1</v>
      </c>
      <c r="CN85" s="81">
        <v>1</v>
      </c>
      <c r="CO85" s="81" t="s">
        <v>646</v>
      </c>
    </row>
    <row r="86" spans="1:93" ht="11.55" customHeight="1" x14ac:dyDescent="0.3">
      <c r="A86" s="81" t="s">
        <v>676</v>
      </c>
      <c r="B86" s="81" t="s">
        <v>677</v>
      </c>
      <c r="C86" s="81" t="s">
        <v>397</v>
      </c>
      <c r="D86" s="94">
        <v>21</v>
      </c>
      <c r="E86" s="81">
        <v>0</v>
      </c>
      <c r="F86" s="81">
        <v>0</v>
      </c>
      <c r="G86" s="81">
        <v>0</v>
      </c>
      <c r="H86" s="81">
        <v>0</v>
      </c>
      <c r="I86" s="81">
        <v>1</v>
      </c>
      <c r="J86" s="81">
        <v>0</v>
      </c>
      <c r="K86" s="81">
        <v>0</v>
      </c>
      <c r="L86" s="81">
        <v>0</v>
      </c>
      <c r="M86" s="81">
        <v>1</v>
      </c>
      <c r="N86" s="81">
        <v>0</v>
      </c>
      <c r="O86" s="81">
        <v>1</v>
      </c>
      <c r="P86" s="81">
        <v>0</v>
      </c>
      <c r="Q86" s="81">
        <v>0</v>
      </c>
      <c r="R86" s="81">
        <v>0</v>
      </c>
      <c r="S86" s="81">
        <v>0</v>
      </c>
      <c r="T86" s="81">
        <v>0</v>
      </c>
      <c r="U86" s="81">
        <v>0</v>
      </c>
      <c r="V86" s="81">
        <v>0</v>
      </c>
      <c r="W86" s="81">
        <v>0</v>
      </c>
      <c r="X86" s="81">
        <v>0</v>
      </c>
      <c r="Y86" s="81">
        <v>0</v>
      </c>
      <c r="Z86" s="81">
        <v>1</v>
      </c>
      <c r="AA86" s="81">
        <v>0</v>
      </c>
      <c r="AB86" s="81">
        <v>0</v>
      </c>
      <c r="AC86" s="81">
        <v>0</v>
      </c>
      <c r="AD86" s="81">
        <v>0</v>
      </c>
      <c r="AE86" s="81">
        <v>1</v>
      </c>
      <c r="AF86" s="81">
        <v>0</v>
      </c>
      <c r="AG86" s="81">
        <v>0</v>
      </c>
      <c r="AH86" s="81">
        <v>1</v>
      </c>
      <c r="AI86" s="81">
        <v>0</v>
      </c>
      <c r="AJ86" s="81">
        <v>0</v>
      </c>
      <c r="AK86" s="81">
        <v>0</v>
      </c>
      <c r="AL86" s="81">
        <v>1</v>
      </c>
      <c r="AM86" s="81">
        <v>1</v>
      </c>
      <c r="AN86" s="81">
        <v>0</v>
      </c>
      <c r="AO86" s="81">
        <v>0</v>
      </c>
      <c r="AP86" s="81">
        <v>0</v>
      </c>
      <c r="AQ86" s="81">
        <v>0</v>
      </c>
      <c r="AR86" s="81">
        <v>1</v>
      </c>
      <c r="AS86" s="81">
        <v>0</v>
      </c>
      <c r="AT86" s="81">
        <v>1</v>
      </c>
      <c r="AU86" s="81">
        <v>0</v>
      </c>
      <c r="AV86" s="81">
        <v>0</v>
      </c>
      <c r="AW86" s="81">
        <v>1</v>
      </c>
      <c r="AX86" s="81">
        <v>0</v>
      </c>
      <c r="AY86" s="81">
        <v>1</v>
      </c>
      <c r="AZ86" s="81">
        <v>0</v>
      </c>
      <c r="BA86" s="81">
        <v>0</v>
      </c>
      <c r="BB86" s="81">
        <v>2</v>
      </c>
      <c r="BC86" s="81">
        <v>1</v>
      </c>
      <c r="BD86" s="81">
        <v>1</v>
      </c>
      <c r="BE86" s="81">
        <v>2</v>
      </c>
      <c r="BF86" s="81">
        <v>2</v>
      </c>
      <c r="BG86" s="81">
        <v>2</v>
      </c>
      <c r="BH86" s="81">
        <v>1</v>
      </c>
      <c r="BI86" s="81">
        <v>1</v>
      </c>
      <c r="BJ86" s="81">
        <v>2</v>
      </c>
      <c r="BK86" s="81">
        <v>2</v>
      </c>
      <c r="BL86" s="81">
        <v>2</v>
      </c>
      <c r="BM86" s="81">
        <v>2</v>
      </c>
      <c r="BN86" s="81">
        <v>2</v>
      </c>
      <c r="BO86" s="81">
        <v>2</v>
      </c>
      <c r="BP86" s="81">
        <v>2</v>
      </c>
      <c r="BQ86" s="81">
        <v>2</v>
      </c>
      <c r="BR86" s="81">
        <v>2</v>
      </c>
      <c r="BS86" s="81">
        <v>2</v>
      </c>
      <c r="BT86" s="81">
        <v>2</v>
      </c>
      <c r="BU86" s="81">
        <v>2</v>
      </c>
      <c r="BV86" s="81">
        <v>2</v>
      </c>
      <c r="BW86" s="81">
        <v>2</v>
      </c>
      <c r="BX86" s="81">
        <v>2</v>
      </c>
      <c r="BY86" s="81">
        <v>2</v>
      </c>
      <c r="BZ86" s="81">
        <v>2</v>
      </c>
      <c r="CA86" s="81">
        <v>2</v>
      </c>
      <c r="CB86" s="81">
        <v>2</v>
      </c>
      <c r="CC86" s="81">
        <v>2</v>
      </c>
      <c r="CD86" s="81">
        <v>2</v>
      </c>
      <c r="CE86" s="81">
        <v>2</v>
      </c>
      <c r="CF86" s="81">
        <v>2</v>
      </c>
      <c r="CG86" s="81">
        <v>2</v>
      </c>
      <c r="CH86" s="81">
        <v>0</v>
      </c>
      <c r="CI86" s="81">
        <v>1</v>
      </c>
      <c r="CJ86" s="81">
        <v>1</v>
      </c>
      <c r="CK86" s="81">
        <v>2</v>
      </c>
      <c r="CL86" s="81">
        <v>1</v>
      </c>
      <c r="CM86" s="81">
        <v>1</v>
      </c>
      <c r="CN86" s="81">
        <v>1</v>
      </c>
      <c r="CO86" s="81" t="s">
        <v>646</v>
      </c>
    </row>
    <row r="87" spans="1:93" ht="11.55" customHeight="1" x14ac:dyDescent="0.3">
      <c r="A87" s="81" t="s">
        <v>678</v>
      </c>
      <c r="B87" s="81" t="s">
        <v>679</v>
      </c>
      <c r="C87" s="81" t="s">
        <v>397</v>
      </c>
      <c r="D87" s="94">
        <v>20</v>
      </c>
      <c r="E87" s="81">
        <v>0</v>
      </c>
      <c r="F87" s="81">
        <v>0</v>
      </c>
      <c r="G87" s="81">
        <v>0</v>
      </c>
      <c r="H87" s="81">
        <v>0</v>
      </c>
      <c r="I87" s="81">
        <v>1</v>
      </c>
      <c r="J87" s="81">
        <v>0</v>
      </c>
      <c r="K87" s="81">
        <v>0</v>
      </c>
      <c r="L87" s="81">
        <v>0</v>
      </c>
      <c r="M87" s="81">
        <v>1</v>
      </c>
      <c r="N87" s="81">
        <v>0</v>
      </c>
      <c r="O87" s="81">
        <v>1</v>
      </c>
      <c r="P87" s="81">
        <v>0</v>
      </c>
      <c r="Q87" s="81">
        <v>0</v>
      </c>
      <c r="R87" s="81">
        <v>0</v>
      </c>
      <c r="S87" s="81">
        <v>0</v>
      </c>
      <c r="T87" s="81">
        <v>0</v>
      </c>
      <c r="U87" s="81">
        <v>0</v>
      </c>
      <c r="V87" s="81">
        <v>0</v>
      </c>
      <c r="W87" s="81">
        <v>0</v>
      </c>
      <c r="X87" s="81">
        <v>0</v>
      </c>
      <c r="Y87" s="81">
        <v>0</v>
      </c>
      <c r="Z87" s="81">
        <v>1</v>
      </c>
      <c r="AA87" s="81">
        <v>0</v>
      </c>
      <c r="AB87" s="81">
        <v>0</v>
      </c>
      <c r="AC87" s="81">
        <v>0</v>
      </c>
      <c r="AD87" s="81">
        <v>0</v>
      </c>
      <c r="AE87" s="81">
        <v>1</v>
      </c>
      <c r="AF87" s="81">
        <v>0</v>
      </c>
      <c r="AG87" s="81">
        <v>0</v>
      </c>
      <c r="AH87" s="81">
        <v>1</v>
      </c>
      <c r="AI87" s="81">
        <v>0</v>
      </c>
      <c r="AJ87" s="81">
        <v>0</v>
      </c>
      <c r="AK87" s="81">
        <v>0</v>
      </c>
      <c r="AL87" s="81">
        <v>1</v>
      </c>
      <c r="AM87" s="81">
        <v>1</v>
      </c>
      <c r="AN87" s="81">
        <v>0</v>
      </c>
      <c r="AO87" s="81">
        <v>0</v>
      </c>
      <c r="AP87" s="81">
        <v>0</v>
      </c>
      <c r="AQ87" s="81">
        <v>0</v>
      </c>
      <c r="AR87" s="81">
        <v>1</v>
      </c>
      <c r="AS87" s="81">
        <v>0</v>
      </c>
      <c r="AT87" s="81">
        <v>1</v>
      </c>
      <c r="AU87" s="81">
        <v>0</v>
      </c>
      <c r="AV87" s="81">
        <v>0</v>
      </c>
      <c r="AW87" s="81">
        <v>1</v>
      </c>
      <c r="AX87" s="81">
        <v>0</v>
      </c>
      <c r="AY87" s="81">
        <v>1</v>
      </c>
      <c r="AZ87" s="81">
        <v>0</v>
      </c>
      <c r="BA87" s="81">
        <v>0</v>
      </c>
      <c r="BB87" s="81">
        <v>2</v>
      </c>
      <c r="BC87" s="81">
        <v>1</v>
      </c>
      <c r="BD87" s="81">
        <v>1</v>
      </c>
      <c r="BE87" s="81">
        <v>2</v>
      </c>
      <c r="BF87" s="81">
        <v>2</v>
      </c>
      <c r="BG87" s="81">
        <v>2</v>
      </c>
      <c r="BH87" s="81">
        <v>1</v>
      </c>
      <c r="BI87" s="81">
        <v>1</v>
      </c>
      <c r="BJ87" s="81">
        <v>2</v>
      </c>
      <c r="BK87" s="81">
        <v>2</v>
      </c>
      <c r="BL87" s="81">
        <v>2</v>
      </c>
      <c r="BM87" s="81">
        <v>2</v>
      </c>
      <c r="BN87" s="81">
        <v>2</v>
      </c>
      <c r="BO87" s="81">
        <v>2</v>
      </c>
      <c r="BP87" s="81">
        <v>2</v>
      </c>
      <c r="BQ87" s="81">
        <v>2</v>
      </c>
      <c r="BR87" s="81">
        <v>2</v>
      </c>
      <c r="BS87" s="81">
        <v>2</v>
      </c>
      <c r="BT87" s="81">
        <v>2</v>
      </c>
      <c r="BU87" s="81">
        <v>2</v>
      </c>
      <c r="BV87" s="81">
        <v>2</v>
      </c>
      <c r="BW87" s="81">
        <v>2</v>
      </c>
      <c r="BX87" s="81">
        <v>2</v>
      </c>
      <c r="BY87" s="81">
        <v>2</v>
      </c>
      <c r="BZ87" s="81">
        <v>2</v>
      </c>
      <c r="CA87" s="81">
        <v>2</v>
      </c>
      <c r="CB87" s="81">
        <v>2</v>
      </c>
      <c r="CC87" s="81">
        <v>2</v>
      </c>
      <c r="CD87" s="81">
        <v>2</v>
      </c>
      <c r="CE87" s="81">
        <v>2</v>
      </c>
      <c r="CF87" s="81">
        <v>2</v>
      </c>
      <c r="CG87" s="81">
        <v>2</v>
      </c>
      <c r="CH87" s="81">
        <v>0</v>
      </c>
      <c r="CI87" s="81">
        <v>1</v>
      </c>
      <c r="CJ87" s="81">
        <v>1</v>
      </c>
      <c r="CK87" s="81">
        <v>2</v>
      </c>
      <c r="CL87" s="81">
        <v>1</v>
      </c>
      <c r="CM87" s="81">
        <v>1</v>
      </c>
      <c r="CN87" s="81">
        <v>1</v>
      </c>
      <c r="CO87" s="81" t="s">
        <v>646</v>
      </c>
    </row>
    <row r="88" spans="1:93" ht="11.55" customHeight="1" x14ac:dyDescent="0.3">
      <c r="A88" s="81" t="s">
        <v>680</v>
      </c>
      <c r="B88" s="81" t="s">
        <v>681</v>
      </c>
      <c r="C88" s="81" t="s">
        <v>397</v>
      </c>
      <c r="D88" s="94">
        <v>20</v>
      </c>
      <c r="E88" s="81">
        <v>0</v>
      </c>
      <c r="F88" s="81">
        <v>0</v>
      </c>
      <c r="G88" s="81">
        <v>0</v>
      </c>
      <c r="H88" s="81">
        <v>0</v>
      </c>
      <c r="I88" s="81">
        <v>1</v>
      </c>
      <c r="J88" s="81">
        <v>0</v>
      </c>
      <c r="K88" s="81">
        <v>0</v>
      </c>
      <c r="L88" s="81">
        <v>0</v>
      </c>
      <c r="M88" s="81">
        <v>1</v>
      </c>
      <c r="N88" s="81">
        <v>0</v>
      </c>
      <c r="O88" s="81">
        <v>1</v>
      </c>
      <c r="P88" s="81">
        <v>0</v>
      </c>
      <c r="Q88" s="81">
        <v>0</v>
      </c>
      <c r="R88" s="81">
        <v>0</v>
      </c>
      <c r="S88" s="81">
        <v>0</v>
      </c>
      <c r="T88" s="81">
        <v>0</v>
      </c>
      <c r="U88" s="81">
        <v>0</v>
      </c>
      <c r="V88" s="81">
        <v>0</v>
      </c>
      <c r="W88" s="81">
        <v>0</v>
      </c>
      <c r="X88" s="81">
        <v>0</v>
      </c>
      <c r="Y88" s="81">
        <v>0</v>
      </c>
      <c r="Z88" s="81">
        <v>1</v>
      </c>
      <c r="AA88" s="81">
        <v>0</v>
      </c>
      <c r="AB88" s="81">
        <v>0</v>
      </c>
      <c r="AC88" s="81">
        <v>0</v>
      </c>
      <c r="AD88" s="81">
        <v>0</v>
      </c>
      <c r="AE88" s="81">
        <v>1</v>
      </c>
      <c r="AF88" s="81">
        <v>0</v>
      </c>
      <c r="AG88" s="81">
        <v>0</v>
      </c>
      <c r="AH88" s="81">
        <v>1</v>
      </c>
      <c r="AI88" s="81">
        <v>0</v>
      </c>
      <c r="AJ88" s="81">
        <v>0</v>
      </c>
      <c r="AK88" s="81">
        <v>0</v>
      </c>
      <c r="AL88" s="81">
        <v>1</v>
      </c>
      <c r="AM88" s="81">
        <v>1</v>
      </c>
      <c r="AN88" s="81">
        <v>0</v>
      </c>
      <c r="AO88" s="81">
        <v>0</v>
      </c>
      <c r="AP88" s="81">
        <v>0</v>
      </c>
      <c r="AQ88" s="81">
        <v>0</v>
      </c>
      <c r="AR88" s="81">
        <v>1</v>
      </c>
      <c r="AS88" s="81">
        <v>0</v>
      </c>
      <c r="AT88" s="81">
        <v>1</v>
      </c>
      <c r="AU88" s="81">
        <v>0</v>
      </c>
      <c r="AV88" s="81">
        <v>0</v>
      </c>
      <c r="AW88" s="81">
        <v>1</v>
      </c>
      <c r="AX88" s="81">
        <v>0</v>
      </c>
      <c r="AY88" s="81">
        <v>1</v>
      </c>
      <c r="AZ88" s="81">
        <v>0</v>
      </c>
      <c r="BA88" s="81">
        <v>0</v>
      </c>
      <c r="BB88" s="81">
        <v>2</v>
      </c>
      <c r="BC88" s="81">
        <v>1</v>
      </c>
      <c r="BD88" s="81">
        <v>1</v>
      </c>
      <c r="BE88" s="81">
        <v>2</v>
      </c>
      <c r="BF88" s="81">
        <v>2</v>
      </c>
      <c r="BG88" s="81">
        <v>2</v>
      </c>
      <c r="BH88" s="81">
        <v>1</v>
      </c>
      <c r="BI88" s="81">
        <v>1</v>
      </c>
      <c r="BJ88" s="81">
        <v>2</v>
      </c>
      <c r="BK88" s="81">
        <v>2</v>
      </c>
      <c r="BL88" s="81">
        <v>2</v>
      </c>
      <c r="BM88" s="81">
        <v>2</v>
      </c>
      <c r="BN88" s="81">
        <v>2</v>
      </c>
      <c r="BO88" s="81">
        <v>2</v>
      </c>
      <c r="BP88" s="81">
        <v>2</v>
      </c>
      <c r="BQ88" s="81">
        <v>2</v>
      </c>
      <c r="BR88" s="81">
        <v>2</v>
      </c>
      <c r="BS88" s="81">
        <v>2</v>
      </c>
      <c r="BT88" s="81">
        <v>2</v>
      </c>
      <c r="BU88" s="81">
        <v>2</v>
      </c>
      <c r="BV88" s="81">
        <v>2</v>
      </c>
      <c r="BW88" s="81">
        <v>2</v>
      </c>
      <c r="BX88" s="81">
        <v>2</v>
      </c>
      <c r="BY88" s="81">
        <v>2</v>
      </c>
      <c r="BZ88" s="81">
        <v>2</v>
      </c>
      <c r="CA88" s="81">
        <v>2</v>
      </c>
      <c r="CB88" s="81">
        <v>2</v>
      </c>
      <c r="CC88" s="81">
        <v>2</v>
      </c>
      <c r="CD88" s="81">
        <v>2</v>
      </c>
      <c r="CE88" s="81">
        <v>2</v>
      </c>
      <c r="CF88" s="81">
        <v>2</v>
      </c>
      <c r="CG88" s="81">
        <v>2</v>
      </c>
      <c r="CH88" s="81">
        <v>0</v>
      </c>
      <c r="CI88" s="81">
        <v>1</v>
      </c>
      <c r="CJ88" s="81">
        <v>1</v>
      </c>
      <c r="CK88" s="81">
        <v>2</v>
      </c>
      <c r="CL88" s="81">
        <v>1</v>
      </c>
      <c r="CM88" s="81">
        <v>1</v>
      </c>
      <c r="CN88" s="81">
        <v>1</v>
      </c>
      <c r="CO88" s="81" t="s">
        <v>646</v>
      </c>
    </row>
    <row r="89" spans="1:93" ht="11.55" customHeight="1" x14ac:dyDescent="0.3">
      <c r="A89" s="81" t="s">
        <v>682</v>
      </c>
      <c r="B89" s="81" t="s">
        <v>683</v>
      </c>
      <c r="C89" s="81" t="s">
        <v>397</v>
      </c>
      <c r="D89" s="94">
        <v>20</v>
      </c>
      <c r="E89" s="81">
        <v>0</v>
      </c>
      <c r="F89" s="81">
        <v>0</v>
      </c>
      <c r="G89" s="81">
        <v>0</v>
      </c>
      <c r="H89" s="81">
        <v>0</v>
      </c>
      <c r="I89" s="81">
        <v>1</v>
      </c>
      <c r="J89" s="81">
        <v>0</v>
      </c>
      <c r="K89" s="81">
        <v>0</v>
      </c>
      <c r="L89" s="81">
        <v>0</v>
      </c>
      <c r="M89" s="81">
        <v>1</v>
      </c>
      <c r="N89" s="81">
        <v>0</v>
      </c>
      <c r="O89" s="81">
        <v>1</v>
      </c>
      <c r="P89" s="81">
        <v>0</v>
      </c>
      <c r="Q89" s="81">
        <v>0</v>
      </c>
      <c r="R89" s="81">
        <v>0</v>
      </c>
      <c r="S89" s="81">
        <v>0</v>
      </c>
      <c r="T89" s="81">
        <v>0</v>
      </c>
      <c r="U89" s="81">
        <v>0</v>
      </c>
      <c r="V89" s="81">
        <v>0</v>
      </c>
      <c r="W89" s="81">
        <v>0</v>
      </c>
      <c r="X89" s="81">
        <v>0</v>
      </c>
      <c r="Y89" s="81">
        <v>0</v>
      </c>
      <c r="Z89" s="81">
        <v>1</v>
      </c>
      <c r="AA89" s="81">
        <v>0</v>
      </c>
      <c r="AB89" s="81">
        <v>0</v>
      </c>
      <c r="AC89" s="81">
        <v>0</v>
      </c>
      <c r="AD89" s="81">
        <v>0</v>
      </c>
      <c r="AE89" s="81">
        <v>1</v>
      </c>
      <c r="AF89" s="81">
        <v>0</v>
      </c>
      <c r="AG89" s="81">
        <v>0</v>
      </c>
      <c r="AH89" s="81">
        <v>1</v>
      </c>
      <c r="AI89" s="81">
        <v>0</v>
      </c>
      <c r="AJ89" s="81">
        <v>0</v>
      </c>
      <c r="AK89" s="81">
        <v>0</v>
      </c>
      <c r="AL89" s="81">
        <v>1</v>
      </c>
      <c r="AM89" s="81">
        <v>1</v>
      </c>
      <c r="AN89" s="81">
        <v>0</v>
      </c>
      <c r="AO89" s="81">
        <v>0</v>
      </c>
      <c r="AP89" s="81">
        <v>0</v>
      </c>
      <c r="AQ89" s="81">
        <v>0</v>
      </c>
      <c r="AR89" s="81">
        <v>1</v>
      </c>
      <c r="AS89" s="81">
        <v>0</v>
      </c>
      <c r="AT89" s="81">
        <v>1</v>
      </c>
      <c r="AU89" s="81">
        <v>0</v>
      </c>
      <c r="AV89" s="81">
        <v>0</v>
      </c>
      <c r="AW89" s="81">
        <v>1</v>
      </c>
      <c r="AX89" s="81">
        <v>0</v>
      </c>
      <c r="AY89" s="81">
        <v>1</v>
      </c>
      <c r="AZ89" s="81">
        <v>0</v>
      </c>
      <c r="BA89" s="81">
        <v>0</v>
      </c>
      <c r="BB89" s="81">
        <v>2</v>
      </c>
      <c r="BC89" s="81">
        <v>1</v>
      </c>
      <c r="BD89" s="81">
        <v>1</v>
      </c>
      <c r="BE89" s="81">
        <v>2</v>
      </c>
      <c r="BF89" s="81">
        <v>2</v>
      </c>
      <c r="BG89" s="81">
        <v>2</v>
      </c>
      <c r="BH89" s="81">
        <v>1</v>
      </c>
      <c r="BI89" s="81">
        <v>1</v>
      </c>
      <c r="BJ89" s="81">
        <v>2</v>
      </c>
      <c r="BK89" s="81">
        <v>2</v>
      </c>
      <c r="BL89" s="81">
        <v>2</v>
      </c>
      <c r="BM89" s="81">
        <v>2</v>
      </c>
      <c r="BN89" s="81">
        <v>2</v>
      </c>
      <c r="BO89" s="81">
        <v>2</v>
      </c>
      <c r="BP89" s="81">
        <v>2</v>
      </c>
      <c r="BQ89" s="81">
        <v>2</v>
      </c>
      <c r="BR89" s="81">
        <v>2</v>
      </c>
      <c r="BS89" s="81">
        <v>2</v>
      </c>
      <c r="BT89" s="81">
        <v>2</v>
      </c>
      <c r="BU89" s="81">
        <v>2</v>
      </c>
      <c r="BV89" s="81">
        <v>2</v>
      </c>
      <c r="BW89" s="81">
        <v>2</v>
      </c>
      <c r="BX89" s="81">
        <v>2</v>
      </c>
      <c r="BY89" s="81">
        <v>2</v>
      </c>
      <c r="BZ89" s="81">
        <v>2</v>
      </c>
      <c r="CA89" s="81">
        <v>2</v>
      </c>
      <c r="CB89" s="81">
        <v>2</v>
      </c>
      <c r="CC89" s="81">
        <v>2</v>
      </c>
      <c r="CD89" s="81">
        <v>2</v>
      </c>
      <c r="CE89" s="81">
        <v>2</v>
      </c>
      <c r="CF89" s="81">
        <v>2</v>
      </c>
      <c r="CG89" s="81">
        <v>2</v>
      </c>
      <c r="CH89" s="81">
        <v>0</v>
      </c>
      <c r="CI89" s="81">
        <v>1</v>
      </c>
      <c r="CJ89" s="81">
        <v>1</v>
      </c>
      <c r="CK89" s="81">
        <v>2</v>
      </c>
      <c r="CL89" s="81">
        <v>1</v>
      </c>
      <c r="CM89" s="81">
        <v>1</v>
      </c>
      <c r="CN89" s="81">
        <v>1</v>
      </c>
      <c r="CO89" s="81" t="s">
        <v>646</v>
      </c>
    </row>
    <row r="90" spans="1:93" ht="11.55" customHeight="1" x14ac:dyDescent="0.3">
      <c r="A90" s="81" t="s">
        <v>684</v>
      </c>
      <c r="B90" s="81" t="s">
        <v>685</v>
      </c>
      <c r="C90" s="81" t="s">
        <v>397</v>
      </c>
      <c r="D90" s="94">
        <v>20</v>
      </c>
      <c r="E90" s="81">
        <v>0</v>
      </c>
      <c r="F90" s="81">
        <v>0</v>
      </c>
      <c r="G90" s="81">
        <v>0</v>
      </c>
      <c r="H90" s="81">
        <v>0</v>
      </c>
      <c r="I90" s="81">
        <v>1</v>
      </c>
      <c r="J90" s="81">
        <v>0</v>
      </c>
      <c r="K90" s="81">
        <v>0</v>
      </c>
      <c r="L90" s="81">
        <v>0</v>
      </c>
      <c r="M90" s="81">
        <v>1</v>
      </c>
      <c r="N90" s="81">
        <v>0</v>
      </c>
      <c r="O90" s="81">
        <v>1</v>
      </c>
      <c r="P90" s="81">
        <v>0</v>
      </c>
      <c r="Q90" s="81">
        <v>0</v>
      </c>
      <c r="R90" s="81">
        <v>0</v>
      </c>
      <c r="S90" s="81">
        <v>0</v>
      </c>
      <c r="T90" s="81">
        <v>0</v>
      </c>
      <c r="U90" s="81">
        <v>0</v>
      </c>
      <c r="V90" s="81">
        <v>0</v>
      </c>
      <c r="W90" s="81">
        <v>0</v>
      </c>
      <c r="X90" s="81">
        <v>0</v>
      </c>
      <c r="Y90" s="81">
        <v>0</v>
      </c>
      <c r="Z90" s="81">
        <v>1</v>
      </c>
      <c r="AA90" s="81">
        <v>0</v>
      </c>
      <c r="AB90" s="81">
        <v>0</v>
      </c>
      <c r="AC90" s="81">
        <v>0</v>
      </c>
      <c r="AD90" s="81">
        <v>0</v>
      </c>
      <c r="AE90" s="81">
        <v>1</v>
      </c>
      <c r="AF90" s="81">
        <v>0</v>
      </c>
      <c r="AG90" s="81">
        <v>0</v>
      </c>
      <c r="AH90" s="81">
        <v>1</v>
      </c>
      <c r="AI90" s="81">
        <v>0</v>
      </c>
      <c r="AJ90" s="81">
        <v>0</v>
      </c>
      <c r="AK90" s="81">
        <v>0</v>
      </c>
      <c r="AL90" s="81">
        <v>1</v>
      </c>
      <c r="AM90" s="81">
        <v>1</v>
      </c>
      <c r="AN90" s="81">
        <v>0</v>
      </c>
      <c r="AO90" s="81">
        <v>0</v>
      </c>
      <c r="AP90" s="81">
        <v>0</v>
      </c>
      <c r="AQ90" s="81">
        <v>0</v>
      </c>
      <c r="AR90" s="81">
        <v>1</v>
      </c>
      <c r="AS90" s="81">
        <v>0</v>
      </c>
      <c r="AT90" s="81">
        <v>1</v>
      </c>
      <c r="AU90" s="81">
        <v>0</v>
      </c>
      <c r="AV90" s="81">
        <v>0</v>
      </c>
      <c r="AW90" s="81">
        <v>1</v>
      </c>
      <c r="AX90" s="81">
        <v>0</v>
      </c>
      <c r="AY90" s="81">
        <v>1</v>
      </c>
      <c r="AZ90" s="81">
        <v>0</v>
      </c>
      <c r="BA90" s="81">
        <v>0</v>
      </c>
      <c r="BB90" s="81">
        <v>2</v>
      </c>
      <c r="BC90" s="81">
        <v>1</v>
      </c>
      <c r="BD90" s="81">
        <v>1</v>
      </c>
      <c r="BE90" s="81">
        <v>2</v>
      </c>
      <c r="BF90" s="81">
        <v>2</v>
      </c>
      <c r="BG90" s="81">
        <v>2</v>
      </c>
      <c r="BH90" s="81">
        <v>1</v>
      </c>
      <c r="BI90" s="81">
        <v>1</v>
      </c>
      <c r="BJ90" s="81">
        <v>2</v>
      </c>
      <c r="BK90" s="81">
        <v>2</v>
      </c>
      <c r="BL90" s="81">
        <v>2</v>
      </c>
      <c r="BM90" s="81">
        <v>2</v>
      </c>
      <c r="BN90" s="81">
        <v>2</v>
      </c>
      <c r="BO90" s="81">
        <v>2</v>
      </c>
      <c r="BP90" s="81">
        <v>2</v>
      </c>
      <c r="BQ90" s="81">
        <v>2</v>
      </c>
      <c r="BR90" s="81">
        <v>2</v>
      </c>
      <c r="BS90" s="81">
        <v>2</v>
      </c>
      <c r="BT90" s="81">
        <v>2</v>
      </c>
      <c r="BU90" s="81">
        <v>2</v>
      </c>
      <c r="BV90" s="81">
        <v>2</v>
      </c>
      <c r="BW90" s="81">
        <v>2</v>
      </c>
      <c r="BX90" s="81">
        <v>2</v>
      </c>
      <c r="BY90" s="81">
        <v>2</v>
      </c>
      <c r="BZ90" s="81">
        <v>2</v>
      </c>
      <c r="CA90" s="81">
        <v>2</v>
      </c>
      <c r="CB90" s="81">
        <v>2</v>
      </c>
      <c r="CC90" s="81">
        <v>2</v>
      </c>
      <c r="CD90" s="81">
        <v>2</v>
      </c>
      <c r="CE90" s="81">
        <v>2</v>
      </c>
      <c r="CF90" s="81">
        <v>2</v>
      </c>
      <c r="CG90" s="81">
        <v>2</v>
      </c>
      <c r="CH90" s="81">
        <v>0</v>
      </c>
      <c r="CI90" s="81">
        <v>1</v>
      </c>
      <c r="CJ90" s="81">
        <v>1</v>
      </c>
      <c r="CK90" s="81">
        <v>2</v>
      </c>
      <c r="CL90" s="81">
        <v>1</v>
      </c>
      <c r="CM90" s="81">
        <v>1</v>
      </c>
      <c r="CN90" s="81">
        <v>1</v>
      </c>
      <c r="CO90" s="81" t="s">
        <v>646</v>
      </c>
    </row>
    <row r="91" spans="1:93" ht="11.55" customHeight="1" x14ac:dyDescent="0.3">
      <c r="A91" s="81" t="s">
        <v>686</v>
      </c>
      <c r="B91" s="81" t="s">
        <v>687</v>
      </c>
      <c r="C91" s="81" t="s">
        <v>397</v>
      </c>
      <c r="D91" s="94">
        <v>20</v>
      </c>
      <c r="E91" s="81">
        <v>0</v>
      </c>
      <c r="F91" s="81">
        <v>0</v>
      </c>
      <c r="G91" s="81">
        <v>0</v>
      </c>
      <c r="H91" s="81">
        <v>0</v>
      </c>
      <c r="I91" s="81">
        <v>1</v>
      </c>
      <c r="J91" s="81">
        <v>0</v>
      </c>
      <c r="K91" s="81">
        <v>0</v>
      </c>
      <c r="L91" s="81">
        <v>0</v>
      </c>
      <c r="M91" s="81">
        <v>1</v>
      </c>
      <c r="N91" s="81">
        <v>0</v>
      </c>
      <c r="O91" s="81">
        <v>1</v>
      </c>
      <c r="P91" s="81">
        <v>0</v>
      </c>
      <c r="Q91" s="81">
        <v>0</v>
      </c>
      <c r="R91" s="81">
        <v>0</v>
      </c>
      <c r="S91" s="81">
        <v>0</v>
      </c>
      <c r="T91" s="81">
        <v>0</v>
      </c>
      <c r="U91" s="81">
        <v>0</v>
      </c>
      <c r="V91" s="81">
        <v>0</v>
      </c>
      <c r="W91" s="81">
        <v>0</v>
      </c>
      <c r="X91" s="81">
        <v>0</v>
      </c>
      <c r="Y91" s="81">
        <v>0</v>
      </c>
      <c r="Z91" s="81">
        <v>1</v>
      </c>
      <c r="AA91" s="81">
        <v>0</v>
      </c>
      <c r="AB91" s="81">
        <v>0</v>
      </c>
      <c r="AC91" s="81">
        <v>0</v>
      </c>
      <c r="AD91" s="81">
        <v>0</v>
      </c>
      <c r="AE91" s="81">
        <v>1</v>
      </c>
      <c r="AF91" s="81">
        <v>0</v>
      </c>
      <c r="AG91" s="81">
        <v>0</v>
      </c>
      <c r="AH91" s="81">
        <v>1</v>
      </c>
      <c r="AI91" s="81">
        <v>0</v>
      </c>
      <c r="AJ91" s="81">
        <v>0</v>
      </c>
      <c r="AK91" s="81">
        <v>0</v>
      </c>
      <c r="AL91" s="81">
        <v>1</v>
      </c>
      <c r="AM91" s="81">
        <v>1</v>
      </c>
      <c r="AN91" s="81">
        <v>0</v>
      </c>
      <c r="AO91" s="81">
        <v>0</v>
      </c>
      <c r="AP91" s="81">
        <v>0</v>
      </c>
      <c r="AQ91" s="81">
        <v>0</v>
      </c>
      <c r="AR91" s="81">
        <v>1</v>
      </c>
      <c r="AS91" s="81">
        <v>0</v>
      </c>
      <c r="AT91" s="81">
        <v>1</v>
      </c>
      <c r="AU91" s="81">
        <v>0</v>
      </c>
      <c r="AV91" s="81">
        <v>0</v>
      </c>
      <c r="AW91" s="81">
        <v>1</v>
      </c>
      <c r="AX91" s="81">
        <v>0</v>
      </c>
      <c r="AY91" s="81">
        <v>1</v>
      </c>
      <c r="AZ91" s="81">
        <v>0</v>
      </c>
      <c r="BA91" s="81">
        <v>0</v>
      </c>
      <c r="BB91" s="81">
        <v>2</v>
      </c>
      <c r="BC91" s="81">
        <v>1</v>
      </c>
      <c r="BD91" s="81">
        <v>1</v>
      </c>
      <c r="BE91" s="81">
        <v>2</v>
      </c>
      <c r="BF91" s="81">
        <v>2</v>
      </c>
      <c r="BG91" s="81">
        <v>2</v>
      </c>
      <c r="BH91" s="81">
        <v>1</v>
      </c>
      <c r="BI91" s="81">
        <v>1</v>
      </c>
      <c r="BJ91" s="81">
        <v>2</v>
      </c>
      <c r="BK91" s="81">
        <v>2</v>
      </c>
      <c r="BL91" s="81">
        <v>2</v>
      </c>
      <c r="BM91" s="81">
        <v>2</v>
      </c>
      <c r="BN91" s="81">
        <v>2</v>
      </c>
      <c r="BO91" s="81">
        <v>2</v>
      </c>
      <c r="BP91" s="81">
        <v>2</v>
      </c>
      <c r="BQ91" s="81">
        <v>2</v>
      </c>
      <c r="BR91" s="81">
        <v>2</v>
      </c>
      <c r="BS91" s="81">
        <v>2</v>
      </c>
      <c r="BT91" s="81">
        <v>2</v>
      </c>
      <c r="BU91" s="81">
        <v>2</v>
      </c>
      <c r="BV91" s="81">
        <v>2</v>
      </c>
      <c r="BW91" s="81">
        <v>2</v>
      </c>
      <c r="BX91" s="81">
        <v>2</v>
      </c>
      <c r="BY91" s="81">
        <v>2</v>
      </c>
      <c r="BZ91" s="81">
        <v>2</v>
      </c>
      <c r="CA91" s="81">
        <v>2</v>
      </c>
      <c r="CB91" s="81">
        <v>2</v>
      </c>
      <c r="CC91" s="81">
        <v>2</v>
      </c>
      <c r="CD91" s="81">
        <v>2</v>
      </c>
      <c r="CE91" s="81">
        <v>2</v>
      </c>
      <c r="CF91" s="81">
        <v>2</v>
      </c>
      <c r="CG91" s="81">
        <v>2</v>
      </c>
      <c r="CH91" s="81">
        <v>0</v>
      </c>
      <c r="CI91" s="81">
        <v>1</v>
      </c>
      <c r="CJ91" s="81">
        <v>1</v>
      </c>
      <c r="CK91" s="81">
        <v>2</v>
      </c>
      <c r="CL91" s="81">
        <v>1</v>
      </c>
      <c r="CM91" s="81">
        <v>1</v>
      </c>
      <c r="CN91" s="81">
        <v>1</v>
      </c>
      <c r="CO91" s="81" t="s">
        <v>646</v>
      </c>
    </row>
    <row r="92" spans="1:93" ht="11.55" customHeight="1" x14ac:dyDescent="0.3">
      <c r="A92" s="81" t="s">
        <v>688</v>
      </c>
      <c r="B92" s="81" t="s">
        <v>689</v>
      </c>
      <c r="C92" s="81" t="s">
        <v>397</v>
      </c>
      <c r="D92" s="94">
        <v>20</v>
      </c>
      <c r="E92" s="81">
        <v>0</v>
      </c>
      <c r="F92" s="81">
        <v>0</v>
      </c>
      <c r="G92" s="81">
        <v>0</v>
      </c>
      <c r="H92" s="81">
        <v>1</v>
      </c>
      <c r="I92" s="81">
        <v>0</v>
      </c>
      <c r="J92" s="81">
        <v>1</v>
      </c>
      <c r="K92" s="81">
        <v>0</v>
      </c>
      <c r="L92" s="81">
        <v>0</v>
      </c>
      <c r="M92" s="81">
        <v>0</v>
      </c>
      <c r="N92" s="81">
        <v>1</v>
      </c>
      <c r="O92" s="81">
        <v>0</v>
      </c>
      <c r="P92" s="81">
        <v>0</v>
      </c>
      <c r="Q92" s="81">
        <v>0</v>
      </c>
      <c r="R92" s="81">
        <v>0</v>
      </c>
      <c r="S92" s="81">
        <v>0</v>
      </c>
      <c r="T92" s="81">
        <v>1</v>
      </c>
      <c r="U92" s="81">
        <v>0</v>
      </c>
      <c r="V92" s="81">
        <v>0</v>
      </c>
      <c r="W92" s="81">
        <v>0</v>
      </c>
      <c r="X92" s="81">
        <v>0</v>
      </c>
      <c r="Y92" s="81">
        <v>0</v>
      </c>
      <c r="Z92" s="81">
        <v>1</v>
      </c>
      <c r="AA92" s="81">
        <v>0</v>
      </c>
      <c r="AB92" s="81">
        <v>0</v>
      </c>
      <c r="AC92" s="81">
        <v>0</v>
      </c>
      <c r="AD92" s="81">
        <v>0</v>
      </c>
      <c r="AE92" s="81">
        <v>0</v>
      </c>
      <c r="AF92" s="81">
        <v>0</v>
      </c>
      <c r="AG92" s="81">
        <v>0</v>
      </c>
      <c r="AH92" s="81">
        <v>0</v>
      </c>
      <c r="AI92" s="81">
        <v>0</v>
      </c>
      <c r="AJ92" s="81">
        <v>0</v>
      </c>
      <c r="AK92" s="81">
        <v>0</v>
      </c>
      <c r="AL92" s="81">
        <v>1</v>
      </c>
      <c r="AM92" s="81">
        <v>0</v>
      </c>
      <c r="AN92" s="81">
        <v>0</v>
      </c>
      <c r="AO92" s="81">
        <v>1</v>
      </c>
      <c r="AP92" s="81">
        <v>0</v>
      </c>
      <c r="AQ92" s="81">
        <v>0</v>
      </c>
      <c r="AR92" s="81">
        <v>0</v>
      </c>
      <c r="AS92" s="81">
        <v>0</v>
      </c>
      <c r="AT92" s="81">
        <v>1</v>
      </c>
      <c r="AU92" s="81">
        <v>0</v>
      </c>
      <c r="AV92" s="81">
        <v>0</v>
      </c>
      <c r="AW92" s="81">
        <v>1</v>
      </c>
      <c r="AX92" s="81">
        <v>0</v>
      </c>
      <c r="AY92" s="81">
        <v>0</v>
      </c>
      <c r="AZ92" s="81">
        <v>0</v>
      </c>
      <c r="BA92" s="81">
        <v>0</v>
      </c>
      <c r="BB92" s="81">
        <v>2</v>
      </c>
      <c r="BC92" s="81">
        <v>2</v>
      </c>
      <c r="BD92" s="81">
        <v>1</v>
      </c>
      <c r="BE92" s="81">
        <v>2</v>
      </c>
      <c r="BF92" s="81">
        <v>2</v>
      </c>
      <c r="BG92" s="81">
        <v>2</v>
      </c>
      <c r="BH92" s="81">
        <v>1</v>
      </c>
      <c r="BI92" s="81">
        <v>1</v>
      </c>
      <c r="BJ92" s="81">
        <v>2</v>
      </c>
      <c r="BK92" s="81">
        <v>2</v>
      </c>
      <c r="BL92" s="81">
        <v>2</v>
      </c>
      <c r="BM92" s="81">
        <v>1</v>
      </c>
      <c r="BN92" s="81">
        <v>2</v>
      </c>
      <c r="BO92" s="81">
        <v>2</v>
      </c>
      <c r="BP92" s="81">
        <v>2</v>
      </c>
      <c r="BQ92" s="81">
        <v>2</v>
      </c>
      <c r="BR92" s="81">
        <v>2</v>
      </c>
      <c r="BS92" s="81">
        <v>1</v>
      </c>
      <c r="BT92" s="81">
        <v>2</v>
      </c>
      <c r="BU92" s="81">
        <v>0</v>
      </c>
      <c r="BV92" s="81">
        <v>1</v>
      </c>
      <c r="BW92" s="81">
        <v>0</v>
      </c>
      <c r="BX92" s="81">
        <v>1</v>
      </c>
      <c r="BY92" s="81">
        <v>0</v>
      </c>
      <c r="BZ92" s="81">
        <v>0</v>
      </c>
      <c r="CA92" s="81">
        <v>0</v>
      </c>
      <c r="CB92" s="81">
        <v>2</v>
      </c>
      <c r="CC92" s="81">
        <v>2</v>
      </c>
      <c r="CD92" s="81">
        <v>2</v>
      </c>
      <c r="CE92" s="81">
        <v>2</v>
      </c>
      <c r="CF92" s="81">
        <v>2</v>
      </c>
      <c r="CG92" s="81">
        <v>2</v>
      </c>
      <c r="CH92" s="81">
        <v>0</v>
      </c>
      <c r="CI92" s="81">
        <v>1</v>
      </c>
      <c r="CJ92" s="81">
        <v>0</v>
      </c>
      <c r="CK92" s="81">
        <v>1</v>
      </c>
      <c r="CL92" s="81">
        <v>1</v>
      </c>
      <c r="CM92" s="81">
        <v>0</v>
      </c>
      <c r="CN92" s="81">
        <v>1</v>
      </c>
      <c r="CO92" s="81" t="s">
        <v>690</v>
      </c>
    </row>
    <row r="93" spans="1:93" ht="11.55" customHeight="1" x14ac:dyDescent="0.3">
      <c r="A93" s="81" t="s">
        <v>691</v>
      </c>
      <c r="B93" s="81" t="s">
        <v>692</v>
      </c>
      <c r="C93" s="81" t="s">
        <v>397</v>
      </c>
      <c r="D93" s="94">
        <v>20</v>
      </c>
      <c r="E93" s="81">
        <v>0</v>
      </c>
      <c r="F93" s="81">
        <v>0</v>
      </c>
      <c r="G93" s="81">
        <v>0</v>
      </c>
      <c r="H93" s="81">
        <v>1</v>
      </c>
      <c r="I93" s="81">
        <v>0</v>
      </c>
      <c r="J93" s="81">
        <v>1</v>
      </c>
      <c r="K93" s="81">
        <v>0</v>
      </c>
      <c r="L93" s="81">
        <v>0</v>
      </c>
      <c r="M93" s="81">
        <v>0</v>
      </c>
      <c r="N93" s="81">
        <v>1</v>
      </c>
      <c r="O93" s="81">
        <v>0</v>
      </c>
      <c r="P93" s="81">
        <v>0</v>
      </c>
      <c r="Q93" s="81">
        <v>0</v>
      </c>
      <c r="R93" s="81">
        <v>0</v>
      </c>
      <c r="S93" s="81">
        <v>0</v>
      </c>
      <c r="T93" s="81">
        <v>1</v>
      </c>
      <c r="U93" s="81">
        <v>0</v>
      </c>
      <c r="V93" s="81">
        <v>0</v>
      </c>
      <c r="W93" s="81">
        <v>0</v>
      </c>
      <c r="X93" s="81">
        <v>0</v>
      </c>
      <c r="Y93" s="81">
        <v>0</v>
      </c>
      <c r="Z93" s="81">
        <v>1</v>
      </c>
      <c r="AA93" s="81">
        <v>0</v>
      </c>
      <c r="AB93" s="81">
        <v>0</v>
      </c>
      <c r="AC93" s="81">
        <v>0</v>
      </c>
      <c r="AD93" s="81">
        <v>0</v>
      </c>
      <c r="AE93" s="81">
        <v>0</v>
      </c>
      <c r="AF93" s="81">
        <v>0</v>
      </c>
      <c r="AG93" s="81">
        <v>0</v>
      </c>
      <c r="AH93" s="81">
        <v>0</v>
      </c>
      <c r="AI93" s="81">
        <v>0</v>
      </c>
      <c r="AJ93" s="81">
        <v>0</v>
      </c>
      <c r="AK93" s="81">
        <v>0</v>
      </c>
      <c r="AL93" s="81">
        <v>1</v>
      </c>
      <c r="AM93" s="81">
        <v>0</v>
      </c>
      <c r="AN93" s="81">
        <v>0</v>
      </c>
      <c r="AO93" s="81">
        <v>1</v>
      </c>
      <c r="AP93" s="81">
        <v>0</v>
      </c>
      <c r="AQ93" s="81">
        <v>0</v>
      </c>
      <c r="AR93" s="81">
        <v>0</v>
      </c>
      <c r="AS93" s="81">
        <v>0</v>
      </c>
      <c r="AT93" s="81">
        <v>1</v>
      </c>
      <c r="AU93" s="81">
        <v>0</v>
      </c>
      <c r="AV93" s="81">
        <v>0</v>
      </c>
      <c r="AW93" s="81">
        <v>1</v>
      </c>
      <c r="AX93" s="81">
        <v>0</v>
      </c>
      <c r="AY93" s="81">
        <v>0</v>
      </c>
      <c r="AZ93" s="81">
        <v>0</v>
      </c>
      <c r="BA93" s="81">
        <v>0</v>
      </c>
      <c r="BB93" s="81">
        <v>2</v>
      </c>
      <c r="BC93" s="81">
        <v>2</v>
      </c>
      <c r="BD93" s="81">
        <v>1</v>
      </c>
      <c r="BE93" s="81">
        <v>2</v>
      </c>
      <c r="BF93" s="81">
        <v>2</v>
      </c>
      <c r="BG93" s="81">
        <v>2</v>
      </c>
      <c r="BH93" s="81">
        <v>1</v>
      </c>
      <c r="BI93" s="81">
        <v>1</v>
      </c>
      <c r="BJ93" s="81">
        <v>2</v>
      </c>
      <c r="BK93" s="81">
        <v>2</v>
      </c>
      <c r="BL93" s="81">
        <v>2</v>
      </c>
      <c r="BM93" s="81">
        <v>1</v>
      </c>
      <c r="BN93" s="81">
        <v>2</v>
      </c>
      <c r="BO93" s="81">
        <v>2</v>
      </c>
      <c r="BP93" s="81">
        <v>2</v>
      </c>
      <c r="BQ93" s="81">
        <v>2</v>
      </c>
      <c r="BR93" s="81">
        <v>2</v>
      </c>
      <c r="BS93" s="81">
        <v>1</v>
      </c>
      <c r="BT93" s="81">
        <v>2</v>
      </c>
      <c r="BU93" s="81">
        <v>0</v>
      </c>
      <c r="BV93" s="81">
        <v>1</v>
      </c>
      <c r="BW93" s="81">
        <v>0</v>
      </c>
      <c r="BX93" s="81">
        <v>1</v>
      </c>
      <c r="BY93" s="81">
        <v>0</v>
      </c>
      <c r="BZ93" s="81">
        <v>0</v>
      </c>
      <c r="CA93" s="81">
        <v>0</v>
      </c>
      <c r="CB93" s="81">
        <v>2</v>
      </c>
      <c r="CC93" s="81">
        <v>2</v>
      </c>
      <c r="CD93" s="81">
        <v>2</v>
      </c>
      <c r="CE93" s="81">
        <v>2</v>
      </c>
      <c r="CF93" s="81">
        <v>2</v>
      </c>
      <c r="CG93" s="81">
        <v>2</v>
      </c>
      <c r="CH93" s="81">
        <v>0</v>
      </c>
      <c r="CI93" s="81">
        <v>1</v>
      </c>
      <c r="CJ93" s="81">
        <v>0</v>
      </c>
      <c r="CK93" s="81">
        <v>1</v>
      </c>
      <c r="CL93" s="81">
        <v>1</v>
      </c>
      <c r="CM93" s="81">
        <v>0</v>
      </c>
      <c r="CN93" s="81">
        <v>1</v>
      </c>
      <c r="CO93" s="81" t="s">
        <v>690</v>
      </c>
    </row>
    <row r="94" spans="1:93" ht="11.55" customHeight="1" x14ac:dyDescent="0.3">
      <c r="A94" s="81" t="s">
        <v>693</v>
      </c>
      <c r="B94" s="81" t="s">
        <v>694</v>
      </c>
      <c r="C94" s="81" t="s">
        <v>397</v>
      </c>
      <c r="D94" s="94">
        <v>20</v>
      </c>
      <c r="E94" s="81">
        <v>0</v>
      </c>
      <c r="F94" s="81">
        <v>0</v>
      </c>
      <c r="G94" s="81">
        <v>0</v>
      </c>
      <c r="H94" s="81">
        <v>1</v>
      </c>
      <c r="I94" s="81">
        <v>0</v>
      </c>
      <c r="J94" s="81">
        <v>1</v>
      </c>
      <c r="K94" s="81">
        <v>0</v>
      </c>
      <c r="L94" s="81">
        <v>0</v>
      </c>
      <c r="M94" s="81">
        <v>0</v>
      </c>
      <c r="N94" s="81">
        <v>1</v>
      </c>
      <c r="O94" s="81">
        <v>0</v>
      </c>
      <c r="P94" s="81">
        <v>0</v>
      </c>
      <c r="Q94" s="81">
        <v>0</v>
      </c>
      <c r="R94" s="81">
        <v>0</v>
      </c>
      <c r="S94" s="81">
        <v>0</v>
      </c>
      <c r="T94" s="81">
        <v>1</v>
      </c>
      <c r="U94" s="81">
        <v>0</v>
      </c>
      <c r="V94" s="81">
        <v>0</v>
      </c>
      <c r="W94" s="81">
        <v>0</v>
      </c>
      <c r="X94" s="81">
        <v>0</v>
      </c>
      <c r="Y94" s="81">
        <v>0</v>
      </c>
      <c r="Z94" s="81">
        <v>1</v>
      </c>
      <c r="AA94" s="81">
        <v>0</v>
      </c>
      <c r="AB94" s="81">
        <v>0</v>
      </c>
      <c r="AC94" s="81">
        <v>0</v>
      </c>
      <c r="AD94" s="81">
        <v>0</v>
      </c>
      <c r="AE94" s="81">
        <v>0</v>
      </c>
      <c r="AF94" s="81">
        <v>0</v>
      </c>
      <c r="AG94" s="81">
        <v>0</v>
      </c>
      <c r="AH94" s="81">
        <v>0</v>
      </c>
      <c r="AI94" s="81">
        <v>0</v>
      </c>
      <c r="AJ94" s="81">
        <v>0</v>
      </c>
      <c r="AK94" s="81">
        <v>0</v>
      </c>
      <c r="AL94" s="81">
        <v>1</v>
      </c>
      <c r="AM94" s="81">
        <v>0</v>
      </c>
      <c r="AN94" s="81">
        <v>0</v>
      </c>
      <c r="AO94" s="81">
        <v>1</v>
      </c>
      <c r="AP94" s="81">
        <v>0</v>
      </c>
      <c r="AQ94" s="81">
        <v>0</v>
      </c>
      <c r="AR94" s="81">
        <v>0</v>
      </c>
      <c r="AS94" s="81">
        <v>0</v>
      </c>
      <c r="AT94" s="81">
        <v>1</v>
      </c>
      <c r="AU94" s="81">
        <v>0</v>
      </c>
      <c r="AV94" s="81">
        <v>0</v>
      </c>
      <c r="AW94" s="81">
        <v>1</v>
      </c>
      <c r="AX94" s="81">
        <v>0</v>
      </c>
      <c r="AY94" s="81">
        <v>0</v>
      </c>
      <c r="AZ94" s="81">
        <v>0</v>
      </c>
      <c r="BA94" s="81">
        <v>0</v>
      </c>
      <c r="BB94" s="81">
        <v>2</v>
      </c>
      <c r="BC94" s="81">
        <v>2</v>
      </c>
      <c r="BD94" s="81">
        <v>1</v>
      </c>
      <c r="BE94" s="81">
        <v>2</v>
      </c>
      <c r="BF94" s="81">
        <v>2</v>
      </c>
      <c r="BG94" s="81">
        <v>2</v>
      </c>
      <c r="BH94" s="81">
        <v>1</v>
      </c>
      <c r="BI94" s="81">
        <v>1</v>
      </c>
      <c r="BJ94" s="81">
        <v>2</v>
      </c>
      <c r="BK94" s="81">
        <v>2</v>
      </c>
      <c r="BL94" s="81">
        <v>2</v>
      </c>
      <c r="BM94" s="81">
        <v>1</v>
      </c>
      <c r="BN94" s="81">
        <v>2</v>
      </c>
      <c r="BO94" s="81">
        <v>2</v>
      </c>
      <c r="BP94" s="81">
        <v>2</v>
      </c>
      <c r="BQ94" s="81">
        <v>2</v>
      </c>
      <c r="BR94" s="81">
        <v>2</v>
      </c>
      <c r="BS94" s="81">
        <v>1</v>
      </c>
      <c r="BT94" s="81">
        <v>2</v>
      </c>
      <c r="BU94" s="81">
        <v>0</v>
      </c>
      <c r="BV94" s="81">
        <v>1</v>
      </c>
      <c r="BW94" s="81">
        <v>0</v>
      </c>
      <c r="BX94" s="81">
        <v>1</v>
      </c>
      <c r="BY94" s="81">
        <v>0</v>
      </c>
      <c r="BZ94" s="81">
        <v>0</v>
      </c>
      <c r="CA94" s="81">
        <v>0</v>
      </c>
      <c r="CB94" s="81">
        <v>2</v>
      </c>
      <c r="CC94" s="81">
        <v>2</v>
      </c>
      <c r="CD94" s="81">
        <v>2</v>
      </c>
      <c r="CE94" s="81">
        <v>2</v>
      </c>
      <c r="CF94" s="81">
        <v>2</v>
      </c>
      <c r="CG94" s="81">
        <v>2</v>
      </c>
      <c r="CH94" s="81">
        <v>0</v>
      </c>
      <c r="CI94" s="81">
        <v>1</v>
      </c>
      <c r="CJ94" s="81">
        <v>0</v>
      </c>
      <c r="CK94" s="81">
        <v>1</v>
      </c>
      <c r="CL94" s="81">
        <v>1</v>
      </c>
      <c r="CM94" s="81">
        <v>0</v>
      </c>
      <c r="CN94" s="81">
        <v>1</v>
      </c>
      <c r="CO94" s="81" t="s">
        <v>690</v>
      </c>
    </row>
    <row r="95" spans="1:93" ht="11.55" customHeight="1" x14ac:dyDescent="0.3">
      <c r="A95" s="81" t="s">
        <v>695</v>
      </c>
      <c r="B95" s="81" t="s">
        <v>696</v>
      </c>
      <c r="C95" s="81" t="s">
        <v>397</v>
      </c>
      <c r="D95" s="94">
        <v>20</v>
      </c>
      <c r="E95" s="81">
        <v>0</v>
      </c>
      <c r="F95" s="81">
        <v>0</v>
      </c>
      <c r="G95" s="81">
        <v>0</v>
      </c>
      <c r="H95" s="81">
        <v>1</v>
      </c>
      <c r="I95" s="81">
        <v>0</v>
      </c>
      <c r="J95" s="81">
        <v>1</v>
      </c>
      <c r="K95" s="81">
        <v>0</v>
      </c>
      <c r="L95" s="81">
        <v>0</v>
      </c>
      <c r="M95" s="81">
        <v>0</v>
      </c>
      <c r="N95" s="81">
        <v>1</v>
      </c>
      <c r="O95" s="81">
        <v>0</v>
      </c>
      <c r="P95" s="81">
        <v>0</v>
      </c>
      <c r="Q95" s="81">
        <v>0</v>
      </c>
      <c r="R95" s="81">
        <v>0</v>
      </c>
      <c r="S95" s="81">
        <v>0</v>
      </c>
      <c r="T95" s="81">
        <v>1</v>
      </c>
      <c r="U95" s="81">
        <v>0</v>
      </c>
      <c r="V95" s="81">
        <v>0</v>
      </c>
      <c r="W95" s="81">
        <v>0</v>
      </c>
      <c r="X95" s="81">
        <v>0</v>
      </c>
      <c r="Y95" s="81">
        <v>0</v>
      </c>
      <c r="Z95" s="81">
        <v>1</v>
      </c>
      <c r="AA95" s="81">
        <v>0</v>
      </c>
      <c r="AB95" s="81">
        <v>0</v>
      </c>
      <c r="AC95" s="81">
        <v>0</v>
      </c>
      <c r="AD95" s="81">
        <v>0</v>
      </c>
      <c r="AE95" s="81">
        <v>0</v>
      </c>
      <c r="AF95" s="81">
        <v>0</v>
      </c>
      <c r="AG95" s="81">
        <v>0</v>
      </c>
      <c r="AH95" s="81">
        <v>0</v>
      </c>
      <c r="AI95" s="81">
        <v>0</v>
      </c>
      <c r="AJ95" s="81">
        <v>0</v>
      </c>
      <c r="AK95" s="81">
        <v>0</v>
      </c>
      <c r="AL95" s="81">
        <v>1</v>
      </c>
      <c r="AM95" s="81">
        <v>0</v>
      </c>
      <c r="AN95" s="81">
        <v>0</v>
      </c>
      <c r="AO95" s="81">
        <v>1</v>
      </c>
      <c r="AP95" s="81">
        <v>0</v>
      </c>
      <c r="AQ95" s="81">
        <v>0</v>
      </c>
      <c r="AR95" s="81">
        <v>0</v>
      </c>
      <c r="AS95" s="81">
        <v>0</v>
      </c>
      <c r="AT95" s="81">
        <v>1</v>
      </c>
      <c r="AU95" s="81">
        <v>0</v>
      </c>
      <c r="AV95" s="81">
        <v>0</v>
      </c>
      <c r="AW95" s="81">
        <v>1</v>
      </c>
      <c r="AX95" s="81">
        <v>0</v>
      </c>
      <c r="AY95" s="81">
        <v>0</v>
      </c>
      <c r="AZ95" s="81">
        <v>0</v>
      </c>
      <c r="BA95" s="81">
        <v>0</v>
      </c>
      <c r="BB95" s="81">
        <v>2</v>
      </c>
      <c r="BC95" s="81">
        <v>2</v>
      </c>
      <c r="BD95" s="81">
        <v>1</v>
      </c>
      <c r="BE95" s="81">
        <v>2</v>
      </c>
      <c r="BF95" s="81">
        <v>2</v>
      </c>
      <c r="BG95" s="81">
        <v>2</v>
      </c>
      <c r="BH95" s="81">
        <v>1</v>
      </c>
      <c r="BI95" s="81">
        <v>1</v>
      </c>
      <c r="BJ95" s="81">
        <v>2</v>
      </c>
      <c r="BK95" s="81">
        <v>2</v>
      </c>
      <c r="BL95" s="81">
        <v>2</v>
      </c>
      <c r="BM95" s="81">
        <v>1</v>
      </c>
      <c r="BN95" s="81">
        <v>2</v>
      </c>
      <c r="BO95" s="81">
        <v>2</v>
      </c>
      <c r="BP95" s="81">
        <v>2</v>
      </c>
      <c r="BQ95" s="81">
        <v>2</v>
      </c>
      <c r="BR95" s="81">
        <v>2</v>
      </c>
      <c r="BS95" s="81">
        <v>1</v>
      </c>
      <c r="BT95" s="81">
        <v>2</v>
      </c>
      <c r="BU95" s="81">
        <v>0</v>
      </c>
      <c r="BV95" s="81">
        <v>1</v>
      </c>
      <c r="BW95" s="81">
        <v>0</v>
      </c>
      <c r="BX95" s="81">
        <v>1</v>
      </c>
      <c r="BY95" s="81">
        <v>0</v>
      </c>
      <c r="BZ95" s="81">
        <v>0</v>
      </c>
      <c r="CA95" s="81">
        <v>0</v>
      </c>
      <c r="CB95" s="81">
        <v>2</v>
      </c>
      <c r="CC95" s="81">
        <v>2</v>
      </c>
      <c r="CD95" s="81">
        <v>2</v>
      </c>
      <c r="CE95" s="81">
        <v>2</v>
      </c>
      <c r="CF95" s="81">
        <v>2</v>
      </c>
      <c r="CG95" s="81">
        <v>2</v>
      </c>
      <c r="CH95" s="81">
        <v>0</v>
      </c>
      <c r="CI95" s="81">
        <v>1</v>
      </c>
      <c r="CJ95" s="81">
        <v>0</v>
      </c>
      <c r="CK95" s="81">
        <v>1</v>
      </c>
      <c r="CL95" s="81">
        <v>1</v>
      </c>
      <c r="CM95" s="81">
        <v>0</v>
      </c>
      <c r="CN95" s="81">
        <v>1</v>
      </c>
      <c r="CO95" s="81" t="s">
        <v>690</v>
      </c>
    </row>
    <row r="96" spans="1:93" ht="11.55" customHeight="1" x14ac:dyDescent="0.3">
      <c r="A96" s="81" t="s">
        <v>697</v>
      </c>
      <c r="B96" s="81" t="s">
        <v>698</v>
      </c>
      <c r="C96" s="81" t="s">
        <v>397</v>
      </c>
      <c r="D96" s="94">
        <v>20</v>
      </c>
      <c r="E96" s="81">
        <v>0</v>
      </c>
      <c r="F96" s="81">
        <v>0</v>
      </c>
      <c r="G96" s="81">
        <v>0</v>
      </c>
      <c r="H96" s="81">
        <v>1</v>
      </c>
      <c r="I96" s="81">
        <v>0</v>
      </c>
      <c r="J96" s="81">
        <v>1</v>
      </c>
      <c r="K96" s="81">
        <v>0</v>
      </c>
      <c r="L96" s="81">
        <v>0</v>
      </c>
      <c r="M96" s="81">
        <v>0</v>
      </c>
      <c r="N96" s="81">
        <v>1</v>
      </c>
      <c r="O96" s="81">
        <v>0</v>
      </c>
      <c r="P96" s="81">
        <v>0</v>
      </c>
      <c r="Q96" s="81">
        <v>0</v>
      </c>
      <c r="R96" s="81">
        <v>0</v>
      </c>
      <c r="S96" s="81">
        <v>0</v>
      </c>
      <c r="T96" s="81">
        <v>1</v>
      </c>
      <c r="U96" s="81">
        <v>0</v>
      </c>
      <c r="V96" s="81">
        <v>0</v>
      </c>
      <c r="W96" s="81">
        <v>0</v>
      </c>
      <c r="X96" s="81">
        <v>0</v>
      </c>
      <c r="Y96" s="81">
        <v>0</v>
      </c>
      <c r="Z96" s="81">
        <v>1</v>
      </c>
      <c r="AA96" s="81">
        <v>0</v>
      </c>
      <c r="AB96" s="81">
        <v>0</v>
      </c>
      <c r="AC96" s="81">
        <v>0</v>
      </c>
      <c r="AD96" s="81">
        <v>0</v>
      </c>
      <c r="AE96" s="81">
        <v>0</v>
      </c>
      <c r="AF96" s="81">
        <v>0</v>
      </c>
      <c r="AG96" s="81">
        <v>0</v>
      </c>
      <c r="AH96" s="81">
        <v>0</v>
      </c>
      <c r="AI96" s="81">
        <v>0</v>
      </c>
      <c r="AJ96" s="81">
        <v>0</v>
      </c>
      <c r="AK96" s="81">
        <v>0</v>
      </c>
      <c r="AL96" s="81">
        <v>1</v>
      </c>
      <c r="AM96" s="81">
        <v>0</v>
      </c>
      <c r="AN96" s="81">
        <v>0</v>
      </c>
      <c r="AO96" s="81">
        <v>1</v>
      </c>
      <c r="AP96" s="81">
        <v>0</v>
      </c>
      <c r="AQ96" s="81">
        <v>0</v>
      </c>
      <c r="AR96" s="81">
        <v>0</v>
      </c>
      <c r="AS96" s="81">
        <v>0</v>
      </c>
      <c r="AT96" s="81">
        <v>1</v>
      </c>
      <c r="AU96" s="81">
        <v>0</v>
      </c>
      <c r="AV96" s="81">
        <v>0</v>
      </c>
      <c r="AW96" s="81">
        <v>1</v>
      </c>
      <c r="AX96" s="81">
        <v>0</v>
      </c>
      <c r="AY96" s="81">
        <v>0</v>
      </c>
      <c r="AZ96" s="81">
        <v>0</v>
      </c>
      <c r="BA96" s="81">
        <v>0</v>
      </c>
      <c r="BB96" s="81">
        <v>2</v>
      </c>
      <c r="BC96" s="81">
        <v>2</v>
      </c>
      <c r="BD96" s="81">
        <v>1</v>
      </c>
      <c r="BE96" s="81">
        <v>2</v>
      </c>
      <c r="BF96" s="81">
        <v>2</v>
      </c>
      <c r="BG96" s="81">
        <v>2</v>
      </c>
      <c r="BH96" s="81">
        <v>1</v>
      </c>
      <c r="BI96" s="81">
        <v>1</v>
      </c>
      <c r="BJ96" s="81">
        <v>2</v>
      </c>
      <c r="BK96" s="81">
        <v>2</v>
      </c>
      <c r="BL96" s="81">
        <v>2</v>
      </c>
      <c r="BM96" s="81">
        <v>1</v>
      </c>
      <c r="BN96" s="81">
        <v>2</v>
      </c>
      <c r="BO96" s="81">
        <v>2</v>
      </c>
      <c r="BP96" s="81">
        <v>2</v>
      </c>
      <c r="BQ96" s="81">
        <v>2</v>
      </c>
      <c r="BR96" s="81">
        <v>2</v>
      </c>
      <c r="BS96" s="81">
        <v>1</v>
      </c>
      <c r="BT96" s="81">
        <v>2</v>
      </c>
      <c r="BU96" s="81">
        <v>0</v>
      </c>
      <c r="BV96" s="81">
        <v>1</v>
      </c>
      <c r="BW96" s="81">
        <v>0</v>
      </c>
      <c r="BX96" s="81">
        <v>1</v>
      </c>
      <c r="BY96" s="81">
        <v>0</v>
      </c>
      <c r="BZ96" s="81">
        <v>0</v>
      </c>
      <c r="CA96" s="81">
        <v>0</v>
      </c>
      <c r="CB96" s="81">
        <v>2</v>
      </c>
      <c r="CC96" s="81">
        <v>2</v>
      </c>
      <c r="CD96" s="81">
        <v>2</v>
      </c>
      <c r="CE96" s="81">
        <v>2</v>
      </c>
      <c r="CF96" s="81">
        <v>2</v>
      </c>
      <c r="CG96" s="81">
        <v>2</v>
      </c>
      <c r="CH96" s="81">
        <v>0</v>
      </c>
      <c r="CI96" s="81">
        <v>1</v>
      </c>
      <c r="CJ96" s="81">
        <v>0</v>
      </c>
      <c r="CK96" s="81">
        <v>1</v>
      </c>
      <c r="CL96" s="81">
        <v>1</v>
      </c>
      <c r="CM96" s="81">
        <v>0</v>
      </c>
      <c r="CN96" s="81">
        <v>1</v>
      </c>
      <c r="CO96" s="81" t="s">
        <v>690</v>
      </c>
    </row>
    <row r="97" spans="1:93" ht="11.55" customHeight="1" x14ac:dyDescent="0.3">
      <c r="A97" s="81" t="s">
        <v>699</v>
      </c>
      <c r="B97" s="81" t="s">
        <v>700</v>
      </c>
      <c r="C97" s="81" t="s">
        <v>397</v>
      </c>
      <c r="D97" s="94">
        <v>20</v>
      </c>
      <c r="E97" s="81">
        <v>0</v>
      </c>
      <c r="F97" s="81">
        <v>0</v>
      </c>
      <c r="G97" s="81">
        <v>0</v>
      </c>
      <c r="H97" s="81">
        <v>1</v>
      </c>
      <c r="I97" s="81">
        <v>0</v>
      </c>
      <c r="J97" s="81">
        <v>1</v>
      </c>
      <c r="K97" s="81">
        <v>0</v>
      </c>
      <c r="L97" s="81">
        <v>0</v>
      </c>
      <c r="M97" s="81">
        <v>0</v>
      </c>
      <c r="N97" s="81">
        <v>1</v>
      </c>
      <c r="O97" s="81">
        <v>0</v>
      </c>
      <c r="P97" s="81">
        <v>0</v>
      </c>
      <c r="Q97" s="81">
        <v>0</v>
      </c>
      <c r="R97" s="81">
        <v>0</v>
      </c>
      <c r="S97" s="81">
        <v>0</v>
      </c>
      <c r="T97" s="81">
        <v>1</v>
      </c>
      <c r="U97" s="81">
        <v>0</v>
      </c>
      <c r="V97" s="81">
        <v>0</v>
      </c>
      <c r="W97" s="81">
        <v>0</v>
      </c>
      <c r="X97" s="81">
        <v>0</v>
      </c>
      <c r="Y97" s="81">
        <v>0</v>
      </c>
      <c r="Z97" s="81">
        <v>1</v>
      </c>
      <c r="AA97" s="81">
        <v>0</v>
      </c>
      <c r="AB97" s="81">
        <v>0</v>
      </c>
      <c r="AC97" s="81">
        <v>0</v>
      </c>
      <c r="AD97" s="81">
        <v>0</v>
      </c>
      <c r="AE97" s="81">
        <v>0</v>
      </c>
      <c r="AF97" s="81">
        <v>0</v>
      </c>
      <c r="AG97" s="81">
        <v>0</v>
      </c>
      <c r="AH97" s="81">
        <v>0</v>
      </c>
      <c r="AI97" s="81">
        <v>0</v>
      </c>
      <c r="AJ97" s="81">
        <v>0</v>
      </c>
      <c r="AK97" s="81">
        <v>0</v>
      </c>
      <c r="AL97" s="81">
        <v>1</v>
      </c>
      <c r="AM97" s="81">
        <v>0</v>
      </c>
      <c r="AN97" s="81">
        <v>0</v>
      </c>
      <c r="AO97" s="81">
        <v>1</v>
      </c>
      <c r="AP97" s="81">
        <v>0</v>
      </c>
      <c r="AQ97" s="81">
        <v>0</v>
      </c>
      <c r="AR97" s="81">
        <v>0</v>
      </c>
      <c r="AS97" s="81">
        <v>0</v>
      </c>
      <c r="AT97" s="81">
        <v>1</v>
      </c>
      <c r="AU97" s="81">
        <v>0</v>
      </c>
      <c r="AV97" s="81">
        <v>0</v>
      </c>
      <c r="AW97" s="81">
        <v>1</v>
      </c>
      <c r="AX97" s="81">
        <v>0</v>
      </c>
      <c r="AY97" s="81">
        <v>0</v>
      </c>
      <c r="AZ97" s="81">
        <v>0</v>
      </c>
      <c r="BA97" s="81">
        <v>0</v>
      </c>
      <c r="BB97" s="81">
        <v>2</v>
      </c>
      <c r="BC97" s="81">
        <v>2</v>
      </c>
      <c r="BD97" s="81">
        <v>1</v>
      </c>
      <c r="BE97" s="81">
        <v>2</v>
      </c>
      <c r="BF97" s="81">
        <v>2</v>
      </c>
      <c r="BG97" s="81">
        <v>2</v>
      </c>
      <c r="BH97" s="81">
        <v>1</v>
      </c>
      <c r="BI97" s="81">
        <v>1</v>
      </c>
      <c r="BJ97" s="81">
        <v>2</v>
      </c>
      <c r="BK97" s="81">
        <v>2</v>
      </c>
      <c r="BL97" s="81">
        <v>2</v>
      </c>
      <c r="BM97" s="81">
        <v>1</v>
      </c>
      <c r="BN97" s="81">
        <v>2</v>
      </c>
      <c r="BO97" s="81">
        <v>2</v>
      </c>
      <c r="BP97" s="81">
        <v>2</v>
      </c>
      <c r="BQ97" s="81">
        <v>2</v>
      </c>
      <c r="BR97" s="81">
        <v>2</v>
      </c>
      <c r="BS97" s="81">
        <v>1</v>
      </c>
      <c r="BT97" s="81">
        <v>2</v>
      </c>
      <c r="BU97" s="81">
        <v>0</v>
      </c>
      <c r="BV97" s="81">
        <v>1</v>
      </c>
      <c r="BW97" s="81">
        <v>0</v>
      </c>
      <c r="BX97" s="81">
        <v>1</v>
      </c>
      <c r="BY97" s="81">
        <v>0</v>
      </c>
      <c r="BZ97" s="81">
        <v>0</v>
      </c>
      <c r="CA97" s="81">
        <v>0</v>
      </c>
      <c r="CB97" s="81">
        <v>2</v>
      </c>
      <c r="CC97" s="81">
        <v>2</v>
      </c>
      <c r="CD97" s="81">
        <v>2</v>
      </c>
      <c r="CE97" s="81">
        <v>2</v>
      </c>
      <c r="CF97" s="81">
        <v>2</v>
      </c>
      <c r="CG97" s="81">
        <v>2</v>
      </c>
      <c r="CH97" s="81">
        <v>0</v>
      </c>
      <c r="CI97" s="81">
        <v>1</v>
      </c>
      <c r="CJ97" s="81">
        <v>0</v>
      </c>
      <c r="CK97" s="81">
        <v>1</v>
      </c>
      <c r="CL97" s="81">
        <v>1</v>
      </c>
      <c r="CM97" s="81">
        <v>0</v>
      </c>
      <c r="CN97" s="81">
        <v>1</v>
      </c>
      <c r="CO97" s="81" t="s">
        <v>690</v>
      </c>
    </row>
    <row r="98" spans="1:93" ht="11.55" customHeight="1" x14ac:dyDescent="0.3">
      <c r="A98" s="81" t="s">
        <v>701</v>
      </c>
      <c r="B98" s="81" t="s">
        <v>702</v>
      </c>
      <c r="C98" s="81" t="s">
        <v>397</v>
      </c>
      <c r="D98" s="94">
        <v>20</v>
      </c>
      <c r="E98" s="81">
        <v>0</v>
      </c>
      <c r="F98" s="81">
        <v>0</v>
      </c>
      <c r="G98" s="81">
        <v>0</v>
      </c>
      <c r="H98" s="81">
        <v>1</v>
      </c>
      <c r="I98" s="81">
        <v>0</v>
      </c>
      <c r="J98" s="81">
        <v>1</v>
      </c>
      <c r="K98" s="81">
        <v>0</v>
      </c>
      <c r="L98" s="81">
        <v>0</v>
      </c>
      <c r="M98" s="81">
        <v>0</v>
      </c>
      <c r="N98" s="81">
        <v>1</v>
      </c>
      <c r="O98" s="81">
        <v>0</v>
      </c>
      <c r="P98" s="81">
        <v>0</v>
      </c>
      <c r="Q98" s="81">
        <v>0</v>
      </c>
      <c r="R98" s="81">
        <v>0</v>
      </c>
      <c r="S98" s="81">
        <v>0</v>
      </c>
      <c r="T98" s="81">
        <v>1</v>
      </c>
      <c r="U98" s="81">
        <v>0</v>
      </c>
      <c r="V98" s="81">
        <v>0</v>
      </c>
      <c r="W98" s="81">
        <v>0</v>
      </c>
      <c r="X98" s="81">
        <v>0</v>
      </c>
      <c r="Y98" s="81">
        <v>0</v>
      </c>
      <c r="Z98" s="81">
        <v>1</v>
      </c>
      <c r="AA98" s="81">
        <v>0</v>
      </c>
      <c r="AB98" s="81">
        <v>0</v>
      </c>
      <c r="AC98" s="81">
        <v>0</v>
      </c>
      <c r="AD98" s="81">
        <v>0</v>
      </c>
      <c r="AE98" s="81">
        <v>0</v>
      </c>
      <c r="AF98" s="81">
        <v>0</v>
      </c>
      <c r="AG98" s="81">
        <v>0</v>
      </c>
      <c r="AH98" s="81">
        <v>0</v>
      </c>
      <c r="AI98" s="81">
        <v>0</v>
      </c>
      <c r="AJ98" s="81">
        <v>0</v>
      </c>
      <c r="AK98" s="81">
        <v>0</v>
      </c>
      <c r="AL98" s="81">
        <v>1</v>
      </c>
      <c r="AM98" s="81">
        <v>0</v>
      </c>
      <c r="AN98" s="81">
        <v>0</v>
      </c>
      <c r="AO98" s="81">
        <v>1</v>
      </c>
      <c r="AP98" s="81">
        <v>0</v>
      </c>
      <c r="AQ98" s="81">
        <v>0</v>
      </c>
      <c r="AR98" s="81">
        <v>0</v>
      </c>
      <c r="AS98" s="81">
        <v>0</v>
      </c>
      <c r="AT98" s="81">
        <v>1</v>
      </c>
      <c r="AU98" s="81">
        <v>0</v>
      </c>
      <c r="AV98" s="81">
        <v>0</v>
      </c>
      <c r="AW98" s="81">
        <v>1</v>
      </c>
      <c r="AX98" s="81">
        <v>0</v>
      </c>
      <c r="AY98" s="81">
        <v>0</v>
      </c>
      <c r="AZ98" s="81">
        <v>0</v>
      </c>
      <c r="BA98" s="81">
        <v>0</v>
      </c>
      <c r="BB98" s="81">
        <v>2</v>
      </c>
      <c r="BC98" s="81">
        <v>2</v>
      </c>
      <c r="BD98" s="81">
        <v>1</v>
      </c>
      <c r="BE98" s="81">
        <v>2</v>
      </c>
      <c r="BF98" s="81">
        <v>2</v>
      </c>
      <c r="BG98" s="81">
        <v>2</v>
      </c>
      <c r="BH98" s="81">
        <v>1</v>
      </c>
      <c r="BI98" s="81">
        <v>1</v>
      </c>
      <c r="BJ98" s="81">
        <v>2</v>
      </c>
      <c r="BK98" s="81">
        <v>2</v>
      </c>
      <c r="BL98" s="81">
        <v>2</v>
      </c>
      <c r="BM98" s="81">
        <v>1</v>
      </c>
      <c r="BN98" s="81">
        <v>2</v>
      </c>
      <c r="BO98" s="81">
        <v>2</v>
      </c>
      <c r="BP98" s="81">
        <v>2</v>
      </c>
      <c r="BQ98" s="81">
        <v>2</v>
      </c>
      <c r="BR98" s="81">
        <v>2</v>
      </c>
      <c r="BS98" s="81">
        <v>1</v>
      </c>
      <c r="BT98" s="81">
        <v>2</v>
      </c>
      <c r="BU98" s="81">
        <v>0</v>
      </c>
      <c r="BV98" s="81">
        <v>1</v>
      </c>
      <c r="BW98" s="81">
        <v>0</v>
      </c>
      <c r="BX98" s="81">
        <v>1</v>
      </c>
      <c r="BY98" s="81">
        <v>0</v>
      </c>
      <c r="BZ98" s="81">
        <v>0</v>
      </c>
      <c r="CA98" s="81">
        <v>0</v>
      </c>
      <c r="CB98" s="81">
        <v>2</v>
      </c>
      <c r="CC98" s="81">
        <v>2</v>
      </c>
      <c r="CD98" s="81">
        <v>2</v>
      </c>
      <c r="CE98" s="81">
        <v>2</v>
      </c>
      <c r="CF98" s="81">
        <v>2</v>
      </c>
      <c r="CG98" s="81">
        <v>2</v>
      </c>
      <c r="CH98" s="81">
        <v>0</v>
      </c>
      <c r="CI98" s="81">
        <v>1</v>
      </c>
      <c r="CJ98" s="81">
        <v>0</v>
      </c>
      <c r="CK98" s="81">
        <v>1</v>
      </c>
      <c r="CL98" s="81">
        <v>1</v>
      </c>
      <c r="CM98" s="81">
        <v>0</v>
      </c>
      <c r="CN98" s="81">
        <v>1</v>
      </c>
      <c r="CO98" s="81" t="s">
        <v>703</v>
      </c>
    </row>
    <row r="99" spans="1:93" ht="11.55" customHeight="1" x14ac:dyDescent="0.3">
      <c r="A99" s="81" t="s">
        <v>704</v>
      </c>
      <c r="B99" s="81" t="s">
        <v>705</v>
      </c>
      <c r="C99" s="81" t="s">
        <v>397</v>
      </c>
      <c r="D99" s="94">
        <v>20</v>
      </c>
      <c r="E99" s="81">
        <v>0</v>
      </c>
      <c r="F99" s="81">
        <v>0</v>
      </c>
      <c r="G99" s="81">
        <v>0</v>
      </c>
      <c r="H99" s="81">
        <v>1</v>
      </c>
      <c r="I99" s="81">
        <v>0</v>
      </c>
      <c r="J99" s="81">
        <v>1</v>
      </c>
      <c r="K99" s="81">
        <v>0</v>
      </c>
      <c r="L99" s="81">
        <v>0</v>
      </c>
      <c r="M99" s="81">
        <v>0</v>
      </c>
      <c r="N99" s="81">
        <v>1</v>
      </c>
      <c r="O99" s="81">
        <v>0</v>
      </c>
      <c r="P99" s="81">
        <v>0</v>
      </c>
      <c r="Q99" s="81">
        <v>0</v>
      </c>
      <c r="R99" s="81">
        <v>0</v>
      </c>
      <c r="S99" s="81">
        <v>0</v>
      </c>
      <c r="T99" s="81">
        <v>1</v>
      </c>
      <c r="U99" s="81">
        <v>0</v>
      </c>
      <c r="V99" s="81">
        <v>0</v>
      </c>
      <c r="W99" s="81">
        <v>0</v>
      </c>
      <c r="X99" s="81">
        <v>0</v>
      </c>
      <c r="Y99" s="81">
        <v>0</v>
      </c>
      <c r="Z99" s="81">
        <v>1</v>
      </c>
      <c r="AA99" s="81">
        <v>0</v>
      </c>
      <c r="AB99" s="81">
        <v>0</v>
      </c>
      <c r="AC99" s="81">
        <v>0</v>
      </c>
      <c r="AD99" s="81">
        <v>0</v>
      </c>
      <c r="AE99" s="81">
        <v>0</v>
      </c>
      <c r="AF99" s="81">
        <v>0</v>
      </c>
      <c r="AG99" s="81">
        <v>0</v>
      </c>
      <c r="AH99" s="81">
        <v>0</v>
      </c>
      <c r="AI99" s="81">
        <v>0</v>
      </c>
      <c r="AJ99" s="81">
        <v>0</v>
      </c>
      <c r="AK99" s="81">
        <v>0</v>
      </c>
      <c r="AL99" s="81">
        <v>1</v>
      </c>
      <c r="AM99" s="81">
        <v>0</v>
      </c>
      <c r="AN99" s="81">
        <v>0</v>
      </c>
      <c r="AO99" s="81">
        <v>1</v>
      </c>
      <c r="AP99" s="81">
        <v>0</v>
      </c>
      <c r="AQ99" s="81">
        <v>0</v>
      </c>
      <c r="AR99" s="81">
        <v>0</v>
      </c>
      <c r="AS99" s="81">
        <v>0</v>
      </c>
      <c r="AT99" s="81">
        <v>1</v>
      </c>
      <c r="AU99" s="81">
        <v>0</v>
      </c>
      <c r="AV99" s="81">
        <v>0</v>
      </c>
      <c r="AW99" s="81">
        <v>1</v>
      </c>
      <c r="AX99" s="81">
        <v>0</v>
      </c>
      <c r="AY99" s="81">
        <v>0</v>
      </c>
      <c r="AZ99" s="81">
        <v>0</v>
      </c>
      <c r="BA99" s="81">
        <v>0</v>
      </c>
      <c r="BB99" s="81">
        <v>2</v>
      </c>
      <c r="BC99" s="81">
        <v>2</v>
      </c>
      <c r="BD99" s="81">
        <v>1</v>
      </c>
      <c r="BE99" s="81">
        <v>2</v>
      </c>
      <c r="BF99" s="81">
        <v>2</v>
      </c>
      <c r="BG99" s="81">
        <v>2</v>
      </c>
      <c r="BH99" s="81">
        <v>1</v>
      </c>
      <c r="BI99" s="81">
        <v>1</v>
      </c>
      <c r="BJ99" s="81">
        <v>2</v>
      </c>
      <c r="BK99" s="81">
        <v>2</v>
      </c>
      <c r="BL99" s="81">
        <v>2</v>
      </c>
      <c r="BM99" s="81">
        <v>1</v>
      </c>
      <c r="BN99" s="81">
        <v>2</v>
      </c>
      <c r="BO99" s="81">
        <v>2</v>
      </c>
      <c r="BP99" s="81">
        <v>2</v>
      </c>
      <c r="BQ99" s="81">
        <v>2</v>
      </c>
      <c r="BR99" s="81">
        <v>2</v>
      </c>
      <c r="BS99" s="81">
        <v>1</v>
      </c>
      <c r="BT99" s="81">
        <v>2</v>
      </c>
      <c r="BU99" s="81">
        <v>0</v>
      </c>
      <c r="BV99" s="81">
        <v>1</v>
      </c>
      <c r="BW99" s="81">
        <v>0</v>
      </c>
      <c r="BX99" s="81">
        <v>1</v>
      </c>
      <c r="BY99" s="81">
        <v>0</v>
      </c>
      <c r="BZ99" s="81">
        <v>0</v>
      </c>
      <c r="CA99" s="81">
        <v>0</v>
      </c>
      <c r="CB99" s="81">
        <v>2</v>
      </c>
      <c r="CC99" s="81">
        <v>2</v>
      </c>
      <c r="CD99" s="81">
        <v>2</v>
      </c>
      <c r="CE99" s="81">
        <v>2</v>
      </c>
      <c r="CF99" s="81">
        <v>2</v>
      </c>
      <c r="CG99" s="81">
        <v>2</v>
      </c>
      <c r="CH99" s="81">
        <v>0</v>
      </c>
      <c r="CI99" s="81">
        <v>1</v>
      </c>
      <c r="CJ99" s="81">
        <v>0</v>
      </c>
      <c r="CK99" s="81">
        <v>1</v>
      </c>
      <c r="CL99" s="81">
        <v>1</v>
      </c>
      <c r="CM99" s="81">
        <v>0</v>
      </c>
      <c r="CN99" s="81">
        <v>1</v>
      </c>
      <c r="CO99" s="81" t="s">
        <v>690</v>
      </c>
    </row>
    <row r="100" spans="1:93" ht="11.55" customHeight="1" x14ac:dyDescent="0.3">
      <c r="A100" s="81" t="s">
        <v>706</v>
      </c>
      <c r="B100" s="81" t="s">
        <v>707</v>
      </c>
      <c r="C100" s="81" t="s">
        <v>397</v>
      </c>
      <c r="D100" s="94">
        <v>20</v>
      </c>
      <c r="E100" s="81">
        <v>0</v>
      </c>
      <c r="F100" s="81">
        <v>0</v>
      </c>
      <c r="G100" s="81">
        <v>0</v>
      </c>
      <c r="H100" s="81">
        <v>1</v>
      </c>
      <c r="I100" s="81">
        <v>0</v>
      </c>
      <c r="J100" s="81">
        <v>1</v>
      </c>
      <c r="K100" s="81">
        <v>0</v>
      </c>
      <c r="L100" s="81">
        <v>0</v>
      </c>
      <c r="M100" s="81">
        <v>0</v>
      </c>
      <c r="N100" s="81">
        <v>1</v>
      </c>
      <c r="O100" s="81">
        <v>0</v>
      </c>
      <c r="P100" s="81">
        <v>0</v>
      </c>
      <c r="Q100" s="81">
        <v>0</v>
      </c>
      <c r="R100" s="81">
        <v>0</v>
      </c>
      <c r="S100" s="81">
        <v>0</v>
      </c>
      <c r="T100" s="81">
        <v>1</v>
      </c>
      <c r="U100" s="81">
        <v>0</v>
      </c>
      <c r="V100" s="81">
        <v>0</v>
      </c>
      <c r="W100" s="81">
        <v>0</v>
      </c>
      <c r="X100" s="81">
        <v>0</v>
      </c>
      <c r="Y100" s="81">
        <v>0</v>
      </c>
      <c r="Z100" s="81">
        <v>1</v>
      </c>
      <c r="AA100" s="81">
        <v>0</v>
      </c>
      <c r="AB100" s="81">
        <v>0</v>
      </c>
      <c r="AC100" s="81">
        <v>0</v>
      </c>
      <c r="AD100" s="81">
        <v>0</v>
      </c>
      <c r="AE100" s="81">
        <v>0</v>
      </c>
      <c r="AF100" s="81">
        <v>0</v>
      </c>
      <c r="AG100" s="81">
        <v>0</v>
      </c>
      <c r="AH100" s="81">
        <v>0</v>
      </c>
      <c r="AI100" s="81">
        <v>0</v>
      </c>
      <c r="AJ100" s="81">
        <v>0</v>
      </c>
      <c r="AK100" s="81">
        <v>0</v>
      </c>
      <c r="AL100" s="81">
        <v>1</v>
      </c>
      <c r="AM100" s="81">
        <v>0</v>
      </c>
      <c r="AN100" s="81">
        <v>0</v>
      </c>
      <c r="AO100" s="81">
        <v>1</v>
      </c>
      <c r="AP100" s="81">
        <v>0</v>
      </c>
      <c r="AQ100" s="81">
        <v>0</v>
      </c>
      <c r="AR100" s="81">
        <v>0</v>
      </c>
      <c r="AS100" s="81">
        <v>0</v>
      </c>
      <c r="AT100" s="81">
        <v>1</v>
      </c>
      <c r="AU100" s="81">
        <v>0</v>
      </c>
      <c r="AV100" s="81">
        <v>0</v>
      </c>
      <c r="AW100" s="81">
        <v>1</v>
      </c>
      <c r="AX100" s="81">
        <v>0</v>
      </c>
      <c r="AY100" s="81">
        <v>0</v>
      </c>
      <c r="AZ100" s="81">
        <v>0</v>
      </c>
      <c r="BA100" s="81">
        <v>0</v>
      </c>
      <c r="BB100" s="81">
        <v>2</v>
      </c>
      <c r="BC100" s="81">
        <v>2</v>
      </c>
      <c r="BD100" s="81">
        <v>1</v>
      </c>
      <c r="BE100" s="81">
        <v>2</v>
      </c>
      <c r="BF100" s="81">
        <v>2</v>
      </c>
      <c r="BG100" s="81">
        <v>2</v>
      </c>
      <c r="BH100" s="81">
        <v>1</v>
      </c>
      <c r="BI100" s="81">
        <v>1</v>
      </c>
      <c r="BJ100" s="81">
        <v>2</v>
      </c>
      <c r="BK100" s="81">
        <v>2</v>
      </c>
      <c r="BL100" s="81">
        <v>2</v>
      </c>
      <c r="BM100" s="81">
        <v>1</v>
      </c>
      <c r="BN100" s="81">
        <v>2</v>
      </c>
      <c r="BO100" s="81">
        <v>2</v>
      </c>
      <c r="BP100" s="81">
        <v>2</v>
      </c>
      <c r="BQ100" s="81">
        <v>2</v>
      </c>
      <c r="BR100" s="81">
        <v>2</v>
      </c>
      <c r="BS100" s="81">
        <v>1</v>
      </c>
      <c r="BT100" s="81">
        <v>2</v>
      </c>
      <c r="BU100" s="81">
        <v>0</v>
      </c>
      <c r="BV100" s="81">
        <v>1</v>
      </c>
      <c r="BW100" s="81">
        <v>0</v>
      </c>
      <c r="BX100" s="81">
        <v>1</v>
      </c>
      <c r="BY100" s="81">
        <v>0</v>
      </c>
      <c r="BZ100" s="81">
        <v>0</v>
      </c>
      <c r="CA100" s="81">
        <v>0</v>
      </c>
      <c r="CB100" s="81">
        <v>2</v>
      </c>
      <c r="CC100" s="81">
        <v>2</v>
      </c>
      <c r="CD100" s="81">
        <v>2</v>
      </c>
      <c r="CE100" s="81">
        <v>2</v>
      </c>
      <c r="CF100" s="81">
        <v>2</v>
      </c>
      <c r="CG100" s="81">
        <v>2</v>
      </c>
      <c r="CH100" s="81">
        <v>0</v>
      </c>
      <c r="CI100" s="81">
        <v>1</v>
      </c>
      <c r="CJ100" s="81">
        <v>0</v>
      </c>
      <c r="CK100" s="81">
        <v>1</v>
      </c>
      <c r="CL100" s="81">
        <v>1</v>
      </c>
      <c r="CM100" s="81">
        <v>0</v>
      </c>
      <c r="CN100" s="81">
        <v>1</v>
      </c>
      <c r="CO100" s="81" t="s">
        <v>690</v>
      </c>
    </row>
    <row r="101" spans="1:93" ht="11.55" customHeight="1" x14ac:dyDescent="0.3">
      <c r="A101" s="81" t="s">
        <v>708</v>
      </c>
      <c r="B101" s="81" t="s">
        <v>709</v>
      </c>
      <c r="C101" s="81" t="s">
        <v>397</v>
      </c>
      <c r="D101" s="94">
        <v>20</v>
      </c>
      <c r="E101" s="81">
        <v>0</v>
      </c>
      <c r="F101" s="81">
        <v>0</v>
      </c>
      <c r="G101" s="81">
        <v>0</v>
      </c>
      <c r="H101" s="81">
        <v>1</v>
      </c>
      <c r="I101" s="81">
        <v>0</v>
      </c>
      <c r="J101" s="81">
        <v>1</v>
      </c>
      <c r="K101" s="81">
        <v>0</v>
      </c>
      <c r="L101" s="81">
        <v>0</v>
      </c>
      <c r="M101" s="81">
        <v>0</v>
      </c>
      <c r="N101" s="81">
        <v>1</v>
      </c>
      <c r="O101" s="81">
        <v>0</v>
      </c>
      <c r="P101" s="81">
        <v>0</v>
      </c>
      <c r="Q101" s="81">
        <v>0</v>
      </c>
      <c r="R101" s="81">
        <v>0</v>
      </c>
      <c r="S101" s="81">
        <v>0</v>
      </c>
      <c r="T101" s="81">
        <v>1</v>
      </c>
      <c r="U101" s="81">
        <v>0</v>
      </c>
      <c r="V101" s="81">
        <v>0</v>
      </c>
      <c r="W101" s="81">
        <v>0</v>
      </c>
      <c r="X101" s="81">
        <v>0</v>
      </c>
      <c r="Y101" s="81">
        <v>0</v>
      </c>
      <c r="Z101" s="81">
        <v>1</v>
      </c>
      <c r="AA101" s="81">
        <v>0</v>
      </c>
      <c r="AB101" s="81">
        <v>0</v>
      </c>
      <c r="AC101" s="81">
        <v>0</v>
      </c>
      <c r="AD101" s="81">
        <v>0</v>
      </c>
      <c r="AE101" s="81">
        <v>0</v>
      </c>
      <c r="AF101" s="81">
        <v>0</v>
      </c>
      <c r="AG101" s="81">
        <v>0</v>
      </c>
      <c r="AH101" s="81">
        <v>0</v>
      </c>
      <c r="AI101" s="81">
        <v>0</v>
      </c>
      <c r="AJ101" s="81">
        <v>0</v>
      </c>
      <c r="AK101" s="81">
        <v>0</v>
      </c>
      <c r="AL101" s="81">
        <v>1</v>
      </c>
      <c r="AM101" s="81">
        <v>0</v>
      </c>
      <c r="AN101" s="81">
        <v>0</v>
      </c>
      <c r="AO101" s="81">
        <v>1</v>
      </c>
      <c r="AP101" s="81">
        <v>0</v>
      </c>
      <c r="AQ101" s="81">
        <v>0</v>
      </c>
      <c r="AR101" s="81">
        <v>0</v>
      </c>
      <c r="AS101" s="81">
        <v>0</v>
      </c>
      <c r="AT101" s="81">
        <v>1</v>
      </c>
      <c r="AU101" s="81">
        <v>0</v>
      </c>
      <c r="AV101" s="81">
        <v>0</v>
      </c>
      <c r="AW101" s="81">
        <v>1</v>
      </c>
      <c r="AX101" s="81">
        <v>0</v>
      </c>
      <c r="AY101" s="81">
        <v>0</v>
      </c>
      <c r="AZ101" s="81">
        <v>0</v>
      </c>
      <c r="BA101" s="81">
        <v>0</v>
      </c>
      <c r="BB101" s="81">
        <v>2</v>
      </c>
      <c r="BC101" s="81">
        <v>2</v>
      </c>
      <c r="BD101" s="81">
        <v>1</v>
      </c>
      <c r="BE101" s="81">
        <v>2</v>
      </c>
      <c r="BF101" s="81">
        <v>2</v>
      </c>
      <c r="BG101" s="81">
        <v>2</v>
      </c>
      <c r="BH101" s="81">
        <v>1</v>
      </c>
      <c r="BI101" s="81">
        <v>1</v>
      </c>
      <c r="BJ101" s="81">
        <v>2</v>
      </c>
      <c r="BK101" s="81">
        <v>2</v>
      </c>
      <c r="BL101" s="81">
        <v>2</v>
      </c>
      <c r="BM101" s="81">
        <v>1</v>
      </c>
      <c r="BN101" s="81">
        <v>2</v>
      </c>
      <c r="BO101" s="81">
        <v>2</v>
      </c>
      <c r="BP101" s="81">
        <v>2</v>
      </c>
      <c r="BQ101" s="81">
        <v>2</v>
      </c>
      <c r="BR101" s="81">
        <v>2</v>
      </c>
      <c r="BS101" s="81">
        <v>1</v>
      </c>
      <c r="BT101" s="81">
        <v>2</v>
      </c>
      <c r="BU101" s="81">
        <v>0</v>
      </c>
      <c r="BV101" s="81">
        <v>1</v>
      </c>
      <c r="BW101" s="81">
        <v>0</v>
      </c>
      <c r="BX101" s="81">
        <v>1</v>
      </c>
      <c r="BY101" s="81">
        <v>0</v>
      </c>
      <c r="BZ101" s="81">
        <v>0</v>
      </c>
      <c r="CA101" s="81">
        <v>0</v>
      </c>
      <c r="CB101" s="81">
        <v>2</v>
      </c>
      <c r="CC101" s="81">
        <v>2</v>
      </c>
      <c r="CD101" s="81">
        <v>2</v>
      </c>
      <c r="CE101" s="81">
        <v>2</v>
      </c>
      <c r="CF101" s="81">
        <v>2</v>
      </c>
      <c r="CG101" s="81">
        <v>2</v>
      </c>
      <c r="CH101" s="81">
        <v>0</v>
      </c>
      <c r="CI101" s="81">
        <v>1</v>
      </c>
      <c r="CJ101" s="81">
        <v>0</v>
      </c>
      <c r="CK101" s="81">
        <v>1</v>
      </c>
      <c r="CL101" s="81">
        <v>1</v>
      </c>
      <c r="CM101" s="81">
        <v>0</v>
      </c>
      <c r="CN101" s="81">
        <v>1</v>
      </c>
      <c r="CO101" s="81" t="s">
        <v>690</v>
      </c>
    </row>
    <row r="102" spans="1:93" ht="11.55" customHeight="1" x14ac:dyDescent="0.3">
      <c r="A102" s="81" t="s">
        <v>710</v>
      </c>
      <c r="B102" s="81" t="s">
        <v>711</v>
      </c>
      <c r="C102" s="81" t="s">
        <v>397</v>
      </c>
      <c r="D102" s="94">
        <v>20</v>
      </c>
      <c r="E102" s="81">
        <v>0</v>
      </c>
      <c r="F102" s="81">
        <v>0</v>
      </c>
      <c r="G102" s="81">
        <v>0</v>
      </c>
      <c r="H102" s="81">
        <v>1</v>
      </c>
      <c r="I102" s="81">
        <v>0</v>
      </c>
      <c r="J102" s="81">
        <v>1</v>
      </c>
      <c r="K102" s="81">
        <v>0</v>
      </c>
      <c r="L102" s="81">
        <v>0</v>
      </c>
      <c r="M102" s="81">
        <v>0</v>
      </c>
      <c r="N102" s="81">
        <v>1</v>
      </c>
      <c r="O102" s="81">
        <v>0</v>
      </c>
      <c r="P102" s="81">
        <v>0</v>
      </c>
      <c r="Q102" s="81">
        <v>0</v>
      </c>
      <c r="R102" s="81">
        <v>0</v>
      </c>
      <c r="S102" s="81">
        <v>0</v>
      </c>
      <c r="T102" s="81">
        <v>1</v>
      </c>
      <c r="U102" s="81">
        <v>0</v>
      </c>
      <c r="V102" s="81">
        <v>0</v>
      </c>
      <c r="W102" s="81">
        <v>0</v>
      </c>
      <c r="X102" s="81">
        <v>0</v>
      </c>
      <c r="Y102" s="81">
        <v>0</v>
      </c>
      <c r="Z102" s="81">
        <v>1</v>
      </c>
      <c r="AA102" s="81">
        <v>0</v>
      </c>
      <c r="AB102" s="81">
        <v>0</v>
      </c>
      <c r="AC102" s="81">
        <v>0</v>
      </c>
      <c r="AD102" s="81">
        <v>0</v>
      </c>
      <c r="AE102" s="81">
        <v>0</v>
      </c>
      <c r="AF102" s="81">
        <v>0</v>
      </c>
      <c r="AG102" s="81">
        <v>0</v>
      </c>
      <c r="AH102" s="81">
        <v>0</v>
      </c>
      <c r="AI102" s="81">
        <v>0</v>
      </c>
      <c r="AJ102" s="81">
        <v>0</v>
      </c>
      <c r="AK102" s="81">
        <v>0</v>
      </c>
      <c r="AL102" s="81">
        <v>1</v>
      </c>
      <c r="AM102" s="81">
        <v>0</v>
      </c>
      <c r="AN102" s="81">
        <v>0</v>
      </c>
      <c r="AO102" s="81">
        <v>1</v>
      </c>
      <c r="AP102" s="81">
        <v>0</v>
      </c>
      <c r="AQ102" s="81">
        <v>0</v>
      </c>
      <c r="AR102" s="81">
        <v>0</v>
      </c>
      <c r="AS102" s="81">
        <v>0</v>
      </c>
      <c r="AT102" s="81">
        <v>1</v>
      </c>
      <c r="AU102" s="81">
        <v>0</v>
      </c>
      <c r="AV102" s="81">
        <v>0</v>
      </c>
      <c r="AW102" s="81">
        <v>1</v>
      </c>
      <c r="AX102" s="81">
        <v>0</v>
      </c>
      <c r="AY102" s="81">
        <v>0</v>
      </c>
      <c r="AZ102" s="81">
        <v>0</v>
      </c>
      <c r="BA102" s="81">
        <v>0</v>
      </c>
      <c r="BB102" s="81">
        <v>2</v>
      </c>
      <c r="BC102" s="81">
        <v>2</v>
      </c>
      <c r="BD102" s="81">
        <v>1</v>
      </c>
      <c r="BE102" s="81">
        <v>2</v>
      </c>
      <c r="BF102" s="81">
        <v>2</v>
      </c>
      <c r="BG102" s="81">
        <v>2</v>
      </c>
      <c r="BH102" s="81">
        <v>1</v>
      </c>
      <c r="BI102" s="81">
        <v>1</v>
      </c>
      <c r="BJ102" s="81">
        <v>2</v>
      </c>
      <c r="BK102" s="81">
        <v>2</v>
      </c>
      <c r="BL102" s="81">
        <v>2</v>
      </c>
      <c r="BM102" s="81">
        <v>1</v>
      </c>
      <c r="BN102" s="81">
        <v>2</v>
      </c>
      <c r="BO102" s="81">
        <v>2</v>
      </c>
      <c r="BP102" s="81">
        <v>2</v>
      </c>
      <c r="BQ102" s="81">
        <v>2</v>
      </c>
      <c r="BR102" s="81">
        <v>2</v>
      </c>
      <c r="BS102" s="81">
        <v>1</v>
      </c>
      <c r="BT102" s="81">
        <v>2</v>
      </c>
      <c r="BU102" s="81">
        <v>0</v>
      </c>
      <c r="BV102" s="81">
        <v>1</v>
      </c>
      <c r="BW102" s="81">
        <v>0</v>
      </c>
      <c r="BX102" s="81">
        <v>1</v>
      </c>
      <c r="BY102" s="81">
        <v>0</v>
      </c>
      <c r="BZ102" s="81">
        <v>0</v>
      </c>
      <c r="CA102" s="81">
        <v>0</v>
      </c>
      <c r="CB102" s="81">
        <v>2</v>
      </c>
      <c r="CC102" s="81">
        <v>2</v>
      </c>
      <c r="CD102" s="81">
        <v>2</v>
      </c>
      <c r="CE102" s="81">
        <v>2</v>
      </c>
      <c r="CF102" s="81">
        <v>2</v>
      </c>
      <c r="CG102" s="81">
        <v>2</v>
      </c>
      <c r="CH102" s="81">
        <v>0</v>
      </c>
      <c r="CI102" s="81">
        <v>1</v>
      </c>
      <c r="CJ102" s="81">
        <v>0</v>
      </c>
      <c r="CK102" s="81">
        <v>1</v>
      </c>
      <c r="CL102" s="81">
        <v>1</v>
      </c>
      <c r="CM102" s="81">
        <v>0</v>
      </c>
      <c r="CN102" s="81">
        <v>1</v>
      </c>
      <c r="CO102" s="81" t="s">
        <v>690</v>
      </c>
    </row>
    <row r="103" spans="1:93" ht="11.55" customHeight="1" x14ac:dyDescent="0.3">
      <c r="A103" s="81" t="s">
        <v>712</v>
      </c>
      <c r="B103" s="81" t="s">
        <v>713</v>
      </c>
      <c r="C103" s="81" t="s">
        <v>397</v>
      </c>
      <c r="D103" s="94">
        <v>20</v>
      </c>
      <c r="E103" s="81">
        <v>0</v>
      </c>
      <c r="F103" s="81">
        <v>0</v>
      </c>
      <c r="G103" s="81">
        <v>0</v>
      </c>
      <c r="H103" s="81">
        <v>1</v>
      </c>
      <c r="I103" s="81">
        <v>0</v>
      </c>
      <c r="J103" s="81">
        <v>1</v>
      </c>
      <c r="K103" s="81">
        <v>0</v>
      </c>
      <c r="L103" s="81">
        <v>0</v>
      </c>
      <c r="M103" s="81">
        <v>0</v>
      </c>
      <c r="N103" s="81">
        <v>1</v>
      </c>
      <c r="O103" s="81">
        <v>0</v>
      </c>
      <c r="P103" s="81">
        <v>0</v>
      </c>
      <c r="Q103" s="81">
        <v>0</v>
      </c>
      <c r="R103" s="81">
        <v>0</v>
      </c>
      <c r="S103" s="81">
        <v>0</v>
      </c>
      <c r="T103" s="81">
        <v>1</v>
      </c>
      <c r="U103" s="81">
        <v>0</v>
      </c>
      <c r="V103" s="81">
        <v>0</v>
      </c>
      <c r="W103" s="81">
        <v>0</v>
      </c>
      <c r="X103" s="81">
        <v>0</v>
      </c>
      <c r="Y103" s="81">
        <v>0</v>
      </c>
      <c r="Z103" s="81">
        <v>1</v>
      </c>
      <c r="AA103" s="81">
        <v>0</v>
      </c>
      <c r="AB103" s="81">
        <v>0</v>
      </c>
      <c r="AC103" s="81">
        <v>0</v>
      </c>
      <c r="AD103" s="81">
        <v>0</v>
      </c>
      <c r="AE103" s="81">
        <v>0</v>
      </c>
      <c r="AF103" s="81">
        <v>0</v>
      </c>
      <c r="AG103" s="81">
        <v>0</v>
      </c>
      <c r="AH103" s="81">
        <v>0</v>
      </c>
      <c r="AI103" s="81">
        <v>0</v>
      </c>
      <c r="AJ103" s="81">
        <v>0</v>
      </c>
      <c r="AK103" s="81">
        <v>0</v>
      </c>
      <c r="AL103" s="81">
        <v>1</v>
      </c>
      <c r="AM103" s="81">
        <v>0</v>
      </c>
      <c r="AN103" s="81">
        <v>0</v>
      </c>
      <c r="AO103" s="81">
        <v>1</v>
      </c>
      <c r="AP103" s="81">
        <v>0</v>
      </c>
      <c r="AQ103" s="81">
        <v>0</v>
      </c>
      <c r="AR103" s="81">
        <v>0</v>
      </c>
      <c r="AS103" s="81">
        <v>0</v>
      </c>
      <c r="AT103" s="81">
        <v>1</v>
      </c>
      <c r="AU103" s="81">
        <v>0</v>
      </c>
      <c r="AV103" s="81">
        <v>0</v>
      </c>
      <c r="AW103" s="81">
        <v>1</v>
      </c>
      <c r="AX103" s="81">
        <v>0</v>
      </c>
      <c r="AY103" s="81">
        <v>0</v>
      </c>
      <c r="AZ103" s="81">
        <v>0</v>
      </c>
      <c r="BA103" s="81">
        <v>0</v>
      </c>
      <c r="BB103" s="81">
        <v>2</v>
      </c>
      <c r="BC103" s="81">
        <v>2</v>
      </c>
      <c r="BD103" s="81">
        <v>1</v>
      </c>
      <c r="BE103" s="81">
        <v>2</v>
      </c>
      <c r="BF103" s="81">
        <v>2</v>
      </c>
      <c r="BG103" s="81">
        <v>2</v>
      </c>
      <c r="BH103" s="81">
        <v>1</v>
      </c>
      <c r="BI103" s="81">
        <v>1</v>
      </c>
      <c r="BJ103" s="81">
        <v>2</v>
      </c>
      <c r="BK103" s="81">
        <v>2</v>
      </c>
      <c r="BL103" s="81">
        <v>2</v>
      </c>
      <c r="BM103" s="81">
        <v>1</v>
      </c>
      <c r="BN103" s="81">
        <v>2</v>
      </c>
      <c r="BO103" s="81">
        <v>2</v>
      </c>
      <c r="BP103" s="81">
        <v>2</v>
      </c>
      <c r="BQ103" s="81">
        <v>2</v>
      </c>
      <c r="BR103" s="81">
        <v>2</v>
      </c>
      <c r="BS103" s="81">
        <v>1</v>
      </c>
      <c r="BT103" s="81">
        <v>2</v>
      </c>
      <c r="BU103" s="81">
        <v>0</v>
      </c>
      <c r="BV103" s="81">
        <v>1</v>
      </c>
      <c r="BW103" s="81">
        <v>0</v>
      </c>
      <c r="BX103" s="81">
        <v>1</v>
      </c>
      <c r="BY103" s="81">
        <v>0</v>
      </c>
      <c r="BZ103" s="81">
        <v>0</v>
      </c>
      <c r="CA103" s="81">
        <v>0</v>
      </c>
      <c r="CB103" s="81">
        <v>2</v>
      </c>
      <c r="CC103" s="81">
        <v>2</v>
      </c>
      <c r="CD103" s="81">
        <v>2</v>
      </c>
      <c r="CE103" s="81">
        <v>2</v>
      </c>
      <c r="CF103" s="81">
        <v>2</v>
      </c>
      <c r="CG103" s="81">
        <v>2</v>
      </c>
      <c r="CH103" s="81">
        <v>0</v>
      </c>
      <c r="CI103" s="81">
        <v>1</v>
      </c>
      <c r="CJ103" s="81">
        <v>0</v>
      </c>
      <c r="CK103" s="81">
        <v>1</v>
      </c>
      <c r="CL103" s="81">
        <v>1</v>
      </c>
      <c r="CM103" s="81">
        <v>0</v>
      </c>
      <c r="CN103" s="81">
        <v>1</v>
      </c>
      <c r="CO103" s="81" t="s">
        <v>690</v>
      </c>
    </row>
    <row r="104" spans="1:93" ht="11.55" customHeight="1" x14ac:dyDescent="0.3">
      <c r="A104" s="81" t="s">
        <v>714</v>
      </c>
      <c r="B104" s="81" t="s">
        <v>715</v>
      </c>
      <c r="C104" s="81" t="s">
        <v>397</v>
      </c>
      <c r="D104" s="94">
        <v>20</v>
      </c>
      <c r="E104" s="81">
        <v>0</v>
      </c>
      <c r="F104" s="81">
        <v>0</v>
      </c>
      <c r="G104" s="81">
        <v>0</v>
      </c>
      <c r="H104" s="81">
        <v>1</v>
      </c>
      <c r="I104" s="81">
        <v>0</v>
      </c>
      <c r="J104" s="81">
        <v>1</v>
      </c>
      <c r="K104" s="81">
        <v>0</v>
      </c>
      <c r="L104" s="81">
        <v>0</v>
      </c>
      <c r="M104" s="81">
        <v>0</v>
      </c>
      <c r="N104" s="81">
        <v>1</v>
      </c>
      <c r="O104" s="81">
        <v>0</v>
      </c>
      <c r="P104" s="81">
        <v>0</v>
      </c>
      <c r="Q104" s="81">
        <v>0</v>
      </c>
      <c r="R104" s="81">
        <v>0</v>
      </c>
      <c r="S104" s="81">
        <v>0</v>
      </c>
      <c r="T104" s="81">
        <v>1</v>
      </c>
      <c r="U104" s="81">
        <v>0</v>
      </c>
      <c r="V104" s="81">
        <v>0</v>
      </c>
      <c r="W104" s="81">
        <v>0</v>
      </c>
      <c r="X104" s="81">
        <v>0</v>
      </c>
      <c r="Y104" s="81">
        <v>0</v>
      </c>
      <c r="Z104" s="81">
        <v>1</v>
      </c>
      <c r="AA104" s="81">
        <v>0</v>
      </c>
      <c r="AB104" s="81">
        <v>0</v>
      </c>
      <c r="AC104" s="81">
        <v>0</v>
      </c>
      <c r="AD104" s="81">
        <v>0</v>
      </c>
      <c r="AE104" s="81">
        <v>0</v>
      </c>
      <c r="AF104" s="81">
        <v>0</v>
      </c>
      <c r="AG104" s="81">
        <v>0</v>
      </c>
      <c r="AH104" s="81">
        <v>0</v>
      </c>
      <c r="AI104" s="81">
        <v>0</v>
      </c>
      <c r="AJ104" s="81">
        <v>0</v>
      </c>
      <c r="AK104" s="81">
        <v>0</v>
      </c>
      <c r="AL104" s="81">
        <v>1</v>
      </c>
      <c r="AM104" s="81">
        <v>0</v>
      </c>
      <c r="AN104" s="81">
        <v>0</v>
      </c>
      <c r="AO104" s="81">
        <v>1</v>
      </c>
      <c r="AP104" s="81">
        <v>0</v>
      </c>
      <c r="AQ104" s="81">
        <v>0</v>
      </c>
      <c r="AR104" s="81">
        <v>0</v>
      </c>
      <c r="AS104" s="81">
        <v>0</v>
      </c>
      <c r="AT104" s="81">
        <v>1</v>
      </c>
      <c r="AU104" s="81">
        <v>0</v>
      </c>
      <c r="AV104" s="81">
        <v>0</v>
      </c>
      <c r="AW104" s="81">
        <v>1</v>
      </c>
      <c r="AX104" s="81">
        <v>0</v>
      </c>
      <c r="AY104" s="81">
        <v>0</v>
      </c>
      <c r="AZ104" s="81">
        <v>0</v>
      </c>
      <c r="BA104" s="81">
        <v>0</v>
      </c>
      <c r="BB104" s="81">
        <v>2</v>
      </c>
      <c r="BC104" s="81">
        <v>2</v>
      </c>
      <c r="BD104" s="81">
        <v>1</v>
      </c>
      <c r="BE104" s="81">
        <v>2</v>
      </c>
      <c r="BF104" s="81">
        <v>2</v>
      </c>
      <c r="BG104" s="81">
        <v>2</v>
      </c>
      <c r="BH104" s="81">
        <v>1</v>
      </c>
      <c r="BI104" s="81">
        <v>1</v>
      </c>
      <c r="BJ104" s="81">
        <v>2</v>
      </c>
      <c r="BK104" s="81">
        <v>2</v>
      </c>
      <c r="BL104" s="81">
        <v>2</v>
      </c>
      <c r="BM104" s="81">
        <v>1</v>
      </c>
      <c r="BN104" s="81">
        <v>2</v>
      </c>
      <c r="BO104" s="81">
        <v>2</v>
      </c>
      <c r="BP104" s="81">
        <v>2</v>
      </c>
      <c r="BQ104" s="81">
        <v>2</v>
      </c>
      <c r="BR104" s="81">
        <v>2</v>
      </c>
      <c r="BS104" s="81">
        <v>1</v>
      </c>
      <c r="BT104" s="81">
        <v>2</v>
      </c>
      <c r="BU104" s="81">
        <v>0</v>
      </c>
      <c r="BV104" s="81">
        <v>1</v>
      </c>
      <c r="BW104" s="81">
        <v>0</v>
      </c>
      <c r="BX104" s="81">
        <v>1</v>
      </c>
      <c r="BY104" s="81">
        <v>0</v>
      </c>
      <c r="BZ104" s="81">
        <v>0</v>
      </c>
      <c r="CA104" s="81">
        <v>0</v>
      </c>
      <c r="CB104" s="81">
        <v>2</v>
      </c>
      <c r="CC104" s="81">
        <v>2</v>
      </c>
      <c r="CD104" s="81">
        <v>2</v>
      </c>
      <c r="CE104" s="81">
        <v>2</v>
      </c>
      <c r="CF104" s="81">
        <v>2</v>
      </c>
      <c r="CG104" s="81">
        <v>2</v>
      </c>
      <c r="CH104" s="81">
        <v>0</v>
      </c>
      <c r="CI104" s="81">
        <v>1</v>
      </c>
      <c r="CJ104" s="81">
        <v>0</v>
      </c>
      <c r="CK104" s="81">
        <v>1</v>
      </c>
      <c r="CL104" s="81">
        <v>1</v>
      </c>
      <c r="CM104" s="81">
        <v>0</v>
      </c>
      <c r="CN104" s="81">
        <v>1</v>
      </c>
      <c r="CO104" s="81" t="s">
        <v>690</v>
      </c>
    </row>
    <row r="105" spans="1:93" ht="11.55" customHeight="1" x14ac:dyDescent="0.3">
      <c r="A105" s="81" t="s">
        <v>716</v>
      </c>
      <c r="B105" s="81" t="s">
        <v>717</v>
      </c>
      <c r="C105" s="81" t="s">
        <v>397</v>
      </c>
      <c r="D105" s="94">
        <v>20</v>
      </c>
      <c r="E105" s="81">
        <v>0</v>
      </c>
      <c r="F105" s="81">
        <v>0</v>
      </c>
      <c r="G105" s="81">
        <v>0</v>
      </c>
      <c r="H105" s="81">
        <v>1</v>
      </c>
      <c r="I105" s="81">
        <v>0</v>
      </c>
      <c r="J105" s="81">
        <v>1</v>
      </c>
      <c r="K105" s="81">
        <v>0</v>
      </c>
      <c r="L105" s="81">
        <v>0</v>
      </c>
      <c r="M105" s="81">
        <v>0</v>
      </c>
      <c r="N105" s="81">
        <v>1</v>
      </c>
      <c r="O105" s="81">
        <v>0</v>
      </c>
      <c r="P105" s="81">
        <v>0</v>
      </c>
      <c r="Q105" s="81">
        <v>0</v>
      </c>
      <c r="R105" s="81">
        <v>0</v>
      </c>
      <c r="S105" s="81">
        <v>0</v>
      </c>
      <c r="T105" s="81">
        <v>1</v>
      </c>
      <c r="U105" s="81">
        <v>0</v>
      </c>
      <c r="V105" s="81">
        <v>0</v>
      </c>
      <c r="W105" s="81">
        <v>0</v>
      </c>
      <c r="X105" s="81">
        <v>0</v>
      </c>
      <c r="Y105" s="81">
        <v>0</v>
      </c>
      <c r="Z105" s="81">
        <v>1</v>
      </c>
      <c r="AA105" s="81">
        <v>0</v>
      </c>
      <c r="AB105" s="81">
        <v>0</v>
      </c>
      <c r="AC105" s="81">
        <v>0</v>
      </c>
      <c r="AD105" s="81">
        <v>0</v>
      </c>
      <c r="AE105" s="81">
        <v>0</v>
      </c>
      <c r="AF105" s="81">
        <v>0</v>
      </c>
      <c r="AG105" s="81">
        <v>0</v>
      </c>
      <c r="AH105" s="81">
        <v>0</v>
      </c>
      <c r="AI105" s="81">
        <v>0</v>
      </c>
      <c r="AJ105" s="81">
        <v>0</v>
      </c>
      <c r="AK105" s="81">
        <v>0</v>
      </c>
      <c r="AL105" s="81">
        <v>1</v>
      </c>
      <c r="AM105" s="81">
        <v>0</v>
      </c>
      <c r="AN105" s="81">
        <v>0</v>
      </c>
      <c r="AO105" s="81">
        <v>1</v>
      </c>
      <c r="AP105" s="81">
        <v>0</v>
      </c>
      <c r="AQ105" s="81">
        <v>0</v>
      </c>
      <c r="AR105" s="81">
        <v>0</v>
      </c>
      <c r="AS105" s="81">
        <v>0</v>
      </c>
      <c r="AT105" s="81">
        <v>1</v>
      </c>
      <c r="AU105" s="81">
        <v>0</v>
      </c>
      <c r="AV105" s="81">
        <v>0</v>
      </c>
      <c r="AW105" s="81">
        <v>1</v>
      </c>
      <c r="AX105" s="81">
        <v>0</v>
      </c>
      <c r="AY105" s="81">
        <v>0</v>
      </c>
      <c r="AZ105" s="81">
        <v>0</v>
      </c>
      <c r="BA105" s="81">
        <v>0</v>
      </c>
      <c r="BB105" s="81">
        <v>2</v>
      </c>
      <c r="BC105" s="81">
        <v>2</v>
      </c>
      <c r="BD105" s="81">
        <v>1</v>
      </c>
      <c r="BE105" s="81">
        <v>2</v>
      </c>
      <c r="BF105" s="81">
        <v>2</v>
      </c>
      <c r="BG105" s="81">
        <v>2</v>
      </c>
      <c r="BH105" s="81">
        <v>1</v>
      </c>
      <c r="BI105" s="81">
        <v>1</v>
      </c>
      <c r="BJ105" s="81">
        <v>2</v>
      </c>
      <c r="BK105" s="81">
        <v>2</v>
      </c>
      <c r="BL105" s="81">
        <v>2</v>
      </c>
      <c r="BM105" s="81">
        <v>1</v>
      </c>
      <c r="BN105" s="81">
        <v>2</v>
      </c>
      <c r="BO105" s="81">
        <v>2</v>
      </c>
      <c r="BP105" s="81">
        <v>2</v>
      </c>
      <c r="BQ105" s="81">
        <v>2</v>
      </c>
      <c r="BR105" s="81">
        <v>2</v>
      </c>
      <c r="BS105" s="81">
        <v>1</v>
      </c>
      <c r="BT105" s="81">
        <v>2</v>
      </c>
      <c r="BU105" s="81">
        <v>0</v>
      </c>
      <c r="BV105" s="81">
        <v>1</v>
      </c>
      <c r="BW105" s="81">
        <v>0</v>
      </c>
      <c r="BX105" s="81">
        <v>1</v>
      </c>
      <c r="BY105" s="81">
        <v>0</v>
      </c>
      <c r="BZ105" s="81">
        <v>0</v>
      </c>
      <c r="CA105" s="81">
        <v>0</v>
      </c>
      <c r="CB105" s="81">
        <v>2</v>
      </c>
      <c r="CC105" s="81">
        <v>2</v>
      </c>
      <c r="CD105" s="81">
        <v>2</v>
      </c>
      <c r="CE105" s="81">
        <v>2</v>
      </c>
      <c r="CF105" s="81">
        <v>2</v>
      </c>
      <c r="CG105" s="81">
        <v>2</v>
      </c>
      <c r="CH105" s="81">
        <v>0</v>
      </c>
      <c r="CI105" s="81">
        <v>1</v>
      </c>
      <c r="CJ105" s="81">
        <v>0</v>
      </c>
      <c r="CK105" s="81">
        <v>1</v>
      </c>
      <c r="CL105" s="81">
        <v>1</v>
      </c>
      <c r="CM105" s="81">
        <v>0</v>
      </c>
      <c r="CN105" s="81">
        <v>1</v>
      </c>
      <c r="CO105" s="81" t="s">
        <v>690</v>
      </c>
    </row>
    <row r="106" spans="1:93" ht="11.55" customHeight="1" x14ac:dyDescent="0.3">
      <c r="A106" s="81" t="s">
        <v>718</v>
      </c>
      <c r="B106" s="81" t="s">
        <v>719</v>
      </c>
      <c r="C106" s="81" t="s">
        <v>397</v>
      </c>
      <c r="D106" s="94">
        <v>21</v>
      </c>
      <c r="E106" s="81">
        <v>0</v>
      </c>
      <c r="F106" s="81">
        <v>0</v>
      </c>
      <c r="G106" s="81">
        <v>0</v>
      </c>
      <c r="H106" s="81">
        <v>0</v>
      </c>
      <c r="I106" s="81">
        <v>1</v>
      </c>
      <c r="J106" s="81">
        <v>0</v>
      </c>
      <c r="K106" s="81">
        <v>0</v>
      </c>
      <c r="L106" s="81">
        <v>0</v>
      </c>
      <c r="M106" s="81">
        <v>1</v>
      </c>
      <c r="N106" s="81">
        <v>0</v>
      </c>
      <c r="O106" s="81">
        <v>0</v>
      </c>
      <c r="P106" s="81">
        <v>0</v>
      </c>
      <c r="Q106" s="81">
        <v>0</v>
      </c>
      <c r="R106" s="81">
        <v>0</v>
      </c>
      <c r="S106" s="81">
        <v>0</v>
      </c>
      <c r="T106" s="81">
        <v>0</v>
      </c>
      <c r="U106" s="81">
        <v>0</v>
      </c>
      <c r="V106" s="81">
        <v>0</v>
      </c>
      <c r="W106" s="81">
        <v>0</v>
      </c>
      <c r="X106" s="81">
        <v>0</v>
      </c>
      <c r="Y106" s="81">
        <v>0</v>
      </c>
      <c r="Z106" s="81">
        <v>1</v>
      </c>
      <c r="AA106" s="81">
        <v>0</v>
      </c>
      <c r="AB106" s="81">
        <v>0</v>
      </c>
      <c r="AC106" s="81">
        <v>0</v>
      </c>
      <c r="AD106" s="81">
        <v>0</v>
      </c>
      <c r="AE106" s="81">
        <v>1</v>
      </c>
      <c r="AF106" s="81">
        <v>0</v>
      </c>
      <c r="AG106" s="81">
        <v>0</v>
      </c>
      <c r="AH106" s="81">
        <v>0</v>
      </c>
      <c r="AI106" s="81">
        <v>0</v>
      </c>
      <c r="AJ106" s="81">
        <v>0</v>
      </c>
      <c r="AK106" s="81">
        <v>0</v>
      </c>
      <c r="AL106" s="81">
        <v>1</v>
      </c>
      <c r="AM106" s="81">
        <v>0</v>
      </c>
      <c r="AN106" s="81">
        <v>0</v>
      </c>
      <c r="AO106" s="81">
        <v>0</v>
      </c>
      <c r="AP106" s="81">
        <v>0</v>
      </c>
      <c r="AQ106" s="81">
        <v>0</v>
      </c>
      <c r="AR106" s="81">
        <v>0</v>
      </c>
      <c r="AS106" s="81">
        <v>0</v>
      </c>
      <c r="AT106" s="81">
        <v>1</v>
      </c>
      <c r="AU106" s="81">
        <v>0</v>
      </c>
      <c r="AV106" s="81">
        <v>0</v>
      </c>
      <c r="AW106" s="81">
        <v>1</v>
      </c>
      <c r="AX106" s="81">
        <v>0</v>
      </c>
      <c r="AY106" s="81">
        <v>0</v>
      </c>
      <c r="AZ106" s="81">
        <v>0</v>
      </c>
      <c r="BA106" s="81">
        <v>0</v>
      </c>
      <c r="BB106" s="81">
        <v>2</v>
      </c>
      <c r="BC106" s="81">
        <v>2</v>
      </c>
      <c r="BD106" s="81">
        <v>1</v>
      </c>
      <c r="BE106" s="81">
        <v>2</v>
      </c>
      <c r="BF106" s="81">
        <v>2</v>
      </c>
      <c r="BG106" s="81">
        <v>2</v>
      </c>
      <c r="BH106" s="81">
        <v>2</v>
      </c>
      <c r="BI106" s="81">
        <v>1</v>
      </c>
      <c r="BJ106" s="81">
        <v>2</v>
      </c>
      <c r="BK106" s="81">
        <v>2</v>
      </c>
      <c r="BL106" s="81">
        <v>2</v>
      </c>
      <c r="BM106" s="81">
        <v>1</v>
      </c>
      <c r="BN106" s="81">
        <v>2</v>
      </c>
      <c r="BO106" s="81">
        <v>2</v>
      </c>
      <c r="BP106" s="81">
        <v>2</v>
      </c>
      <c r="BQ106" s="81">
        <v>2</v>
      </c>
      <c r="BR106" s="81">
        <v>2</v>
      </c>
      <c r="BS106" s="81">
        <v>1</v>
      </c>
      <c r="BT106" s="81">
        <v>2</v>
      </c>
      <c r="BU106" s="81">
        <v>0</v>
      </c>
      <c r="BV106" s="81">
        <v>1</v>
      </c>
      <c r="BW106" s="81">
        <v>1</v>
      </c>
      <c r="BX106" s="81">
        <v>1</v>
      </c>
      <c r="BY106" s="81">
        <v>1</v>
      </c>
      <c r="BZ106" s="81">
        <v>0</v>
      </c>
      <c r="CA106" s="81">
        <v>0</v>
      </c>
      <c r="CB106" s="81">
        <v>2</v>
      </c>
      <c r="CC106" s="81">
        <v>2</v>
      </c>
      <c r="CD106" s="81">
        <v>2</v>
      </c>
      <c r="CE106" s="81">
        <v>2</v>
      </c>
      <c r="CF106" s="81">
        <v>2</v>
      </c>
      <c r="CG106" s="81">
        <v>2</v>
      </c>
      <c r="CH106" s="81">
        <v>0</v>
      </c>
      <c r="CI106" s="81">
        <v>1</v>
      </c>
      <c r="CJ106" s="81">
        <v>1</v>
      </c>
      <c r="CK106" s="81">
        <v>1</v>
      </c>
      <c r="CL106" s="81">
        <v>1</v>
      </c>
      <c r="CM106" s="81">
        <v>0</v>
      </c>
      <c r="CN106" s="81">
        <v>1</v>
      </c>
      <c r="CO106" s="81" t="s">
        <v>720</v>
      </c>
    </row>
    <row r="107" spans="1:93" ht="11.55" customHeight="1" x14ac:dyDescent="0.3">
      <c r="A107" s="81" t="s">
        <v>721</v>
      </c>
      <c r="B107" s="81" t="s">
        <v>722</v>
      </c>
      <c r="C107" s="81" t="s">
        <v>397</v>
      </c>
      <c r="D107" s="94">
        <v>20</v>
      </c>
      <c r="E107" s="81">
        <v>0</v>
      </c>
      <c r="F107" s="81">
        <v>0</v>
      </c>
      <c r="G107" s="81">
        <v>0</v>
      </c>
      <c r="H107" s="81">
        <v>1</v>
      </c>
      <c r="I107" s="81">
        <v>0</v>
      </c>
      <c r="J107" s="81">
        <v>1</v>
      </c>
      <c r="K107" s="81">
        <v>0</v>
      </c>
      <c r="L107" s="81">
        <v>0</v>
      </c>
      <c r="M107" s="81">
        <v>0</v>
      </c>
      <c r="N107" s="81">
        <v>1</v>
      </c>
      <c r="O107" s="81">
        <v>0</v>
      </c>
      <c r="P107" s="81">
        <v>0</v>
      </c>
      <c r="Q107" s="81">
        <v>0</v>
      </c>
      <c r="R107" s="81">
        <v>0</v>
      </c>
      <c r="S107" s="81">
        <v>0</v>
      </c>
      <c r="T107" s="81">
        <v>1</v>
      </c>
      <c r="U107" s="81">
        <v>0</v>
      </c>
      <c r="V107" s="81">
        <v>0</v>
      </c>
      <c r="W107" s="81">
        <v>0</v>
      </c>
      <c r="X107" s="81">
        <v>0</v>
      </c>
      <c r="Y107" s="81">
        <v>0</v>
      </c>
      <c r="Z107" s="81">
        <v>1</v>
      </c>
      <c r="AA107" s="81">
        <v>0</v>
      </c>
      <c r="AB107" s="81">
        <v>0</v>
      </c>
      <c r="AC107" s="81">
        <v>0</v>
      </c>
      <c r="AD107" s="81">
        <v>0</v>
      </c>
      <c r="AE107" s="81">
        <v>0</v>
      </c>
      <c r="AF107" s="81">
        <v>0</v>
      </c>
      <c r="AG107" s="81">
        <v>0</v>
      </c>
      <c r="AH107" s="81">
        <v>0</v>
      </c>
      <c r="AI107" s="81">
        <v>0</v>
      </c>
      <c r="AJ107" s="81">
        <v>0</v>
      </c>
      <c r="AK107" s="81">
        <v>0</v>
      </c>
      <c r="AL107" s="81">
        <v>1</v>
      </c>
      <c r="AM107" s="81">
        <v>0</v>
      </c>
      <c r="AN107" s="81">
        <v>0</v>
      </c>
      <c r="AO107" s="81">
        <v>1</v>
      </c>
      <c r="AP107" s="81">
        <v>0</v>
      </c>
      <c r="AQ107" s="81">
        <v>0</v>
      </c>
      <c r="AR107" s="81">
        <v>0</v>
      </c>
      <c r="AS107" s="81">
        <v>0</v>
      </c>
      <c r="AT107" s="81">
        <v>1</v>
      </c>
      <c r="AU107" s="81">
        <v>0</v>
      </c>
      <c r="AV107" s="81">
        <v>0</v>
      </c>
      <c r="AW107" s="81">
        <v>1</v>
      </c>
      <c r="AX107" s="81">
        <v>0</v>
      </c>
      <c r="AY107" s="81">
        <v>0</v>
      </c>
      <c r="AZ107" s="81">
        <v>0</v>
      </c>
      <c r="BA107" s="81">
        <v>0</v>
      </c>
      <c r="BB107" s="81">
        <v>2</v>
      </c>
      <c r="BC107" s="81">
        <v>2</v>
      </c>
      <c r="BD107" s="81">
        <v>1</v>
      </c>
      <c r="BE107" s="81">
        <v>2</v>
      </c>
      <c r="BF107" s="81">
        <v>2</v>
      </c>
      <c r="BG107" s="81">
        <v>2</v>
      </c>
      <c r="BH107" s="81">
        <v>1</v>
      </c>
      <c r="BI107" s="81">
        <v>1</v>
      </c>
      <c r="BJ107" s="81">
        <v>2</v>
      </c>
      <c r="BK107" s="81">
        <v>2</v>
      </c>
      <c r="BL107" s="81">
        <v>2</v>
      </c>
      <c r="BM107" s="81">
        <v>1</v>
      </c>
      <c r="BN107" s="81">
        <v>2</v>
      </c>
      <c r="BO107" s="81">
        <v>2</v>
      </c>
      <c r="BP107" s="81">
        <v>2</v>
      </c>
      <c r="BQ107" s="81">
        <v>2</v>
      </c>
      <c r="BR107" s="81">
        <v>2</v>
      </c>
      <c r="BS107" s="81">
        <v>1</v>
      </c>
      <c r="BT107" s="81">
        <v>2</v>
      </c>
      <c r="BU107" s="81">
        <v>0</v>
      </c>
      <c r="BV107" s="81">
        <v>1</v>
      </c>
      <c r="BW107" s="81">
        <v>0</v>
      </c>
      <c r="BX107" s="81">
        <v>1</v>
      </c>
      <c r="BY107" s="81">
        <v>0</v>
      </c>
      <c r="BZ107" s="81">
        <v>0</v>
      </c>
      <c r="CA107" s="81">
        <v>0</v>
      </c>
      <c r="CB107" s="81">
        <v>2</v>
      </c>
      <c r="CC107" s="81">
        <v>2</v>
      </c>
      <c r="CD107" s="81">
        <v>2</v>
      </c>
      <c r="CE107" s="81">
        <v>2</v>
      </c>
      <c r="CF107" s="81">
        <v>2</v>
      </c>
      <c r="CG107" s="81">
        <v>2</v>
      </c>
      <c r="CH107" s="81">
        <v>0</v>
      </c>
      <c r="CI107" s="81">
        <v>1</v>
      </c>
      <c r="CJ107" s="81">
        <v>0</v>
      </c>
      <c r="CK107" s="81">
        <v>1</v>
      </c>
      <c r="CL107" s="81">
        <v>1</v>
      </c>
      <c r="CM107" s="81">
        <v>0</v>
      </c>
      <c r="CN107" s="81">
        <v>1</v>
      </c>
      <c r="CO107" s="81" t="s">
        <v>690</v>
      </c>
    </row>
    <row r="108" spans="1:93" ht="11.55" customHeight="1" x14ac:dyDescent="0.3">
      <c r="A108" s="81" t="s">
        <v>723</v>
      </c>
      <c r="B108" s="81" t="s">
        <v>724</v>
      </c>
      <c r="C108" s="81" t="s">
        <v>397</v>
      </c>
      <c r="D108" s="94">
        <v>20</v>
      </c>
      <c r="E108" s="81">
        <v>0</v>
      </c>
      <c r="F108" s="81">
        <v>0</v>
      </c>
      <c r="G108" s="81">
        <v>0</v>
      </c>
      <c r="H108" s="81">
        <v>1</v>
      </c>
      <c r="I108" s="81">
        <v>0</v>
      </c>
      <c r="J108" s="81">
        <v>1</v>
      </c>
      <c r="K108" s="81">
        <v>0</v>
      </c>
      <c r="L108" s="81">
        <v>0</v>
      </c>
      <c r="M108" s="81">
        <v>0</v>
      </c>
      <c r="N108" s="81">
        <v>1</v>
      </c>
      <c r="O108" s="81">
        <v>0</v>
      </c>
      <c r="P108" s="81">
        <v>0</v>
      </c>
      <c r="Q108" s="81">
        <v>0</v>
      </c>
      <c r="R108" s="81">
        <v>0</v>
      </c>
      <c r="S108" s="81">
        <v>0</v>
      </c>
      <c r="T108" s="81">
        <v>1</v>
      </c>
      <c r="U108" s="81">
        <v>0</v>
      </c>
      <c r="V108" s="81">
        <v>0</v>
      </c>
      <c r="W108" s="81">
        <v>0</v>
      </c>
      <c r="X108" s="81">
        <v>0</v>
      </c>
      <c r="Y108" s="81">
        <v>0</v>
      </c>
      <c r="Z108" s="81">
        <v>1</v>
      </c>
      <c r="AA108" s="81">
        <v>0</v>
      </c>
      <c r="AB108" s="81">
        <v>0</v>
      </c>
      <c r="AC108" s="81">
        <v>0</v>
      </c>
      <c r="AD108" s="81">
        <v>0</v>
      </c>
      <c r="AE108" s="81">
        <v>0</v>
      </c>
      <c r="AF108" s="81">
        <v>0</v>
      </c>
      <c r="AG108" s="81">
        <v>0</v>
      </c>
      <c r="AH108" s="81">
        <v>0</v>
      </c>
      <c r="AI108" s="81">
        <v>0</v>
      </c>
      <c r="AJ108" s="81">
        <v>0</v>
      </c>
      <c r="AK108" s="81">
        <v>0</v>
      </c>
      <c r="AL108" s="81">
        <v>1</v>
      </c>
      <c r="AM108" s="81">
        <v>0</v>
      </c>
      <c r="AN108" s="81">
        <v>0</v>
      </c>
      <c r="AO108" s="81">
        <v>1</v>
      </c>
      <c r="AP108" s="81">
        <v>0</v>
      </c>
      <c r="AQ108" s="81">
        <v>0</v>
      </c>
      <c r="AR108" s="81">
        <v>0</v>
      </c>
      <c r="AS108" s="81">
        <v>0</v>
      </c>
      <c r="AT108" s="81">
        <v>1</v>
      </c>
      <c r="AU108" s="81">
        <v>0</v>
      </c>
      <c r="AV108" s="81">
        <v>0</v>
      </c>
      <c r="AW108" s="81">
        <v>1</v>
      </c>
      <c r="AX108" s="81">
        <v>0</v>
      </c>
      <c r="AY108" s="81">
        <v>0</v>
      </c>
      <c r="AZ108" s="81">
        <v>0</v>
      </c>
      <c r="BA108" s="81">
        <v>0</v>
      </c>
      <c r="BB108" s="81">
        <v>2</v>
      </c>
      <c r="BC108" s="81">
        <v>2</v>
      </c>
      <c r="BD108" s="81">
        <v>1</v>
      </c>
      <c r="BE108" s="81">
        <v>2</v>
      </c>
      <c r="BF108" s="81">
        <v>2</v>
      </c>
      <c r="BG108" s="81">
        <v>2</v>
      </c>
      <c r="BH108" s="81">
        <v>1</v>
      </c>
      <c r="BI108" s="81">
        <v>1</v>
      </c>
      <c r="BJ108" s="81">
        <v>2</v>
      </c>
      <c r="BK108" s="81">
        <v>2</v>
      </c>
      <c r="BL108" s="81">
        <v>2</v>
      </c>
      <c r="BM108" s="81">
        <v>1</v>
      </c>
      <c r="BN108" s="81">
        <v>2</v>
      </c>
      <c r="BO108" s="81">
        <v>2</v>
      </c>
      <c r="BP108" s="81">
        <v>2</v>
      </c>
      <c r="BQ108" s="81">
        <v>2</v>
      </c>
      <c r="BR108" s="81">
        <v>2</v>
      </c>
      <c r="BS108" s="81">
        <v>1</v>
      </c>
      <c r="BT108" s="81">
        <v>2</v>
      </c>
      <c r="BU108" s="81">
        <v>0</v>
      </c>
      <c r="BV108" s="81">
        <v>1</v>
      </c>
      <c r="BW108" s="81">
        <v>0</v>
      </c>
      <c r="BX108" s="81">
        <v>1</v>
      </c>
      <c r="BY108" s="81">
        <v>0</v>
      </c>
      <c r="BZ108" s="81">
        <v>0</v>
      </c>
      <c r="CA108" s="81">
        <v>0</v>
      </c>
      <c r="CB108" s="81">
        <v>2</v>
      </c>
      <c r="CC108" s="81">
        <v>2</v>
      </c>
      <c r="CD108" s="81">
        <v>2</v>
      </c>
      <c r="CE108" s="81">
        <v>2</v>
      </c>
      <c r="CF108" s="81">
        <v>2</v>
      </c>
      <c r="CG108" s="81">
        <v>2</v>
      </c>
      <c r="CH108" s="81">
        <v>0</v>
      </c>
      <c r="CI108" s="81">
        <v>1</v>
      </c>
      <c r="CJ108" s="81">
        <v>0</v>
      </c>
      <c r="CK108" s="81">
        <v>1</v>
      </c>
      <c r="CL108" s="81">
        <v>1</v>
      </c>
      <c r="CM108" s="81">
        <v>0</v>
      </c>
      <c r="CN108" s="81">
        <v>1</v>
      </c>
      <c r="CO108" s="81" t="s">
        <v>703</v>
      </c>
    </row>
    <row r="109" spans="1:93" ht="11.55" customHeight="1" x14ac:dyDescent="0.3">
      <c r="A109" s="81" t="s">
        <v>725</v>
      </c>
      <c r="B109" s="81" t="s">
        <v>726</v>
      </c>
      <c r="C109" s="81" t="s">
        <v>397</v>
      </c>
      <c r="D109" s="94">
        <v>20</v>
      </c>
      <c r="E109" s="81">
        <v>0</v>
      </c>
      <c r="F109" s="81">
        <v>0</v>
      </c>
      <c r="G109" s="81">
        <v>0</v>
      </c>
      <c r="H109" s="81">
        <v>1</v>
      </c>
      <c r="I109" s="81">
        <v>0</v>
      </c>
      <c r="J109" s="81">
        <v>1</v>
      </c>
      <c r="K109" s="81">
        <v>0</v>
      </c>
      <c r="L109" s="81">
        <v>0</v>
      </c>
      <c r="M109" s="81">
        <v>0</v>
      </c>
      <c r="N109" s="81">
        <v>1</v>
      </c>
      <c r="O109" s="81">
        <v>0</v>
      </c>
      <c r="P109" s="81">
        <v>0</v>
      </c>
      <c r="Q109" s="81">
        <v>0</v>
      </c>
      <c r="R109" s="81">
        <v>0</v>
      </c>
      <c r="S109" s="81">
        <v>0</v>
      </c>
      <c r="T109" s="81">
        <v>1</v>
      </c>
      <c r="U109" s="81">
        <v>0</v>
      </c>
      <c r="V109" s="81">
        <v>0</v>
      </c>
      <c r="W109" s="81">
        <v>0</v>
      </c>
      <c r="X109" s="81">
        <v>0</v>
      </c>
      <c r="Y109" s="81">
        <v>0</v>
      </c>
      <c r="Z109" s="81">
        <v>1</v>
      </c>
      <c r="AA109" s="81">
        <v>0</v>
      </c>
      <c r="AB109" s="81">
        <v>0</v>
      </c>
      <c r="AC109" s="81">
        <v>0</v>
      </c>
      <c r="AD109" s="81">
        <v>0</v>
      </c>
      <c r="AE109" s="81">
        <v>0</v>
      </c>
      <c r="AF109" s="81">
        <v>0</v>
      </c>
      <c r="AG109" s="81">
        <v>0</v>
      </c>
      <c r="AH109" s="81">
        <v>0</v>
      </c>
      <c r="AI109" s="81">
        <v>0</v>
      </c>
      <c r="AJ109" s="81">
        <v>0</v>
      </c>
      <c r="AK109" s="81">
        <v>0</v>
      </c>
      <c r="AL109" s="81">
        <v>1</v>
      </c>
      <c r="AM109" s="81">
        <v>0</v>
      </c>
      <c r="AN109" s="81">
        <v>0</v>
      </c>
      <c r="AO109" s="81">
        <v>1</v>
      </c>
      <c r="AP109" s="81">
        <v>0</v>
      </c>
      <c r="AQ109" s="81">
        <v>0</v>
      </c>
      <c r="AR109" s="81">
        <v>0</v>
      </c>
      <c r="AS109" s="81">
        <v>0</v>
      </c>
      <c r="AT109" s="81">
        <v>1</v>
      </c>
      <c r="AU109" s="81">
        <v>0</v>
      </c>
      <c r="AV109" s="81">
        <v>0</v>
      </c>
      <c r="AW109" s="81">
        <v>1</v>
      </c>
      <c r="AX109" s="81">
        <v>0</v>
      </c>
      <c r="AY109" s="81">
        <v>0</v>
      </c>
      <c r="AZ109" s="81">
        <v>0</v>
      </c>
      <c r="BA109" s="81">
        <v>0</v>
      </c>
      <c r="BB109" s="81">
        <v>2</v>
      </c>
      <c r="BC109" s="81">
        <v>2</v>
      </c>
      <c r="BD109" s="81">
        <v>1</v>
      </c>
      <c r="BE109" s="81">
        <v>2</v>
      </c>
      <c r="BF109" s="81">
        <v>2</v>
      </c>
      <c r="BG109" s="81">
        <v>2</v>
      </c>
      <c r="BH109" s="81">
        <v>1</v>
      </c>
      <c r="BI109" s="81">
        <v>1</v>
      </c>
      <c r="BJ109" s="81">
        <v>2</v>
      </c>
      <c r="BK109" s="81">
        <v>2</v>
      </c>
      <c r="BL109" s="81">
        <v>2</v>
      </c>
      <c r="BM109" s="81">
        <v>1</v>
      </c>
      <c r="BN109" s="81">
        <v>2</v>
      </c>
      <c r="BO109" s="81">
        <v>2</v>
      </c>
      <c r="BP109" s="81">
        <v>2</v>
      </c>
      <c r="BQ109" s="81">
        <v>2</v>
      </c>
      <c r="BR109" s="81">
        <v>2</v>
      </c>
      <c r="BS109" s="81">
        <v>1</v>
      </c>
      <c r="BT109" s="81">
        <v>2</v>
      </c>
      <c r="BU109" s="81">
        <v>0</v>
      </c>
      <c r="BV109" s="81">
        <v>1</v>
      </c>
      <c r="BW109" s="81">
        <v>0</v>
      </c>
      <c r="BX109" s="81">
        <v>1</v>
      </c>
      <c r="BY109" s="81">
        <v>0</v>
      </c>
      <c r="BZ109" s="81">
        <v>0</v>
      </c>
      <c r="CA109" s="81">
        <v>0</v>
      </c>
      <c r="CB109" s="81">
        <v>2</v>
      </c>
      <c r="CC109" s="81">
        <v>2</v>
      </c>
      <c r="CD109" s="81">
        <v>2</v>
      </c>
      <c r="CE109" s="81">
        <v>2</v>
      </c>
      <c r="CF109" s="81">
        <v>2</v>
      </c>
      <c r="CG109" s="81">
        <v>2</v>
      </c>
      <c r="CH109" s="81">
        <v>0</v>
      </c>
      <c r="CI109" s="81">
        <v>1</v>
      </c>
      <c r="CJ109" s="81">
        <v>0</v>
      </c>
      <c r="CK109" s="81">
        <v>1</v>
      </c>
      <c r="CL109" s="81">
        <v>1</v>
      </c>
      <c r="CM109" s="81">
        <v>0</v>
      </c>
      <c r="CN109" s="81">
        <v>1</v>
      </c>
      <c r="CO109" s="81" t="s">
        <v>690</v>
      </c>
    </row>
    <row r="110" spans="1:93" ht="11.55" customHeight="1" x14ac:dyDescent="0.3">
      <c r="A110" s="81" t="s">
        <v>727</v>
      </c>
      <c r="B110" s="81" t="s">
        <v>728</v>
      </c>
      <c r="C110" s="81" t="s">
        <v>397</v>
      </c>
      <c r="D110" s="94">
        <v>20</v>
      </c>
      <c r="E110" s="81">
        <v>0</v>
      </c>
      <c r="F110" s="81">
        <v>0</v>
      </c>
      <c r="G110" s="81">
        <v>0</v>
      </c>
      <c r="H110" s="81">
        <v>1</v>
      </c>
      <c r="I110" s="81">
        <v>0</v>
      </c>
      <c r="J110" s="81">
        <v>1</v>
      </c>
      <c r="K110" s="81">
        <v>0</v>
      </c>
      <c r="L110" s="81">
        <v>0</v>
      </c>
      <c r="M110" s="81">
        <v>0</v>
      </c>
      <c r="N110" s="81">
        <v>1</v>
      </c>
      <c r="O110" s="81">
        <v>0</v>
      </c>
      <c r="P110" s="81">
        <v>0</v>
      </c>
      <c r="Q110" s="81">
        <v>0</v>
      </c>
      <c r="R110" s="81">
        <v>0</v>
      </c>
      <c r="S110" s="81">
        <v>0</v>
      </c>
      <c r="T110" s="81">
        <v>1</v>
      </c>
      <c r="U110" s="81">
        <v>0</v>
      </c>
      <c r="V110" s="81">
        <v>0</v>
      </c>
      <c r="W110" s="81">
        <v>0</v>
      </c>
      <c r="X110" s="81">
        <v>0</v>
      </c>
      <c r="Y110" s="81">
        <v>0</v>
      </c>
      <c r="Z110" s="81">
        <v>1</v>
      </c>
      <c r="AA110" s="81">
        <v>0</v>
      </c>
      <c r="AB110" s="81">
        <v>0</v>
      </c>
      <c r="AC110" s="81">
        <v>0</v>
      </c>
      <c r="AD110" s="81">
        <v>0</v>
      </c>
      <c r="AE110" s="81">
        <v>0</v>
      </c>
      <c r="AF110" s="81">
        <v>0</v>
      </c>
      <c r="AG110" s="81">
        <v>0</v>
      </c>
      <c r="AH110" s="81">
        <v>0</v>
      </c>
      <c r="AI110" s="81">
        <v>0</v>
      </c>
      <c r="AJ110" s="81">
        <v>0</v>
      </c>
      <c r="AK110" s="81">
        <v>0</v>
      </c>
      <c r="AL110" s="81">
        <v>1</v>
      </c>
      <c r="AM110" s="81">
        <v>0</v>
      </c>
      <c r="AN110" s="81">
        <v>0</v>
      </c>
      <c r="AO110" s="81">
        <v>1</v>
      </c>
      <c r="AP110" s="81">
        <v>0</v>
      </c>
      <c r="AQ110" s="81">
        <v>0</v>
      </c>
      <c r="AR110" s="81">
        <v>0</v>
      </c>
      <c r="AS110" s="81">
        <v>0</v>
      </c>
      <c r="AT110" s="81">
        <v>1</v>
      </c>
      <c r="AU110" s="81">
        <v>0</v>
      </c>
      <c r="AV110" s="81">
        <v>0</v>
      </c>
      <c r="AW110" s="81">
        <v>1</v>
      </c>
      <c r="AX110" s="81">
        <v>0</v>
      </c>
      <c r="AY110" s="81">
        <v>0</v>
      </c>
      <c r="AZ110" s="81">
        <v>0</v>
      </c>
      <c r="BA110" s="81">
        <v>0</v>
      </c>
      <c r="BB110" s="81">
        <v>2</v>
      </c>
      <c r="BC110" s="81">
        <v>2</v>
      </c>
      <c r="BD110" s="81">
        <v>1</v>
      </c>
      <c r="BE110" s="81">
        <v>2</v>
      </c>
      <c r="BF110" s="81">
        <v>2</v>
      </c>
      <c r="BG110" s="81">
        <v>2</v>
      </c>
      <c r="BH110" s="81">
        <v>1</v>
      </c>
      <c r="BI110" s="81">
        <v>1</v>
      </c>
      <c r="BJ110" s="81">
        <v>2</v>
      </c>
      <c r="BK110" s="81">
        <v>2</v>
      </c>
      <c r="BL110" s="81">
        <v>2</v>
      </c>
      <c r="BM110" s="81">
        <v>1</v>
      </c>
      <c r="BN110" s="81">
        <v>2</v>
      </c>
      <c r="BO110" s="81">
        <v>2</v>
      </c>
      <c r="BP110" s="81">
        <v>2</v>
      </c>
      <c r="BQ110" s="81">
        <v>2</v>
      </c>
      <c r="BR110" s="81">
        <v>2</v>
      </c>
      <c r="BS110" s="81">
        <v>1</v>
      </c>
      <c r="BT110" s="81">
        <v>2</v>
      </c>
      <c r="BU110" s="81">
        <v>0</v>
      </c>
      <c r="BV110" s="81">
        <v>1</v>
      </c>
      <c r="BW110" s="81">
        <v>0</v>
      </c>
      <c r="BX110" s="81">
        <v>1</v>
      </c>
      <c r="BY110" s="81">
        <v>0</v>
      </c>
      <c r="BZ110" s="81">
        <v>0</v>
      </c>
      <c r="CA110" s="81">
        <v>0</v>
      </c>
      <c r="CB110" s="81">
        <v>2</v>
      </c>
      <c r="CC110" s="81">
        <v>2</v>
      </c>
      <c r="CD110" s="81">
        <v>2</v>
      </c>
      <c r="CE110" s="81">
        <v>2</v>
      </c>
      <c r="CF110" s="81">
        <v>2</v>
      </c>
      <c r="CG110" s="81">
        <v>2</v>
      </c>
      <c r="CH110" s="81">
        <v>0</v>
      </c>
      <c r="CI110" s="81">
        <v>1</v>
      </c>
      <c r="CJ110" s="81">
        <v>0</v>
      </c>
      <c r="CK110" s="81">
        <v>1</v>
      </c>
      <c r="CL110" s="81">
        <v>1</v>
      </c>
      <c r="CM110" s="81">
        <v>0</v>
      </c>
      <c r="CN110" s="81">
        <v>1</v>
      </c>
      <c r="CO110" s="81" t="s">
        <v>690</v>
      </c>
    </row>
    <row r="111" spans="1:93" ht="11.55" customHeight="1" x14ac:dyDescent="0.3">
      <c r="A111" s="81" t="s">
        <v>729</v>
      </c>
      <c r="B111" s="81" t="s">
        <v>730</v>
      </c>
      <c r="C111" s="81" t="s">
        <v>398</v>
      </c>
      <c r="D111" s="94">
        <v>17</v>
      </c>
      <c r="E111" s="81">
        <v>0</v>
      </c>
      <c r="F111" s="81">
        <v>0</v>
      </c>
      <c r="G111" s="81">
        <v>0</v>
      </c>
      <c r="H111" s="81">
        <v>1</v>
      </c>
      <c r="I111" s="81">
        <v>0</v>
      </c>
      <c r="J111" s="81">
        <v>1</v>
      </c>
      <c r="K111" s="81">
        <v>0</v>
      </c>
      <c r="L111" s="81">
        <v>0</v>
      </c>
      <c r="M111" s="81">
        <v>0</v>
      </c>
      <c r="N111" s="81">
        <v>1</v>
      </c>
      <c r="O111" s="81">
        <v>0</v>
      </c>
      <c r="P111" s="81">
        <v>0</v>
      </c>
      <c r="Q111" s="81">
        <v>0</v>
      </c>
      <c r="R111" s="81">
        <v>0</v>
      </c>
      <c r="S111" s="81">
        <v>0</v>
      </c>
      <c r="T111" s="81">
        <v>1</v>
      </c>
      <c r="U111" s="81">
        <v>0</v>
      </c>
      <c r="V111" s="81">
        <v>0</v>
      </c>
      <c r="W111" s="81">
        <v>0</v>
      </c>
      <c r="X111" s="81">
        <v>0</v>
      </c>
      <c r="Y111" s="81">
        <v>0</v>
      </c>
      <c r="Z111" s="81">
        <v>1</v>
      </c>
      <c r="AA111" s="81">
        <v>0</v>
      </c>
      <c r="AB111" s="81">
        <v>0</v>
      </c>
      <c r="AC111" s="81">
        <v>0</v>
      </c>
      <c r="AD111" s="81">
        <v>0</v>
      </c>
      <c r="AE111" s="81">
        <v>0</v>
      </c>
      <c r="AF111" s="81">
        <v>0</v>
      </c>
      <c r="AG111" s="81">
        <v>0</v>
      </c>
      <c r="AH111" s="81">
        <v>0</v>
      </c>
      <c r="AI111" s="81">
        <v>0</v>
      </c>
      <c r="AJ111" s="81">
        <v>0</v>
      </c>
      <c r="AK111" s="81">
        <v>0</v>
      </c>
      <c r="AL111" s="81">
        <v>1</v>
      </c>
      <c r="AM111" s="81">
        <v>0</v>
      </c>
      <c r="AN111" s="81">
        <v>0</v>
      </c>
      <c r="AO111" s="81">
        <v>1</v>
      </c>
      <c r="AP111" s="81">
        <v>0</v>
      </c>
      <c r="AQ111" s="81">
        <v>0</v>
      </c>
      <c r="AR111" s="81">
        <v>0</v>
      </c>
      <c r="AS111" s="81">
        <v>0</v>
      </c>
      <c r="AT111" s="81">
        <v>1</v>
      </c>
      <c r="AU111" s="81">
        <v>0</v>
      </c>
      <c r="AV111" s="81">
        <v>0</v>
      </c>
      <c r="AW111" s="81">
        <v>1</v>
      </c>
      <c r="AX111" s="81">
        <v>0</v>
      </c>
      <c r="AY111" s="81">
        <v>0</v>
      </c>
      <c r="AZ111" s="81">
        <v>0</v>
      </c>
      <c r="BA111" s="81">
        <v>0</v>
      </c>
      <c r="BB111" s="81">
        <v>2</v>
      </c>
      <c r="BC111" s="81">
        <v>2</v>
      </c>
      <c r="BD111" s="81">
        <v>1</v>
      </c>
      <c r="BE111" s="81">
        <v>2</v>
      </c>
      <c r="BF111" s="81">
        <v>2</v>
      </c>
      <c r="BG111" s="81">
        <v>2</v>
      </c>
      <c r="BH111" s="81">
        <v>1</v>
      </c>
      <c r="BI111" s="81">
        <v>1</v>
      </c>
      <c r="BJ111" s="81">
        <v>2</v>
      </c>
      <c r="BK111" s="81">
        <v>2</v>
      </c>
      <c r="BL111" s="81">
        <v>2</v>
      </c>
      <c r="BM111" s="81">
        <v>1</v>
      </c>
      <c r="BN111" s="81">
        <v>2</v>
      </c>
      <c r="BO111" s="81">
        <v>2</v>
      </c>
      <c r="BP111" s="81">
        <v>2</v>
      </c>
      <c r="BQ111" s="81">
        <v>2</v>
      </c>
      <c r="BR111" s="81">
        <v>2</v>
      </c>
      <c r="BS111" s="81">
        <v>1</v>
      </c>
      <c r="BT111" s="81">
        <v>2</v>
      </c>
      <c r="BU111" s="81">
        <v>0</v>
      </c>
      <c r="BV111" s="81">
        <v>1</v>
      </c>
      <c r="BW111" s="81">
        <v>0</v>
      </c>
      <c r="BX111" s="81">
        <v>1</v>
      </c>
      <c r="BY111" s="81">
        <v>0</v>
      </c>
      <c r="BZ111" s="81">
        <v>0</v>
      </c>
      <c r="CA111" s="81">
        <v>0</v>
      </c>
      <c r="CB111" s="81">
        <v>2</v>
      </c>
      <c r="CC111" s="81">
        <v>2</v>
      </c>
      <c r="CD111" s="81">
        <v>2</v>
      </c>
      <c r="CE111" s="81">
        <v>2</v>
      </c>
      <c r="CF111" s="81">
        <v>2</v>
      </c>
      <c r="CG111" s="81">
        <v>2</v>
      </c>
      <c r="CH111" s="81">
        <v>0</v>
      </c>
      <c r="CI111" s="81">
        <v>1</v>
      </c>
      <c r="CJ111" s="81">
        <v>0</v>
      </c>
      <c r="CK111" s="81">
        <v>1</v>
      </c>
      <c r="CL111" s="81">
        <v>1</v>
      </c>
      <c r="CM111" s="81">
        <v>0</v>
      </c>
      <c r="CN111" s="81">
        <v>1</v>
      </c>
      <c r="CO111" s="81" t="s">
        <v>731</v>
      </c>
    </row>
    <row r="112" spans="1:93" ht="11.55" customHeight="1" x14ac:dyDescent="0.3">
      <c r="A112" s="81" t="s">
        <v>732</v>
      </c>
      <c r="B112" s="81" t="s">
        <v>733</v>
      </c>
      <c r="C112" s="81" t="s">
        <v>397</v>
      </c>
      <c r="D112" s="94">
        <v>20</v>
      </c>
      <c r="E112" s="81">
        <v>0</v>
      </c>
      <c r="F112" s="81">
        <v>0</v>
      </c>
      <c r="G112" s="81">
        <v>0</v>
      </c>
      <c r="H112" s="81">
        <v>1</v>
      </c>
      <c r="I112" s="81">
        <v>0</v>
      </c>
      <c r="J112" s="81">
        <v>1</v>
      </c>
      <c r="K112" s="81">
        <v>0</v>
      </c>
      <c r="L112" s="81">
        <v>0</v>
      </c>
      <c r="M112" s="81">
        <v>0</v>
      </c>
      <c r="N112" s="81">
        <v>1</v>
      </c>
      <c r="O112" s="81">
        <v>0</v>
      </c>
      <c r="P112" s="81">
        <v>0</v>
      </c>
      <c r="Q112" s="81">
        <v>0</v>
      </c>
      <c r="R112" s="81">
        <v>0</v>
      </c>
      <c r="S112" s="81">
        <v>0</v>
      </c>
      <c r="T112" s="81">
        <v>1</v>
      </c>
      <c r="U112" s="81">
        <v>0</v>
      </c>
      <c r="V112" s="81">
        <v>0</v>
      </c>
      <c r="W112" s="81">
        <v>0</v>
      </c>
      <c r="X112" s="81">
        <v>0</v>
      </c>
      <c r="Y112" s="81">
        <v>0</v>
      </c>
      <c r="Z112" s="81">
        <v>1</v>
      </c>
      <c r="AA112" s="81">
        <v>0</v>
      </c>
      <c r="AB112" s="81">
        <v>0</v>
      </c>
      <c r="AC112" s="81">
        <v>0</v>
      </c>
      <c r="AD112" s="81">
        <v>0</v>
      </c>
      <c r="AE112" s="81">
        <v>0</v>
      </c>
      <c r="AF112" s="81">
        <v>0</v>
      </c>
      <c r="AG112" s="81">
        <v>0</v>
      </c>
      <c r="AH112" s="81">
        <v>0</v>
      </c>
      <c r="AI112" s="81">
        <v>0</v>
      </c>
      <c r="AJ112" s="81">
        <v>0</v>
      </c>
      <c r="AK112" s="81">
        <v>0</v>
      </c>
      <c r="AL112" s="81">
        <v>1</v>
      </c>
      <c r="AM112" s="81">
        <v>0</v>
      </c>
      <c r="AN112" s="81">
        <v>0</v>
      </c>
      <c r="AO112" s="81">
        <v>1</v>
      </c>
      <c r="AP112" s="81">
        <v>0</v>
      </c>
      <c r="AQ112" s="81">
        <v>0</v>
      </c>
      <c r="AR112" s="81">
        <v>0</v>
      </c>
      <c r="AS112" s="81">
        <v>0</v>
      </c>
      <c r="AT112" s="81">
        <v>1</v>
      </c>
      <c r="AU112" s="81">
        <v>0</v>
      </c>
      <c r="AV112" s="81">
        <v>0</v>
      </c>
      <c r="AW112" s="81">
        <v>1</v>
      </c>
      <c r="AX112" s="81">
        <v>0</v>
      </c>
      <c r="AY112" s="81">
        <v>0</v>
      </c>
      <c r="AZ112" s="81">
        <v>0</v>
      </c>
      <c r="BA112" s="81">
        <v>0</v>
      </c>
      <c r="BB112" s="81">
        <v>2</v>
      </c>
      <c r="BC112" s="81">
        <v>2</v>
      </c>
      <c r="BD112" s="81">
        <v>1</v>
      </c>
      <c r="BE112" s="81">
        <v>2</v>
      </c>
      <c r="BF112" s="81">
        <v>2</v>
      </c>
      <c r="BG112" s="81">
        <v>2</v>
      </c>
      <c r="BH112" s="81">
        <v>1</v>
      </c>
      <c r="BI112" s="81">
        <v>1</v>
      </c>
      <c r="BJ112" s="81">
        <v>2</v>
      </c>
      <c r="BK112" s="81">
        <v>2</v>
      </c>
      <c r="BL112" s="81">
        <v>2</v>
      </c>
      <c r="BM112" s="81">
        <v>1</v>
      </c>
      <c r="BN112" s="81">
        <v>2</v>
      </c>
      <c r="BO112" s="81">
        <v>2</v>
      </c>
      <c r="BP112" s="81">
        <v>2</v>
      </c>
      <c r="BQ112" s="81">
        <v>2</v>
      </c>
      <c r="BR112" s="81">
        <v>2</v>
      </c>
      <c r="BS112" s="81">
        <v>1</v>
      </c>
      <c r="BT112" s="81">
        <v>2</v>
      </c>
      <c r="BU112" s="81">
        <v>0</v>
      </c>
      <c r="BV112" s="81">
        <v>1</v>
      </c>
      <c r="BW112" s="81">
        <v>0</v>
      </c>
      <c r="BX112" s="81">
        <v>1</v>
      </c>
      <c r="BY112" s="81">
        <v>0</v>
      </c>
      <c r="BZ112" s="81">
        <v>0</v>
      </c>
      <c r="CA112" s="81">
        <v>0</v>
      </c>
      <c r="CB112" s="81">
        <v>2</v>
      </c>
      <c r="CC112" s="81">
        <v>2</v>
      </c>
      <c r="CD112" s="81">
        <v>2</v>
      </c>
      <c r="CE112" s="81">
        <v>2</v>
      </c>
      <c r="CF112" s="81">
        <v>2</v>
      </c>
      <c r="CG112" s="81">
        <v>2</v>
      </c>
      <c r="CH112" s="81">
        <v>0</v>
      </c>
      <c r="CI112" s="81">
        <v>1</v>
      </c>
      <c r="CJ112" s="81">
        <v>0</v>
      </c>
      <c r="CK112" s="81">
        <v>1</v>
      </c>
      <c r="CL112" s="81">
        <v>1</v>
      </c>
      <c r="CM112" s="81">
        <v>0</v>
      </c>
      <c r="CN112" s="81">
        <v>1</v>
      </c>
      <c r="CO112" s="81" t="s">
        <v>703</v>
      </c>
    </row>
    <row r="113" spans="1:93" ht="11.55" customHeight="1" x14ac:dyDescent="0.3">
      <c r="A113" s="81" t="s">
        <v>734</v>
      </c>
      <c r="B113" s="81" t="s">
        <v>735</v>
      </c>
      <c r="C113" s="81" t="s">
        <v>397</v>
      </c>
      <c r="D113" s="94">
        <v>20</v>
      </c>
      <c r="E113" s="81">
        <v>0</v>
      </c>
      <c r="F113" s="81">
        <v>0</v>
      </c>
      <c r="G113" s="81">
        <v>0</v>
      </c>
      <c r="H113" s="81">
        <v>1</v>
      </c>
      <c r="I113" s="81">
        <v>0</v>
      </c>
      <c r="J113" s="81">
        <v>1</v>
      </c>
      <c r="K113" s="81">
        <v>0</v>
      </c>
      <c r="L113" s="81">
        <v>0</v>
      </c>
      <c r="M113" s="81">
        <v>0</v>
      </c>
      <c r="N113" s="81">
        <v>1</v>
      </c>
      <c r="O113" s="81">
        <v>0</v>
      </c>
      <c r="P113" s="81">
        <v>0</v>
      </c>
      <c r="Q113" s="81">
        <v>0</v>
      </c>
      <c r="R113" s="81">
        <v>0</v>
      </c>
      <c r="S113" s="81">
        <v>0</v>
      </c>
      <c r="T113" s="81">
        <v>1</v>
      </c>
      <c r="U113" s="81">
        <v>0</v>
      </c>
      <c r="V113" s="81">
        <v>0</v>
      </c>
      <c r="W113" s="81">
        <v>0</v>
      </c>
      <c r="X113" s="81">
        <v>0</v>
      </c>
      <c r="Y113" s="81">
        <v>0</v>
      </c>
      <c r="Z113" s="81">
        <v>1</v>
      </c>
      <c r="AA113" s="81">
        <v>0</v>
      </c>
      <c r="AB113" s="81">
        <v>0</v>
      </c>
      <c r="AC113" s="81">
        <v>0</v>
      </c>
      <c r="AD113" s="81">
        <v>0</v>
      </c>
      <c r="AE113" s="81">
        <v>0</v>
      </c>
      <c r="AF113" s="81">
        <v>0</v>
      </c>
      <c r="AG113" s="81">
        <v>0</v>
      </c>
      <c r="AH113" s="81">
        <v>0</v>
      </c>
      <c r="AI113" s="81">
        <v>0</v>
      </c>
      <c r="AJ113" s="81">
        <v>0</v>
      </c>
      <c r="AK113" s="81">
        <v>0</v>
      </c>
      <c r="AL113" s="81">
        <v>1</v>
      </c>
      <c r="AM113" s="81">
        <v>0</v>
      </c>
      <c r="AN113" s="81">
        <v>0</v>
      </c>
      <c r="AO113" s="81">
        <v>1</v>
      </c>
      <c r="AP113" s="81">
        <v>0</v>
      </c>
      <c r="AQ113" s="81">
        <v>0</v>
      </c>
      <c r="AR113" s="81">
        <v>0</v>
      </c>
      <c r="AS113" s="81">
        <v>0</v>
      </c>
      <c r="AT113" s="81">
        <v>1</v>
      </c>
      <c r="AU113" s="81">
        <v>0</v>
      </c>
      <c r="AV113" s="81">
        <v>0</v>
      </c>
      <c r="AW113" s="81">
        <v>1</v>
      </c>
      <c r="AX113" s="81">
        <v>0</v>
      </c>
      <c r="AY113" s="81">
        <v>0</v>
      </c>
      <c r="AZ113" s="81">
        <v>0</v>
      </c>
      <c r="BA113" s="81">
        <v>0</v>
      </c>
      <c r="BB113" s="81">
        <v>2</v>
      </c>
      <c r="BC113" s="81">
        <v>2</v>
      </c>
      <c r="BD113" s="81">
        <v>1</v>
      </c>
      <c r="BE113" s="81">
        <v>2</v>
      </c>
      <c r="BF113" s="81">
        <v>2</v>
      </c>
      <c r="BG113" s="81">
        <v>2</v>
      </c>
      <c r="BH113" s="81">
        <v>1</v>
      </c>
      <c r="BI113" s="81">
        <v>1</v>
      </c>
      <c r="BJ113" s="81">
        <v>2</v>
      </c>
      <c r="BK113" s="81">
        <v>2</v>
      </c>
      <c r="BL113" s="81">
        <v>2</v>
      </c>
      <c r="BM113" s="81">
        <v>1</v>
      </c>
      <c r="BN113" s="81">
        <v>2</v>
      </c>
      <c r="BO113" s="81">
        <v>2</v>
      </c>
      <c r="BP113" s="81">
        <v>2</v>
      </c>
      <c r="BQ113" s="81">
        <v>2</v>
      </c>
      <c r="BR113" s="81">
        <v>2</v>
      </c>
      <c r="BS113" s="81">
        <v>1</v>
      </c>
      <c r="BT113" s="81">
        <v>2</v>
      </c>
      <c r="BU113" s="81">
        <v>0</v>
      </c>
      <c r="BV113" s="81">
        <v>1</v>
      </c>
      <c r="BW113" s="81">
        <v>0</v>
      </c>
      <c r="BX113" s="81">
        <v>1</v>
      </c>
      <c r="BY113" s="81">
        <v>0</v>
      </c>
      <c r="BZ113" s="81">
        <v>0</v>
      </c>
      <c r="CA113" s="81">
        <v>0</v>
      </c>
      <c r="CB113" s="81">
        <v>2</v>
      </c>
      <c r="CC113" s="81">
        <v>2</v>
      </c>
      <c r="CD113" s="81">
        <v>2</v>
      </c>
      <c r="CE113" s="81">
        <v>2</v>
      </c>
      <c r="CF113" s="81">
        <v>2</v>
      </c>
      <c r="CG113" s="81">
        <v>2</v>
      </c>
      <c r="CH113" s="81">
        <v>0</v>
      </c>
      <c r="CI113" s="81">
        <v>1</v>
      </c>
      <c r="CJ113" s="81">
        <v>0</v>
      </c>
      <c r="CK113" s="81">
        <v>1</v>
      </c>
      <c r="CL113" s="81">
        <v>1</v>
      </c>
      <c r="CM113" s="81">
        <v>0</v>
      </c>
      <c r="CN113" s="81">
        <v>1</v>
      </c>
      <c r="CO113" s="81" t="s">
        <v>703</v>
      </c>
    </row>
    <row r="114" spans="1:93" ht="11.55" customHeight="1" x14ac:dyDescent="0.3">
      <c r="A114" s="81" t="s">
        <v>736</v>
      </c>
      <c r="B114" s="81" t="s">
        <v>737</v>
      </c>
      <c r="C114" s="81" t="s">
        <v>397</v>
      </c>
      <c r="D114" s="94">
        <v>20</v>
      </c>
      <c r="E114" s="81">
        <v>0</v>
      </c>
      <c r="F114" s="81">
        <v>0</v>
      </c>
      <c r="G114" s="81">
        <v>0</v>
      </c>
      <c r="H114" s="81">
        <v>1</v>
      </c>
      <c r="I114" s="81">
        <v>0</v>
      </c>
      <c r="J114" s="81">
        <v>1</v>
      </c>
      <c r="K114" s="81">
        <v>0</v>
      </c>
      <c r="L114" s="81">
        <v>0</v>
      </c>
      <c r="M114" s="81">
        <v>0</v>
      </c>
      <c r="N114" s="81">
        <v>1</v>
      </c>
      <c r="O114" s="81">
        <v>0</v>
      </c>
      <c r="P114" s="81">
        <v>0</v>
      </c>
      <c r="Q114" s="81">
        <v>0</v>
      </c>
      <c r="R114" s="81">
        <v>0</v>
      </c>
      <c r="S114" s="81">
        <v>0</v>
      </c>
      <c r="T114" s="81">
        <v>1</v>
      </c>
      <c r="U114" s="81">
        <v>0</v>
      </c>
      <c r="V114" s="81">
        <v>0</v>
      </c>
      <c r="W114" s="81">
        <v>0</v>
      </c>
      <c r="X114" s="81">
        <v>0</v>
      </c>
      <c r="Y114" s="81">
        <v>0</v>
      </c>
      <c r="Z114" s="81">
        <v>1</v>
      </c>
      <c r="AA114" s="81">
        <v>0</v>
      </c>
      <c r="AB114" s="81">
        <v>0</v>
      </c>
      <c r="AC114" s="81">
        <v>0</v>
      </c>
      <c r="AD114" s="81">
        <v>0</v>
      </c>
      <c r="AE114" s="81">
        <v>0</v>
      </c>
      <c r="AF114" s="81">
        <v>0</v>
      </c>
      <c r="AG114" s="81">
        <v>0</v>
      </c>
      <c r="AH114" s="81">
        <v>0</v>
      </c>
      <c r="AI114" s="81">
        <v>0</v>
      </c>
      <c r="AJ114" s="81">
        <v>0</v>
      </c>
      <c r="AK114" s="81">
        <v>0</v>
      </c>
      <c r="AL114" s="81">
        <v>1</v>
      </c>
      <c r="AM114" s="81">
        <v>0</v>
      </c>
      <c r="AN114" s="81">
        <v>0</v>
      </c>
      <c r="AO114" s="81">
        <v>1</v>
      </c>
      <c r="AP114" s="81">
        <v>0</v>
      </c>
      <c r="AQ114" s="81">
        <v>0</v>
      </c>
      <c r="AR114" s="81">
        <v>0</v>
      </c>
      <c r="AS114" s="81">
        <v>0</v>
      </c>
      <c r="AT114" s="81">
        <v>1</v>
      </c>
      <c r="AU114" s="81">
        <v>0</v>
      </c>
      <c r="AV114" s="81">
        <v>0</v>
      </c>
      <c r="AW114" s="81">
        <v>1</v>
      </c>
      <c r="AX114" s="81">
        <v>0</v>
      </c>
      <c r="AY114" s="81">
        <v>0</v>
      </c>
      <c r="AZ114" s="81">
        <v>0</v>
      </c>
      <c r="BA114" s="81">
        <v>0</v>
      </c>
      <c r="BB114" s="81">
        <v>2</v>
      </c>
      <c r="BC114" s="81">
        <v>2</v>
      </c>
      <c r="BD114" s="81">
        <v>1</v>
      </c>
      <c r="BE114" s="81">
        <v>2</v>
      </c>
      <c r="BF114" s="81">
        <v>2</v>
      </c>
      <c r="BG114" s="81">
        <v>2</v>
      </c>
      <c r="BH114" s="81">
        <v>1</v>
      </c>
      <c r="BI114" s="81">
        <v>1</v>
      </c>
      <c r="BJ114" s="81">
        <v>2</v>
      </c>
      <c r="BK114" s="81">
        <v>2</v>
      </c>
      <c r="BL114" s="81">
        <v>2</v>
      </c>
      <c r="BM114" s="81">
        <v>1</v>
      </c>
      <c r="BN114" s="81">
        <v>2</v>
      </c>
      <c r="BO114" s="81">
        <v>2</v>
      </c>
      <c r="BP114" s="81">
        <v>2</v>
      </c>
      <c r="BQ114" s="81">
        <v>2</v>
      </c>
      <c r="BR114" s="81">
        <v>2</v>
      </c>
      <c r="BS114" s="81">
        <v>1</v>
      </c>
      <c r="BT114" s="81">
        <v>2</v>
      </c>
      <c r="BU114" s="81">
        <v>0</v>
      </c>
      <c r="BV114" s="81">
        <v>1</v>
      </c>
      <c r="BW114" s="81">
        <v>0</v>
      </c>
      <c r="BX114" s="81">
        <v>1</v>
      </c>
      <c r="BY114" s="81">
        <v>0</v>
      </c>
      <c r="BZ114" s="81">
        <v>0</v>
      </c>
      <c r="CA114" s="81">
        <v>0</v>
      </c>
      <c r="CB114" s="81">
        <v>2</v>
      </c>
      <c r="CC114" s="81">
        <v>2</v>
      </c>
      <c r="CD114" s="81">
        <v>2</v>
      </c>
      <c r="CE114" s="81">
        <v>2</v>
      </c>
      <c r="CF114" s="81">
        <v>2</v>
      </c>
      <c r="CG114" s="81">
        <v>2</v>
      </c>
      <c r="CH114" s="81">
        <v>0</v>
      </c>
      <c r="CI114" s="81">
        <v>1</v>
      </c>
      <c r="CJ114" s="81">
        <v>0</v>
      </c>
      <c r="CK114" s="81">
        <v>1</v>
      </c>
      <c r="CL114" s="81">
        <v>1</v>
      </c>
      <c r="CM114" s="81">
        <v>0</v>
      </c>
      <c r="CN114" s="81">
        <v>1</v>
      </c>
      <c r="CO114" s="81" t="s">
        <v>703</v>
      </c>
    </row>
    <row r="115" spans="1:93" ht="11.55" customHeight="1" x14ac:dyDescent="0.3">
      <c r="A115" s="81" t="s">
        <v>738</v>
      </c>
      <c r="B115" s="81" t="s">
        <v>739</v>
      </c>
      <c r="C115" s="81" t="s">
        <v>397</v>
      </c>
      <c r="D115" s="94">
        <v>20</v>
      </c>
      <c r="E115" s="81">
        <v>0</v>
      </c>
      <c r="F115" s="81">
        <v>0</v>
      </c>
      <c r="G115" s="81">
        <v>0</v>
      </c>
      <c r="H115" s="81">
        <v>1</v>
      </c>
      <c r="I115" s="81">
        <v>0</v>
      </c>
      <c r="J115" s="81">
        <v>1</v>
      </c>
      <c r="K115" s="81">
        <v>0</v>
      </c>
      <c r="L115" s="81">
        <v>0</v>
      </c>
      <c r="M115" s="81">
        <v>0</v>
      </c>
      <c r="N115" s="81">
        <v>1</v>
      </c>
      <c r="O115" s="81">
        <v>0</v>
      </c>
      <c r="P115" s="81">
        <v>0</v>
      </c>
      <c r="Q115" s="81">
        <v>0</v>
      </c>
      <c r="R115" s="81">
        <v>0</v>
      </c>
      <c r="S115" s="81">
        <v>0</v>
      </c>
      <c r="T115" s="81">
        <v>1</v>
      </c>
      <c r="U115" s="81">
        <v>0</v>
      </c>
      <c r="V115" s="81">
        <v>0</v>
      </c>
      <c r="W115" s="81">
        <v>0</v>
      </c>
      <c r="X115" s="81">
        <v>0</v>
      </c>
      <c r="Y115" s="81">
        <v>0</v>
      </c>
      <c r="Z115" s="81">
        <v>1</v>
      </c>
      <c r="AA115" s="81">
        <v>0</v>
      </c>
      <c r="AB115" s="81">
        <v>0</v>
      </c>
      <c r="AC115" s="81">
        <v>0</v>
      </c>
      <c r="AD115" s="81">
        <v>0</v>
      </c>
      <c r="AE115" s="81">
        <v>0</v>
      </c>
      <c r="AF115" s="81">
        <v>0</v>
      </c>
      <c r="AG115" s="81">
        <v>0</v>
      </c>
      <c r="AH115" s="81">
        <v>0</v>
      </c>
      <c r="AI115" s="81">
        <v>0</v>
      </c>
      <c r="AJ115" s="81">
        <v>0</v>
      </c>
      <c r="AK115" s="81">
        <v>0</v>
      </c>
      <c r="AL115" s="81">
        <v>1</v>
      </c>
      <c r="AM115" s="81">
        <v>0</v>
      </c>
      <c r="AN115" s="81">
        <v>0</v>
      </c>
      <c r="AO115" s="81">
        <v>1</v>
      </c>
      <c r="AP115" s="81">
        <v>0</v>
      </c>
      <c r="AQ115" s="81">
        <v>0</v>
      </c>
      <c r="AR115" s="81">
        <v>0</v>
      </c>
      <c r="AS115" s="81">
        <v>0</v>
      </c>
      <c r="AT115" s="81">
        <v>1</v>
      </c>
      <c r="AU115" s="81">
        <v>0</v>
      </c>
      <c r="AV115" s="81">
        <v>0</v>
      </c>
      <c r="AW115" s="81">
        <v>1</v>
      </c>
      <c r="AX115" s="81">
        <v>0</v>
      </c>
      <c r="AY115" s="81">
        <v>0</v>
      </c>
      <c r="AZ115" s="81">
        <v>0</v>
      </c>
      <c r="BA115" s="81">
        <v>0</v>
      </c>
      <c r="BB115" s="81">
        <v>2</v>
      </c>
      <c r="BC115" s="81">
        <v>2</v>
      </c>
      <c r="BD115" s="81">
        <v>1</v>
      </c>
      <c r="BE115" s="81">
        <v>2</v>
      </c>
      <c r="BF115" s="81">
        <v>2</v>
      </c>
      <c r="BG115" s="81">
        <v>2</v>
      </c>
      <c r="BH115" s="81">
        <v>1</v>
      </c>
      <c r="BI115" s="81">
        <v>1</v>
      </c>
      <c r="BJ115" s="81">
        <v>2</v>
      </c>
      <c r="BK115" s="81">
        <v>2</v>
      </c>
      <c r="BL115" s="81">
        <v>2</v>
      </c>
      <c r="BM115" s="81">
        <v>1</v>
      </c>
      <c r="BN115" s="81">
        <v>2</v>
      </c>
      <c r="BO115" s="81">
        <v>2</v>
      </c>
      <c r="BP115" s="81">
        <v>2</v>
      </c>
      <c r="BQ115" s="81">
        <v>2</v>
      </c>
      <c r="BR115" s="81">
        <v>2</v>
      </c>
      <c r="BS115" s="81">
        <v>1</v>
      </c>
      <c r="BT115" s="81">
        <v>2</v>
      </c>
      <c r="BU115" s="81">
        <v>0</v>
      </c>
      <c r="BV115" s="81">
        <v>1</v>
      </c>
      <c r="BW115" s="81">
        <v>0</v>
      </c>
      <c r="BX115" s="81">
        <v>1</v>
      </c>
      <c r="BY115" s="81">
        <v>0</v>
      </c>
      <c r="BZ115" s="81">
        <v>0</v>
      </c>
      <c r="CA115" s="81">
        <v>0</v>
      </c>
      <c r="CB115" s="81">
        <v>2</v>
      </c>
      <c r="CC115" s="81">
        <v>2</v>
      </c>
      <c r="CD115" s="81">
        <v>2</v>
      </c>
      <c r="CE115" s="81">
        <v>2</v>
      </c>
      <c r="CF115" s="81">
        <v>2</v>
      </c>
      <c r="CG115" s="81">
        <v>2</v>
      </c>
      <c r="CH115" s="81">
        <v>0</v>
      </c>
      <c r="CI115" s="81">
        <v>1</v>
      </c>
      <c r="CJ115" s="81">
        <v>0</v>
      </c>
      <c r="CK115" s="81">
        <v>1</v>
      </c>
      <c r="CL115" s="81">
        <v>1</v>
      </c>
      <c r="CM115" s="81">
        <v>0</v>
      </c>
      <c r="CN115" s="81">
        <v>1</v>
      </c>
      <c r="CO115" s="81" t="s">
        <v>703</v>
      </c>
    </row>
    <row r="116" spans="1:93" ht="11.55" customHeight="1" x14ac:dyDescent="0.3">
      <c r="A116" s="81" t="s">
        <v>740</v>
      </c>
      <c r="B116" s="81" t="s">
        <v>741</v>
      </c>
      <c r="C116" s="81" t="s">
        <v>397</v>
      </c>
      <c r="D116" s="94">
        <v>20</v>
      </c>
      <c r="E116" s="81">
        <v>0</v>
      </c>
      <c r="F116" s="81">
        <v>0</v>
      </c>
      <c r="G116" s="81">
        <v>0</v>
      </c>
      <c r="H116" s="81">
        <v>1</v>
      </c>
      <c r="I116" s="81">
        <v>0</v>
      </c>
      <c r="J116" s="81">
        <v>1</v>
      </c>
      <c r="K116" s="81">
        <v>0</v>
      </c>
      <c r="L116" s="81">
        <v>0</v>
      </c>
      <c r="M116" s="81">
        <v>0</v>
      </c>
      <c r="N116" s="81">
        <v>1</v>
      </c>
      <c r="O116" s="81">
        <v>0</v>
      </c>
      <c r="P116" s="81">
        <v>0</v>
      </c>
      <c r="Q116" s="81">
        <v>0</v>
      </c>
      <c r="R116" s="81">
        <v>0</v>
      </c>
      <c r="S116" s="81">
        <v>0</v>
      </c>
      <c r="T116" s="81">
        <v>1</v>
      </c>
      <c r="U116" s="81">
        <v>0</v>
      </c>
      <c r="V116" s="81">
        <v>0</v>
      </c>
      <c r="W116" s="81">
        <v>0</v>
      </c>
      <c r="X116" s="81">
        <v>0</v>
      </c>
      <c r="Y116" s="81">
        <v>0</v>
      </c>
      <c r="Z116" s="81">
        <v>1</v>
      </c>
      <c r="AA116" s="81">
        <v>0</v>
      </c>
      <c r="AB116" s="81">
        <v>0</v>
      </c>
      <c r="AC116" s="81">
        <v>0</v>
      </c>
      <c r="AD116" s="81">
        <v>0</v>
      </c>
      <c r="AE116" s="81">
        <v>0</v>
      </c>
      <c r="AF116" s="81">
        <v>0</v>
      </c>
      <c r="AG116" s="81">
        <v>0</v>
      </c>
      <c r="AH116" s="81">
        <v>0</v>
      </c>
      <c r="AI116" s="81">
        <v>0</v>
      </c>
      <c r="AJ116" s="81">
        <v>0</v>
      </c>
      <c r="AK116" s="81">
        <v>0</v>
      </c>
      <c r="AL116" s="81">
        <v>1</v>
      </c>
      <c r="AM116" s="81">
        <v>0</v>
      </c>
      <c r="AN116" s="81">
        <v>0</v>
      </c>
      <c r="AO116" s="81">
        <v>1</v>
      </c>
      <c r="AP116" s="81">
        <v>0</v>
      </c>
      <c r="AQ116" s="81">
        <v>0</v>
      </c>
      <c r="AR116" s="81">
        <v>0</v>
      </c>
      <c r="AS116" s="81">
        <v>0</v>
      </c>
      <c r="AT116" s="81">
        <v>1</v>
      </c>
      <c r="AU116" s="81">
        <v>0</v>
      </c>
      <c r="AV116" s="81">
        <v>0</v>
      </c>
      <c r="AW116" s="81">
        <v>1</v>
      </c>
      <c r="AX116" s="81">
        <v>0</v>
      </c>
      <c r="AY116" s="81">
        <v>0</v>
      </c>
      <c r="AZ116" s="81">
        <v>0</v>
      </c>
      <c r="BA116" s="81">
        <v>0</v>
      </c>
      <c r="BB116" s="81">
        <v>2</v>
      </c>
      <c r="BC116" s="81">
        <v>2</v>
      </c>
      <c r="BD116" s="81">
        <v>1</v>
      </c>
      <c r="BE116" s="81">
        <v>2</v>
      </c>
      <c r="BF116" s="81">
        <v>2</v>
      </c>
      <c r="BG116" s="81">
        <v>2</v>
      </c>
      <c r="BH116" s="81">
        <v>1</v>
      </c>
      <c r="BI116" s="81">
        <v>1</v>
      </c>
      <c r="BJ116" s="81">
        <v>2</v>
      </c>
      <c r="BK116" s="81">
        <v>2</v>
      </c>
      <c r="BL116" s="81">
        <v>2</v>
      </c>
      <c r="BM116" s="81">
        <v>1</v>
      </c>
      <c r="BN116" s="81">
        <v>2</v>
      </c>
      <c r="BO116" s="81">
        <v>2</v>
      </c>
      <c r="BP116" s="81">
        <v>2</v>
      </c>
      <c r="BQ116" s="81">
        <v>2</v>
      </c>
      <c r="BR116" s="81">
        <v>2</v>
      </c>
      <c r="BS116" s="81">
        <v>1</v>
      </c>
      <c r="BT116" s="81">
        <v>2</v>
      </c>
      <c r="BU116" s="81">
        <v>0</v>
      </c>
      <c r="BV116" s="81">
        <v>1</v>
      </c>
      <c r="BW116" s="81">
        <v>0</v>
      </c>
      <c r="BX116" s="81">
        <v>1</v>
      </c>
      <c r="BY116" s="81">
        <v>0</v>
      </c>
      <c r="BZ116" s="81">
        <v>0</v>
      </c>
      <c r="CA116" s="81">
        <v>0</v>
      </c>
      <c r="CB116" s="81">
        <v>2</v>
      </c>
      <c r="CC116" s="81">
        <v>2</v>
      </c>
      <c r="CD116" s="81">
        <v>2</v>
      </c>
      <c r="CE116" s="81">
        <v>2</v>
      </c>
      <c r="CF116" s="81">
        <v>2</v>
      </c>
      <c r="CG116" s="81">
        <v>2</v>
      </c>
      <c r="CH116" s="81">
        <v>0</v>
      </c>
      <c r="CI116" s="81">
        <v>1</v>
      </c>
      <c r="CJ116" s="81">
        <v>0</v>
      </c>
      <c r="CK116" s="81">
        <v>1</v>
      </c>
      <c r="CL116" s="81">
        <v>1</v>
      </c>
      <c r="CM116" s="81">
        <v>0</v>
      </c>
      <c r="CN116" s="81">
        <v>1</v>
      </c>
      <c r="CO116" s="81" t="s">
        <v>690</v>
      </c>
    </row>
    <row r="117" spans="1:93" ht="11.55" customHeight="1" x14ac:dyDescent="0.3">
      <c r="A117" s="81" t="s">
        <v>742</v>
      </c>
      <c r="B117" s="81" t="s">
        <v>743</v>
      </c>
      <c r="C117" s="81" t="s">
        <v>398</v>
      </c>
      <c r="D117" s="94">
        <v>17</v>
      </c>
      <c r="E117" s="81">
        <v>0</v>
      </c>
      <c r="F117" s="81">
        <v>0</v>
      </c>
      <c r="G117" s="81">
        <v>0</v>
      </c>
      <c r="H117" s="81">
        <v>0</v>
      </c>
      <c r="I117" s="81">
        <v>0</v>
      </c>
      <c r="J117" s="81">
        <v>0</v>
      </c>
      <c r="K117" s="81">
        <v>0</v>
      </c>
      <c r="L117" s="81">
        <v>0</v>
      </c>
      <c r="M117" s="81">
        <v>0</v>
      </c>
      <c r="N117" s="81">
        <v>0</v>
      </c>
      <c r="O117" s="81">
        <v>0</v>
      </c>
      <c r="P117" s="81">
        <v>0</v>
      </c>
      <c r="Q117" s="81">
        <v>0</v>
      </c>
      <c r="R117" s="81">
        <v>0</v>
      </c>
      <c r="S117" s="81">
        <v>0</v>
      </c>
      <c r="T117" s="81">
        <v>0</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0</v>
      </c>
      <c r="AN117" s="81">
        <v>0</v>
      </c>
      <c r="AO117" s="81">
        <v>0</v>
      </c>
      <c r="AP117" s="81">
        <v>0</v>
      </c>
      <c r="AQ117" s="81">
        <v>0</v>
      </c>
      <c r="AR117" s="81">
        <v>0</v>
      </c>
      <c r="AS117" s="81">
        <v>0</v>
      </c>
      <c r="AT117" s="81">
        <v>0</v>
      </c>
      <c r="AU117" s="81">
        <v>0</v>
      </c>
      <c r="AV117" s="81">
        <v>0</v>
      </c>
      <c r="AW117" s="81">
        <v>0</v>
      </c>
      <c r="AX117" s="81">
        <v>0</v>
      </c>
      <c r="AY117" s="81">
        <v>0</v>
      </c>
      <c r="AZ117" s="81">
        <v>0</v>
      </c>
      <c r="BA117" s="81">
        <v>0</v>
      </c>
      <c r="BB117" s="81">
        <v>1</v>
      </c>
      <c r="BC117" s="81">
        <v>1</v>
      </c>
      <c r="BD117" s="81">
        <v>1</v>
      </c>
      <c r="BE117" s="81">
        <v>1</v>
      </c>
      <c r="BF117" s="81">
        <v>1</v>
      </c>
      <c r="BG117" s="81">
        <v>1</v>
      </c>
      <c r="BH117" s="81">
        <v>1</v>
      </c>
      <c r="BI117" s="81">
        <v>1</v>
      </c>
      <c r="BJ117" s="81">
        <v>1</v>
      </c>
      <c r="BK117" s="81">
        <v>2</v>
      </c>
      <c r="BL117" s="81">
        <v>1</v>
      </c>
      <c r="BM117" s="81">
        <v>1</v>
      </c>
      <c r="BN117" s="81">
        <v>1</v>
      </c>
      <c r="BO117" s="81">
        <v>1</v>
      </c>
      <c r="BP117" s="81">
        <v>1</v>
      </c>
      <c r="BQ117" s="81">
        <v>1</v>
      </c>
      <c r="BR117" s="81">
        <v>1</v>
      </c>
      <c r="BS117" s="81">
        <v>1</v>
      </c>
      <c r="BT117" s="81">
        <v>1</v>
      </c>
      <c r="BU117" s="81">
        <v>0</v>
      </c>
      <c r="BV117" s="81">
        <v>0</v>
      </c>
      <c r="BW117" s="81">
        <v>0</v>
      </c>
      <c r="BX117" s="81">
        <v>0</v>
      </c>
      <c r="BY117" s="81">
        <v>0</v>
      </c>
      <c r="BZ117" s="81">
        <v>0</v>
      </c>
      <c r="CA117" s="81">
        <v>0</v>
      </c>
      <c r="CB117" s="81">
        <v>2</v>
      </c>
      <c r="CC117" s="81">
        <v>1</v>
      </c>
      <c r="CD117" s="81">
        <v>1</v>
      </c>
      <c r="CE117" s="81">
        <v>2</v>
      </c>
      <c r="CF117" s="81">
        <v>1</v>
      </c>
      <c r="CG117" s="81">
        <v>1</v>
      </c>
      <c r="CH117" s="81">
        <v>0</v>
      </c>
      <c r="CI117" s="81">
        <v>0</v>
      </c>
      <c r="CJ117" s="81">
        <v>0</v>
      </c>
      <c r="CK117" s="81">
        <v>1</v>
      </c>
      <c r="CL117" s="81">
        <v>1</v>
      </c>
      <c r="CM117" s="81">
        <v>0</v>
      </c>
      <c r="CN117" s="81">
        <v>1</v>
      </c>
      <c r="CO117" s="81" t="s">
        <v>744</v>
      </c>
    </row>
    <row r="118" spans="1:93" ht="11.55" customHeight="1" x14ac:dyDescent="0.3">
      <c r="A118" s="81" t="s">
        <v>745</v>
      </c>
      <c r="B118" s="81" t="s">
        <v>746</v>
      </c>
      <c r="C118" s="81" t="s">
        <v>398</v>
      </c>
      <c r="D118" s="94">
        <v>17</v>
      </c>
      <c r="E118" s="81">
        <v>0</v>
      </c>
      <c r="F118" s="81">
        <v>0</v>
      </c>
      <c r="G118" s="81">
        <v>0</v>
      </c>
      <c r="H118" s="81">
        <v>0</v>
      </c>
      <c r="I118" s="81">
        <v>0</v>
      </c>
      <c r="J118" s="81">
        <v>0</v>
      </c>
      <c r="K118" s="81">
        <v>0</v>
      </c>
      <c r="L118" s="81">
        <v>0</v>
      </c>
      <c r="M118" s="81">
        <v>0</v>
      </c>
      <c r="N118" s="81">
        <v>0</v>
      </c>
      <c r="O118" s="81">
        <v>0</v>
      </c>
      <c r="P118" s="81">
        <v>0</v>
      </c>
      <c r="Q118" s="81">
        <v>0</v>
      </c>
      <c r="R118" s="81">
        <v>0</v>
      </c>
      <c r="S118" s="81">
        <v>0</v>
      </c>
      <c r="T118" s="81">
        <v>0</v>
      </c>
      <c r="U118" s="81">
        <v>0</v>
      </c>
      <c r="V118" s="81">
        <v>0</v>
      </c>
      <c r="W118" s="81">
        <v>0</v>
      </c>
      <c r="X118" s="81">
        <v>0</v>
      </c>
      <c r="Y118" s="81">
        <v>0</v>
      </c>
      <c r="Z118" s="81">
        <v>0</v>
      </c>
      <c r="AA118" s="81">
        <v>0</v>
      </c>
      <c r="AB118" s="81">
        <v>0</v>
      </c>
      <c r="AC118" s="81">
        <v>0</v>
      </c>
      <c r="AD118" s="81">
        <v>0</v>
      </c>
      <c r="AE118" s="81">
        <v>0</v>
      </c>
      <c r="AF118" s="81">
        <v>0</v>
      </c>
      <c r="AG118" s="81">
        <v>0</v>
      </c>
      <c r="AH118" s="81">
        <v>0</v>
      </c>
      <c r="AI118" s="81">
        <v>0</v>
      </c>
      <c r="AJ118" s="81">
        <v>0</v>
      </c>
      <c r="AK118" s="81">
        <v>0</v>
      </c>
      <c r="AL118" s="81">
        <v>0</v>
      </c>
      <c r="AM118" s="81">
        <v>0</v>
      </c>
      <c r="AN118" s="81">
        <v>0</v>
      </c>
      <c r="AO118" s="81">
        <v>0</v>
      </c>
      <c r="AP118" s="81">
        <v>0</v>
      </c>
      <c r="AQ118" s="81">
        <v>0</v>
      </c>
      <c r="AR118" s="81">
        <v>0</v>
      </c>
      <c r="AS118" s="81">
        <v>0</v>
      </c>
      <c r="AT118" s="81">
        <v>0</v>
      </c>
      <c r="AU118" s="81">
        <v>0</v>
      </c>
      <c r="AV118" s="81">
        <v>0</v>
      </c>
      <c r="AW118" s="81">
        <v>0</v>
      </c>
      <c r="AX118" s="81">
        <v>0</v>
      </c>
      <c r="AY118" s="81">
        <v>0</v>
      </c>
      <c r="AZ118" s="81">
        <v>0</v>
      </c>
      <c r="BA118" s="81">
        <v>0</v>
      </c>
      <c r="BB118" s="81">
        <v>1</v>
      </c>
      <c r="BC118" s="81">
        <v>1</v>
      </c>
      <c r="BD118" s="81">
        <v>1</v>
      </c>
      <c r="BE118" s="81">
        <v>1</v>
      </c>
      <c r="BF118" s="81">
        <v>1</v>
      </c>
      <c r="BG118" s="81">
        <v>1</v>
      </c>
      <c r="BH118" s="81">
        <v>1</v>
      </c>
      <c r="BI118" s="81">
        <v>1</v>
      </c>
      <c r="BJ118" s="81">
        <v>1</v>
      </c>
      <c r="BK118" s="81">
        <v>2</v>
      </c>
      <c r="BL118" s="81">
        <v>1</v>
      </c>
      <c r="BM118" s="81">
        <v>1</v>
      </c>
      <c r="BN118" s="81">
        <v>1</v>
      </c>
      <c r="BO118" s="81">
        <v>1</v>
      </c>
      <c r="BP118" s="81">
        <v>1</v>
      </c>
      <c r="BQ118" s="81">
        <v>1</v>
      </c>
      <c r="BR118" s="81">
        <v>1</v>
      </c>
      <c r="BS118" s="81">
        <v>1</v>
      </c>
      <c r="BT118" s="81">
        <v>1</v>
      </c>
      <c r="BU118" s="81">
        <v>0</v>
      </c>
      <c r="BV118" s="81">
        <v>0</v>
      </c>
      <c r="BW118" s="81">
        <v>0</v>
      </c>
      <c r="BX118" s="81">
        <v>0</v>
      </c>
      <c r="BY118" s="81">
        <v>0</v>
      </c>
      <c r="BZ118" s="81">
        <v>0</v>
      </c>
      <c r="CA118" s="81">
        <v>0</v>
      </c>
      <c r="CB118" s="81">
        <v>2</v>
      </c>
      <c r="CC118" s="81">
        <v>1</v>
      </c>
      <c r="CD118" s="81">
        <v>1</v>
      </c>
      <c r="CE118" s="81">
        <v>2</v>
      </c>
      <c r="CF118" s="81">
        <v>1</v>
      </c>
      <c r="CG118" s="81">
        <v>1</v>
      </c>
      <c r="CH118" s="81">
        <v>0</v>
      </c>
      <c r="CI118" s="81">
        <v>0</v>
      </c>
      <c r="CJ118" s="81">
        <v>0</v>
      </c>
      <c r="CK118" s="81">
        <v>1</v>
      </c>
      <c r="CL118" s="81">
        <v>1</v>
      </c>
      <c r="CM118" s="81">
        <v>0</v>
      </c>
      <c r="CN118" s="81">
        <v>1</v>
      </c>
      <c r="CO118" s="81" t="s">
        <v>744</v>
      </c>
    </row>
    <row r="119" spans="1:93" ht="11.55" customHeight="1" x14ac:dyDescent="0.3">
      <c r="A119" s="81" t="s">
        <v>747</v>
      </c>
      <c r="B119" s="81" t="s">
        <v>748</v>
      </c>
      <c r="C119" s="81" t="s">
        <v>398</v>
      </c>
      <c r="D119" s="94">
        <v>17</v>
      </c>
      <c r="E119" s="81">
        <v>0</v>
      </c>
      <c r="F119" s="81">
        <v>0</v>
      </c>
      <c r="G119" s="81">
        <v>0</v>
      </c>
      <c r="H119" s="81">
        <v>0</v>
      </c>
      <c r="I119" s="81">
        <v>0</v>
      </c>
      <c r="J119" s="81">
        <v>0</v>
      </c>
      <c r="K119" s="81">
        <v>0</v>
      </c>
      <c r="L119" s="81">
        <v>0</v>
      </c>
      <c r="M119" s="81">
        <v>0</v>
      </c>
      <c r="N119" s="81">
        <v>0</v>
      </c>
      <c r="O119" s="81">
        <v>0</v>
      </c>
      <c r="P119" s="81">
        <v>0</v>
      </c>
      <c r="Q119" s="81">
        <v>0</v>
      </c>
      <c r="R119" s="81">
        <v>0</v>
      </c>
      <c r="S119" s="81">
        <v>0</v>
      </c>
      <c r="T119" s="81">
        <v>0</v>
      </c>
      <c r="U119" s="81">
        <v>0</v>
      </c>
      <c r="V119" s="81">
        <v>0</v>
      </c>
      <c r="W119" s="81">
        <v>0</v>
      </c>
      <c r="X119" s="81">
        <v>0</v>
      </c>
      <c r="Y119" s="81">
        <v>0</v>
      </c>
      <c r="Z119" s="81">
        <v>0</v>
      </c>
      <c r="AA119" s="81">
        <v>0</v>
      </c>
      <c r="AB119" s="81">
        <v>0</v>
      </c>
      <c r="AC119" s="81">
        <v>0</v>
      </c>
      <c r="AD119" s="81">
        <v>0</v>
      </c>
      <c r="AE119" s="81">
        <v>0</v>
      </c>
      <c r="AF119" s="81">
        <v>0</v>
      </c>
      <c r="AG119" s="81">
        <v>0</v>
      </c>
      <c r="AH119" s="81">
        <v>0</v>
      </c>
      <c r="AI119" s="81">
        <v>0</v>
      </c>
      <c r="AJ119" s="81">
        <v>0</v>
      </c>
      <c r="AK119" s="81">
        <v>0</v>
      </c>
      <c r="AL119" s="81">
        <v>0</v>
      </c>
      <c r="AM119" s="81">
        <v>0</v>
      </c>
      <c r="AN119" s="81">
        <v>0</v>
      </c>
      <c r="AO119" s="81">
        <v>0</v>
      </c>
      <c r="AP119" s="81">
        <v>0</v>
      </c>
      <c r="AQ119" s="81">
        <v>0</v>
      </c>
      <c r="AR119" s="81">
        <v>0</v>
      </c>
      <c r="AS119" s="81">
        <v>0</v>
      </c>
      <c r="AT119" s="81">
        <v>0</v>
      </c>
      <c r="AU119" s="81">
        <v>0</v>
      </c>
      <c r="AV119" s="81">
        <v>0</v>
      </c>
      <c r="AW119" s="81">
        <v>0</v>
      </c>
      <c r="AX119" s="81">
        <v>0</v>
      </c>
      <c r="AY119" s="81">
        <v>0</v>
      </c>
      <c r="AZ119" s="81">
        <v>0</v>
      </c>
      <c r="BA119" s="81">
        <v>0</v>
      </c>
      <c r="BB119" s="81">
        <v>1</v>
      </c>
      <c r="BC119" s="81">
        <v>1</v>
      </c>
      <c r="BD119" s="81">
        <v>1</v>
      </c>
      <c r="BE119" s="81">
        <v>1</v>
      </c>
      <c r="BF119" s="81">
        <v>1</v>
      </c>
      <c r="BG119" s="81">
        <v>1</v>
      </c>
      <c r="BH119" s="81">
        <v>1</v>
      </c>
      <c r="BI119" s="81">
        <v>1</v>
      </c>
      <c r="BJ119" s="81">
        <v>1</v>
      </c>
      <c r="BK119" s="81">
        <v>2</v>
      </c>
      <c r="BL119" s="81">
        <v>1</v>
      </c>
      <c r="BM119" s="81">
        <v>1</v>
      </c>
      <c r="BN119" s="81">
        <v>1</v>
      </c>
      <c r="BO119" s="81">
        <v>1</v>
      </c>
      <c r="BP119" s="81">
        <v>1</v>
      </c>
      <c r="BQ119" s="81">
        <v>1</v>
      </c>
      <c r="BR119" s="81">
        <v>1</v>
      </c>
      <c r="BS119" s="81">
        <v>1</v>
      </c>
      <c r="BT119" s="81">
        <v>1</v>
      </c>
      <c r="BU119" s="81">
        <v>0</v>
      </c>
      <c r="BV119" s="81">
        <v>0</v>
      </c>
      <c r="BW119" s="81">
        <v>0</v>
      </c>
      <c r="BX119" s="81">
        <v>0</v>
      </c>
      <c r="BY119" s="81">
        <v>0</v>
      </c>
      <c r="BZ119" s="81">
        <v>0</v>
      </c>
      <c r="CA119" s="81">
        <v>0</v>
      </c>
      <c r="CB119" s="81">
        <v>2</v>
      </c>
      <c r="CC119" s="81">
        <v>1</v>
      </c>
      <c r="CD119" s="81">
        <v>1</v>
      </c>
      <c r="CE119" s="81">
        <v>2</v>
      </c>
      <c r="CF119" s="81">
        <v>1</v>
      </c>
      <c r="CG119" s="81">
        <v>1</v>
      </c>
      <c r="CH119" s="81">
        <v>0</v>
      </c>
      <c r="CI119" s="81">
        <v>0</v>
      </c>
      <c r="CJ119" s="81">
        <v>0</v>
      </c>
      <c r="CK119" s="81">
        <v>1</v>
      </c>
      <c r="CL119" s="81">
        <v>1</v>
      </c>
      <c r="CM119" s="81">
        <v>0</v>
      </c>
      <c r="CN119" s="81">
        <v>1</v>
      </c>
      <c r="CO119" s="81" t="s">
        <v>744</v>
      </c>
    </row>
    <row r="120" spans="1:93" ht="11.55" customHeight="1" x14ac:dyDescent="0.3">
      <c r="A120" s="81" t="s">
        <v>749</v>
      </c>
      <c r="B120" s="81" t="s">
        <v>750</v>
      </c>
      <c r="C120" s="81" t="s">
        <v>398</v>
      </c>
      <c r="D120" s="94">
        <v>17</v>
      </c>
      <c r="E120" s="81">
        <v>0</v>
      </c>
      <c r="F120" s="81">
        <v>0</v>
      </c>
      <c r="G120" s="81">
        <v>0</v>
      </c>
      <c r="H120" s="81">
        <v>1</v>
      </c>
      <c r="I120" s="81">
        <v>0</v>
      </c>
      <c r="J120" s="81">
        <v>1</v>
      </c>
      <c r="K120" s="81">
        <v>0</v>
      </c>
      <c r="L120" s="81">
        <v>0</v>
      </c>
      <c r="M120" s="81">
        <v>0</v>
      </c>
      <c r="N120" s="81">
        <v>1</v>
      </c>
      <c r="O120" s="81">
        <v>0</v>
      </c>
      <c r="P120" s="81">
        <v>0</v>
      </c>
      <c r="Q120" s="81">
        <v>0</v>
      </c>
      <c r="R120" s="81">
        <v>0</v>
      </c>
      <c r="S120" s="81">
        <v>0</v>
      </c>
      <c r="T120" s="81">
        <v>1</v>
      </c>
      <c r="U120" s="81">
        <v>0</v>
      </c>
      <c r="V120" s="81">
        <v>0</v>
      </c>
      <c r="W120" s="81">
        <v>0</v>
      </c>
      <c r="X120" s="81">
        <v>0</v>
      </c>
      <c r="Y120" s="81">
        <v>0</v>
      </c>
      <c r="Z120" s="81">
        <v>1</v>
      </c>
      <c r="AA120" s="81">
        <v>0</v>
      </c>
      <c r="AB120" s="81">
        <v>0</v>
      </c>
      <c r="AC120" s="81">
        <v>0</v>
      </c>
      <c r="AD120" s="81">
        <v>0</v>
      </c>
      <c r="AE120" s="81">
        <v>0</v>
      </c>
      <c r="AF120" s="81">
        <v>0</v>
      </c>
      <c r="AG120" s="81">
        <v>0</v>
      </c>
      <c r="AH120" s="81">
        <v>0</v>
      </c>
      <c r="AI120" s="81">
        <v>0</v>
      </c>
      <c r="AJ120" s="81">
        <v>0</v>
      </c>
      <c r="AK120" s="81">
        <v>0</v>
      </c>
      <c r="AL120" s="81">
        <v>0</v>
      </c>
      <c r="AM120" s="81">
        <v>0</v>
      </c>
      <c r="AN120" s="81">
        <v>0</v>
      </c>
      <c r="AO120" s="81">
        <v>1</v>
      </c>
      <c r="AP120" s="81">
        <v>0</v>
      </c>
      <c r="AQ120" s="81">
        <v>0</v>
      </c>
      <c r="AR120" s="81">
        <v>0</v>
      </c>
      <c r="AS120" s="81">
        <v>0</v>
      </c>
      <c r="AT120" s="81">
        <v>1</v>
      </c>
      <c r="AU120" s="81">
        <v>0</v>
      </c>
      <c r="AV120" s="81">
        <v>0</v>
      </c>
      <c r="AW120" s="81">
        <v>0</v>
      </c>
      <c r="AX120" s="81">
        <v>0</v>
      </c>
      <c r="AY120" s="81">
        <v>0</v>
      </c>
      <c r="AZ120" s="81">
        <v>0</v>
      </c>
      <c r="BA120" s="81">
        <v>0</v>
      </c>
      <c r="BB120" s="81">
        <v>1</v>
      </c>
      <c r="BC120" s="81">
        <v>1</v>
      </c>
      <c r="BD120" s="81">
        <v>1</v>
      </c>
      <c r="BE120" s="81">
        <v>1</v>
      </c>
      <c r="BF120" s="81">
        <v>1</v>
      </c>
      <c r="BG120" s="81">
        <v>1</v>
      </c>
      <c r="BH120" s="81">
        <v>1</v>
      </c>
      <c r="BI120" s="81">
        <v>1</v>
      </c>
      <c r="BJ120" s="81">
        <v>1</v>
      </c>
      <c r="BK120" s="81">
        <v>1</v>
      </c>
      <c r="BL120" s="81">
        <v>1</v>
      </c>
      <c r="BM120" s="81">
        <v>1</v>
      </c>
      <c r="BN120" s="81">
        <v>1</v>
      </c>
      <c r="BO120" s="81">
        <v>1</v>
      </c>
      <c r="BP120" s="81">
        <v>1</v>
      </c>
      <c r="BQ120" s="81">
        <v>1</v>
      </c>
      <c r="BR120" s="81">
        <v>1</v>
      </c>
      <c r="BS120" s="81">
        <v>1</v>
      </c>
      <c r="BT120" s="81">
        <v>1</v>
      </c>
      <c r="BU120" s="81">
        <v>0</v>
      </c>
      <c r="BV120" s="81">
        <v>0</v>
      </c>
      <c r="BW120" s="81">
        <v>0</v>
      </c>
      <c r="BX120" s="81">
        <v>0</v>
      </c>
      <c r="BY120" s="81">
        <v>0</v>
      </c>
      <c r="BZ120" s="81">
        <v>0</v>
      </c>
      <c r="CA120" s="81">
        <v>0</v>
      </c>
      <c r="CB120" s="81">
        <v>2</v>
      </c>
      <c r="CC120" s="81">
        <v>2</v>
      </c>
      <c r="CD120" s="81">
        <v>1</v>
      </c>
      <c r="CE120" s="81">
        <v>2</v>
      </c>
      <c r="CF120" s="81">
        <v>1</v>
      </c>
      <c r="CG120" s="81">
        <v>1</v>
      </c>
      <c r="CH120" s="81">
        <v>0</v>
      </c>
      <c r="CI120" s="81">
        <v>1</v>
      </c>
      <c r="CJ120" s="81">
        <v>1</v>
      </c>
      <c r="CK120" s="81">
        <v>1</v>
      </c>
      <c r="CL120" s="81">
        <v>1</v>
      </c>
      <c r="CM120" s="81">
        <v>1</v>
      </c>
      <c r="CN120" s="81">
        <v>1</v>
      </c>
      <c r="CO120" s="81" t="s">
        <v>751</v>
      </c>
    </row>
    <row r="121" spans="1:93" ht="11.55" customHeight="1" x14ac:dyDescent="0.3">
      <c r="A121" s="81" t="s">
        <v>752</v>
      </c>
      <c r="B121" s="81" t="s">
        <v>753</v>
      </c>
      <c r="C121" s="81" t="s">
        <v>398</v>
      </c>
      <c r="D121" s="94">
        <v>17</v>
      </c>
      <c r="E121" s="81">
        <v>0</v>
      </c>
      <c r="F121" s="81">
        <v>0</v>
      </c>
      <c r="G121" s="81">
        <v>0</v>
      </c>
      <c r="H121" s="81">
        <v>1</v>
      </c>
      <c r="I121" s="81">
        <v>0</v>
      </c>
      <c r="J121" s="81">
        <v>1</v>
      </c>
      <c r="K121" s="81">
        <v>0</v>
      </c>
      <c r="L121" s="81">
        <v>0</v>
      </c>
      <c r="M121" s="81">
        <v>0</v>
      </c>
      <c r="N121" s="81">
        <v>1</v>
      </c>
      <c r="O121" s="81">
        <v>0</v>
      </c>
      <c r="P121" s="81">
        <v>0</v>
      </c>
      <c r="Q121" s="81">
        <v>0</v>
      </c>
      <c r="R121" s="81">
        <v>0</v>
      </c>
      <c r="S121" s="81">
        <v>0</v>
      </c>
      <c r="T121" s="81">
        <v>1</v>
      </c>
      <c r="U121" s="81">
        <v>0</v>
      </c>
      <c r="V121" s="81">
        <v>0</v>
      </c>
      <c r="W121" s="81">
        <v>0</v>
      </c>
      <c r="X121" s="81">
        <v>0</v>
      </c>
      <c r="Y121" s="81">
        <v>0</v>
      </c>
      <c r="Z121" s="81">
        <v>1</v>
      </c>
      <c r="AA121" s="81">
        <v>0</v>
      </c>
      <c r="AB121" s="81">
        <v>0</v>
      </c>
      <c r="AC121" s="81">
        <v>0</v>
      </c>
      <c r="AD121" s="81">
        <v>0</v>
      </c>
      <c r="AE121" s="81">
        <v>0</v>
      </c>
      <c r="AF121" s="81">
        <v>0</v>
      </c>
      <c r="AG121" s="81">
        <v>0</v>
      </c>
      <c r="AH121" s="81">
        <v>0</v>
      </c>
      <c r="AI121" s="81">
        <v>0</v>
      </c>
      <c r="AJ121" s="81">
        <v>0</v>
      </c>
      <c r="AK121" s="81">
        <v>0</v>
      </c>
      <c r="AL121" s="81">
        <v>0</v>
      </c>
      <c r="AM121" s="81">
        <v>0</v>
      </c>
      <c r="AN121" s="81">
        <v>0</v>
      </c>
      <c r="AO121" s="81">
        <v>1</v>
      </c>
      <c r="AP121" s="81">
        <v>0</v>
      </c>
      <c r="AQ121" s="81">
        <v>0</v>
      </c>
      <c r="AR121" s="81">
        <v>0</v>
      </c>
      <c r="AS121" s="81">
        <v>0</v>
      </c>
      <c r="AT121" s="81">
        <v>1</v>
      </c>
      <c r="AU121" s="81">
        <v>0</v>
      </c>
      <c r="AV121" s="81">
        <v>0</v>
      </c>
      <c r="AW121" s="81">
        <v>0</v>
      </c>
      <c r="AX121" s="81">
        <v>0</v>
      </c>
      <c r="AY121" s="81">
        <v>0</v>
      </c>
      <c r="AZ121" s="81">
        <v>0</v>
      </c>
      <c r="BA121" s="81">
        <v>0</v>
      </c>
      <c r="BB121" s="81">
        <v>1</v>
      </c>
      <c r="BC121" s="81">
        <v>1</v>
      </c>
      <c r="BD121" s="81">
        <v>1</v>
      </c>
      <c r="BE121" s="81">
        <v>1</v>
      </c>
      <c r="BF121" s="81">
        <v>1</v>
      </c>
      <c r="BG121" s="81">
        <v>1</v>
      </c>
      <c r="BH121" s="81">
        <v>1</v>
      </c>
      <c r="BI121" s="81">
        <v>1</v>
      </c>
      <c r="BJ121" s="81">
        <v>1</v>
      </c>
      <c r="BK121" s="81">
        <v>1</v>
      </c>
      <c r="BL121" s="81">
        <v>1</v>
      </c>
      <c r="BM121" s="81">
        <v>1</v>
      </c>
      <c r="BN121" s="81">
        <v>1</v>
      </c>
      <c r="BO121" s="81">
        <v>1</v>
      </c>
      <c r="BP121" s="81">
        <v>1</v>
      </c>
      <c r="BQ121" s="81">
        <v>1</v>
      </c>
      <c r="BR121" s="81">
        <v>1</v>
      </c>
      <c r="BS121" s="81">
        <v>1</v>
      </c>
      <c r="BT121" s="81">
        <v>1</v>
      </c>
      <c r="BU121" s="81">
        <v>0</v>
      </c>
      <c r="BV121" s="81">
        <v>0</v>
      </c>
      <c r="BW121" s="81">
        <v>0</v>
      </c>
      <c r="BX121" s="81">
        <v>0</v>
      </c>
      <c r="BY121" s="81">
        <v>0</v>
      </c>
      <c r="BZ121" s="81">
        <v>0</v>
      </c>
      <c r="CA121" s="81">
        <v>0</v>
      </c>
      <c r="CB121" s="81">
        <v>2</v>
      </c>
      <c r="CC121" s="81">
        <v>2</v>
      </c>
      <c r="CD121" s="81">
        <v>1</v>
      </c>
      <c r="CE121" s="81">
        <v>2</v>
      </c>
      <c r="CF121" s="81">
        <v>1</v>
      </c>
      <c r="CG121" s="81">
        <v>1</v>
      </c>
      <c r="CH121" s="81">
        <v>0</v>
      </c>
      <c r="CI121" s="81">
        <v>1</v>
      </c>
      <c r="CJ121" s="81">
        <v>1</v>
      </c>
      <c r="CK121" s="81">
        <v>1</v>
      </c>
      <c r="CL121" s="81">
        <v>1</v>
      </c>
      <c r="CM121" s="81">
        <v>1</v>
      </c>
      <c r="CN121" s="81">
        <v>1</v>
      </c>
      <c r="CO121" s="81" t="s">
        <v>751</v>
      </c>
    </row>
    <row r="122" spans="1:93" ht="11.55" customHeight="1" x14ac:dyDescent="0.3">
      <c r="A122" s="81" t="s">
        <v>754</v>
      </c>
      <c r="B122" s="81" t="s">
        <v>755</v>
      </c>
      <c r="C122" s="81" t="s">
        <v>398</v>
      </c>
      <c r="D122" s="94">
        <v>17</v>
      </c>
      <c r="E122" s="81">
        <v>0</v>
      </c>
      <c r="F122" s="81">
        <v>0</v>
      </c>
      <c r="G122" s="81">
        <v>0</v>
      </c>
      <c r="H122" s="81">
        <v>1</v>
      </c>
      <c r="I122" s="81">
        <v>0</v>
      </c>
      <c r="J122" s="81">
        <v>1</v>
      </c>
      <c r="K122" s="81">
        <v>0</v>
      </c>
      <c r="L122" s="81">
        <v>0</v>
      </c>
      <c r="M122" s="81">
        <v>0</v>
      </c>
      <c r="N122" s="81">
        <v>1</v>
      </c>
      <c r="O122" s="81">
        <v>0</v>
      </c>
      <c r="P122" s="81">
        <v>0</v>
      </c>
      <c r="Q122" s="81">
        <v>0</v>
      </c>
      <c r="R122" s="81">
        <v>0</v>
      </c>
      <c r="S122" s="81">
        <v>0</v>
      </c>
      <c r="T122" s="81">
        <v>1</v>
      </c>
      <c r="U122" s="81">
        <v>0</v>
      </c>
      <c r="V122" s="81">
        <v>0</v>
      </c>
      <c r="W122" s="81">
        <v>0</v>
      </c>
      <c r="X122" s="81">
        <v>0</v>
      </c>
      <c r="Y122" s="81">
        <v>0</v>
      </c>
      <c r="Z122" s="81">
        <v>1</v>
      </c>
      <c r="AA122" s="81">
        <v>0</v>
      </c>
      <c r="AB122" s="81">
        <v>0</v>
      </c>
      <c r="AC122" s="81">
        <v>0</v>
      </c>
      <c r="AD122" s="81">
        <v>0</v>
      </c>
      <c r="AE122" s="81">
        <v>0</v>
      </c>
      <c r="AF122" s="81">
        <v>0</v>
      </c>
      <c r="AG122" s="81">
        <v>0</v>
      </c>
      <c r="AH122" s="81">
        <v>0</v>
      </c>
      <c r="AI122" s="81">
        <v>0</v>
      </c>
      <c r="AJ122" s="81">
        <v>0</v>
      </c>
      <c r="AK122" s="81">
        <v>0</v>
      </c>
      <c r="AL122" s="81">
        <v>0</v>
      </c>
      <c r="AM122" s="81">
        <v>0</v>
      </c>
      <c r="AN122" s="81">
        <v>0</v>
      </c>
      <c r="AO122" s="81">
        <v>1</v>
      </c>
      <c r="AP122" s="81">
        <v>0</v>
      </c>
      <c r="AQ122" s="81">
        <v>0</v>
      </c>
      <c r="AR122" s="81">
        <v>0</v>
      </c>
      <c r="AS122" s="81">
        <v>0</v>
      </c>
      <c r="AT122" s="81">
        <v>1</v>
      </c>
      <c r="AU122" s="81">
        <v>0</v>
      </c>
      <c r="AV122" s="81">
        <v>0</v>
      </c>
      <c r="AW122" s="81">
        <v>0</v>
      </c>
      <c r="AX122" s="81">
        <v>0</v>
      </c>
      <c r="AY122" s="81">
        <v>0</v>
      </c>
      <c r="AZ122" s="81">
        <v>0</v>
      </c>
      <c r="BA122" s="81">
        <v>0</v>
      </c>
      <c r="BB122" s="81">
        <v>1</v>
      </c>
      <c r="BC122" s="81">
        <v>1</v>
      </c>
      <c r="BD122" s="81">
        <v>1</v>
      </c>
      <c r="BE122" s="81">
        <v>1</v>
      </c>
      <c r="BF122" s="81">
        <v>1</v>
      </c>
      <c r="BG122" s="81">
        <v>1</v>
      </c>
      <c r="BH122" s="81">
        <v>1</v>
      </c>
      <c r="BI122" s="81">
        <v>1</v>
      </c>
      <c r="BJ122" s="81">
        <v>1</v>
      </c>
      <c r="BK122" s="81">
        <v>1</v>
      </c>
      <c r="BL122" s="81">
        <v>1</v>
      </c>
      <c r="BM122" s="81">
        <v>1</v>
      </c>
      <c r="BN122" s="81">
        <v>1</v>
      </c>
      <c r="BO122" s="81">
        <v>1</v>
      </c>
      <c r="BP122" s="81">
        <v>1</v>
      </c>
      <c r="BQ122" s="81">
        <v>1</v>
      </c>
      <c r="BR122" s="81">
        <v>1</v>
      </c>
      <c r="BS122" s="81">
        <v>1</v>
      </c>
      <c r="BT122" s="81">
        <v>1</v>
      </c>
      <c r="BU122" s="81">
        <v>0</v>
      </c>
      <c r="BV122" s="81">
        <v>0</v>
      </c>
      <c r="BW122" s="81">
        <v>0</v>
      </c>
      <c r="BX122" s="81">
        <v>0</v>
      </c>
      <c r="BY122" s="81">
        <v>0</v>
      </c>
      <c r="BZ122" s="81">
        <v>0</v>
      </c>
      <c r="CA122" s="81">
        <v>0</v>
      </c>
      <c r="CB122" s="81">
        <v>2</v>
      </c>
      <c r="CC122" s="81">
        <v>2</v>
      </c>
      <c r="CD122" s="81">
        <v>1</v>
      </c>
      <c r="CE122" s="81">
        <v>2</v>
      </c>
      <c r="CF122" s="81">
        <v>1</v>
      </c>
      <c r="CG122" s="81">
        <v>1</v>
      </c>
      <c r="CH122" s="81">
        <v>0</v>
      </c>
      <c r="CI122" s="81">
        <v>1</v>
      </c>
      <c r="CJ122" s="81">
        <v>1</v>
      </c>
      <c r="CK122" s="81">
        <v>1</v>
      </c>
      <c r="CL122" s="81">
        <v>1</v>
      </c>
      <c r="CM122" s="81">
        <v>1</v>
      </c>
      <c r="CN122" s="81">
        <v>1</v>
      </c>
      <c r="CO122" s="81" t="s">
        <v>751</v>
      </c>
    </row>
    <row r="123" spans="1:93" ht="11.55" customHeight="1" x14ac:dyDescent="0.3">
      <c r="A123" s="81" t="s">
        <v>756</v>
      </c>
      <c r="B123" s="81" t="s">
        <v>757</v>
      </c>
      <c r="C123" s="81" t="s">
        <v>398</v>
      </c>
      <c r="D123" s="94">
        <v>17</v>
      </c>
      <c r="E123" s="81">
        <v>0</v>
      </c>
      <c r="F123" s="81">
        <v>0</v>
      </c>
      <c r="G123" s="81">
        <v>0</v>
      </c>
      <c r="H123" s="81">
        <v>1</v>
      </c>
      <c r="I123" s="81">
        <v>0</v>
      </c>
      <c r="J123" s="81">
        <v>1</v>
      </c>
      <c r="K123" s="81">
        <v>0</v>
      </c>
      <c r="L123" s="81">
        <v>0</v>
      </c>
      <c r="M123" s="81">
        <v>0</v>
      </c>
      <c r="N123" s="81">
        <v>1</v>
      </c>
      <c r="O123" s="81">
        <v>0</v>
      </c>
      <c r="P123" s="81">
        <v>0</v>
      </c>
      <c r="Q123" s="81">
        <v>0</v>
      </c>
      <c r="R123" s="81">
        <v>0</v>
      </c>
      <c r="S123" s="81">
        <v>0</v>
      </c>
      <c r="T123" s="81">
        <v>1</v>
      </c>
      <c r="U123" s="81">
        <v>0</v>
      </c>
      <c r="V123" s="81">
        <v>0</v>
      </c>
      <c r="W123" s="81">
        <v>0</v>
      </c>
      <c r="X123" s="81">
        <v>0</v>
      </c>
      <c r="Y123" s="81">
        <v>0</v>
      </c>
      <c r="Z123" s="81">
        <v>1</v>
      </c>
      <c r="AA123" s="81">
        <v>0</v>
      </c>
      <c r="AB123" s="81">
        <v>0</v>
      </c>
      <c r="AC123" s="81">
        <v>0</v>
      </c>
      <c r="AD123" s="81">
        <v>0</v>
      </c>
      <c r="AE123" s="81">
        <v>0</v>
      </c>
      <c r="AF123" s="81">
        <v>0</v>
      </c>
      <c r="AG123" s="81">
        <v>0</v>
      </c>
      <c r="AH123" s="81">
        <v>0</v>
      </c>
      <c r="AI123" s="81">
        <v>0</v>
      </c>
      <c r="AJ123" s="81">
        <v>0</v>
      </c>
      <c r="AK123" s="81">
        <v>0</v>
      </c>
      <c r="AL123" s="81">
        <v>0</v>
      </c>
      <c r="AM123" s="81">
        <v>0</v>
      </c>
      <c r="AN123" s="81">
        <v>0</v>
      </c>
      <c r="AO123" s="81">
        <v>1</v>
      </c>
      <c r="AP123" s="81">
        <v>0</v>
      </c>
      <c r="AQ123" s="81">
        <v>0</v>
      </c>
      <c r="AR123" s="81">
        <v>0</v>
      </c>
      <c r="AS123" s="81">
        <v>0</v>
      </c>
      <c r="AT123" s="81">
        <v>1</v>
      </c>
      <c r="AU123" s="81">
        <v>0</v>
      </c>
      <c r="AV123" s="81">
        <v>0</v>
      </c>
      <c r="AW123" s="81">
        <v>0</v>
      </c>
      <c r="AX123" s="81">
        <v>0</v>
      </c>
      <c r="AY123" s="81">
        <v>0</v>
      </c>
      <c r="AZ123" s="81">
        <v>0</v>
      </c>
      <c r="BA123" s="81">
        <v>0</v>
      </c>
      <c r="BB123" s="81">
        <v>1</v>
      </c>
      <c r="BC123" s="81">
        <v>1</v>
      </c>
      <c r="BD123" s="81">
        <v>1</v>
      </c>
      <c r="BE123" s="81">
        <v>1</v>
      </c>
      <c r="BF123" s="81">
        <v>1</v>
      </c>
      <c r="BG123" s="81">
        <v>1</v>
      </c>
      <c r="BH123" s="81">
        <v>1</v>
      </c>
      <c r="BI123" s="81">
        <v>1</v>
      </c>
      <c r="BJ123" s="81">
        <v>1</v>
      </c>
      <c r="BK123" s="81">
        <v>1</v>
      </c>
      <c r="BL123" s="81">
        <v>1</v>
      </c>
      <c r="BM123" s="81">
        <v>1</v>
      </c>
      <c r="BN123" s="81">
        <v>1</v>
      </c>
      <c r="BO123" s="81">
        <v>1</v>
      </c>
      <c r="BP123" s="81">
        <v>1</v>
      </c>
      <c r="BQ123" s="81">
        <v>1</v>
      </c>
      <c r="BR123" s="81">
        <v>1</v>
      </c>
      <c r="BS123" s="81">
        <v>1</v>
      </c>
      <c r="BT123" s="81">
        <v>1</v>
      </c>
      <c r="BU123" s="81">
        <v>0</v>
      </c>
      <c r="BV123" s="81">
        <v>0</v>
      </c>
      <c r="BW123" s="81">
        <v>0</v>
      </c>
      <c r="BX123" s="81">
        <v>0</v>
      </c>
      <c r="BY123" s="81">
        <v>0</v>
      </c>
      <c r="BZ123" s="81">
        <v>0</v>
      </c>
      <c r="CA123" s="81">
        <v>0</v>
      </c>
      <c r="CB123" s="81">
        <v>2</v>
      </c>
      <c r="CC123" s="81">
        <v>2</v>
      </c>
      <c r="CD123" s="81">
        <v>1</v>
      </c>
      <c r="CE123" s="81">
        <v>2</v>
      </c>
      <c r="CF123" s="81">
        <v>1</v>
      </c>
      <c r="CG123" s="81">
        <v>1</v>
      </c>
      <c r="CH123" s="81">
        <v>0</v>
      </c>
      <c r="CI123" s="81">
        <v>1</v>
      </c>
      <c r="CJ123" s="81">
        <v>1</v>
      </c>
      <c r="CK123" s="81">
        <v>1</v>
      </c>
      <c r="CL123" s="81">
        <v>1</v>
      </c>
      <c r="CM123" s="81">
        <v>1</v>
      </c>
      <c r="CN123" s="81">
        <v>1</v>
      </c>
      <c r="CO123" s="81" t="s">
        <v>751</v>
      </c>
    </row>
    <row r="124" spans="1:93" ht="11.55" customHeight="1" x14ac:dyDescent="0.3">
      <c r="A124" s="81" t="s">
        <v>758</v>
      </c>
      <c r="B124" s="81" t="s">
        <v>759</v>
      </c>
      <c r="C124" s="81" t="s">
        <v>398</v>
      </c>
      <c r="D124" s="94">
        <v>17</v>
      </c>
      <c r="E124" s="81">
        <v>0</v>
      </c>
      <c r="F124" s="81">
        <v>0</v>
      </c>
      <c r="G124" s="81">
        <v>0</v>
      </c>
      <c r="H124" s="81">
        <v>1</v>
      </c>
      <c r="I124" s="81">
        <v>0</v>
      </c>
      <c r="J124" s="81">
        <v>1</v>
      </c>
      <c r="K124" s="81">
        <v>0</v>
      </c>
      <c r="L124" s="81">
        <v>0</v>
      </c>
      <c r="M124" s="81">
        <v>0</v>
      </c>
      <c r="N124" s="81">
        <v>1</v>
      </c>
      <c r="O124" s="81">
        <v>0</v>
      </c>
      <c r="P124" s="81">
        <v>0</v>
      </c>
      <c r="Q124" s="81">
        <v>0</v>
      </c>
      <c r="R124" s="81">
        <v>0</v>
      </c>
      <c r="S124" s="81">
        <v>0</v>
      </c>
      <c r="T124" s="81">
        <v>1</v>
      </c>
      <c r="U124" s="81">
        <v>0</v>
      </c>
      <c r="V124" s="81">
        <v>0</v>
      </c>
      <c r="W124" s="81">
        <v>0</v>
      </c>
      <c r="X124" s="81">
        <v>0</v>
      </c>
      <c r="Y124" s="81">
        <v>0</v>
      </c>
      <c r="Z124" s="81">
        <v>1</v>
      </c>
      <c r="AA124" s="81">
        <v>0</v>
      </c>
      <c r="AB124" s="81">
        <v>0</v>
      </c>
      <c r="AC124" s="81">
        <v>0</v>
      </c>
      <c r="AD124" s="81">
        <v>0</v>
      </c>
      <c r="AE124" s="81">
        <v>0</v>
      </c>
      <c r="AF124" s="81">
        <v>0</v>
      </c>
      <c r="AG124" s="81">
        <v>0</v>
      </c>
      <c r="AH124" s="81">
        <v>0</v>
      </c>
      <c r="AI124" s="81">
        <v>0</v>
      </c>
      <c r="AJ124" s="81">
        <v>0</v>
      </c>
      <c r="AK124" s="81">
        <v>0</v>
      </c>
      <c r="AL124" s="81">
        <v>0</v>
      </c>
      <c r="AM124" s="81">
        <v>0</v>
      </c>
      <c r="AN124" s="81">
        <v>0</v>
      </c>
      <c r="AO124" s="81">
        <v>1</v>
      </c>
      <c r="AP124" s="81">
        <v>0</v>
      </c>
      <c r="AQ124" s="81">
        <v>0</v>
      </c>
      <c r="AR124" s="81">
        <v>0</v>
      </c>
      <c r="AS124" s="81">
        <v>0</v>
      </c>
      <c r="AT124" s="81">
        <v>1</v>
      </c>
      <c r="AU124" s="81">
        <v>0</v>
      </c>
      <c r="AV124" s="81">
        <v>0</v>
      </c>
      <c r="AW124" s="81">
        <v>0</v>
      </c>
      <c r="AX124" s="81">
        <v>0</v>
      </c>
      <c r="AY124" s="81">
        <v>0</v>
      </c>
      <c r="AZ124" s="81">
        <v>0</v>
      </c>
      <c r="BA124" s="81">
        <v>0</v>
      </c>
      <c r="BB124" s="81">
        <v>1</v>
      </c>
      <c r="BC124" s="81">
        <v>1</v>
      </c>
      <c r="BD124" s="81">
        <v>1</v>
      </c>
      <c r="BE124" s="81">
        <v>1</v>
      </c>
      <c r="BF124" s="81">
        <v>1</v>
      </c>
      <c r="BG124" s="81">
        <v>1</v>
      </c>
      <c r="BH124" s="81">
        <v>1</v>
      </c>
      <c r="BI124" s="81">
        <v>1</v>
      </c>
      <c r="BJ124" s="81">
        <v>1</v>
      </c>
      <c r="BK124" s="81">
        <v>1</v>
      </c>
      <c r="BL124" s="81">
        <v>1</v>
      </c>
      <c r="BM124" s="81">
        <v>1</v>
      </c>
      <c r="BN124" s="81">
        <v>1</v>
      </c>
      <c r="BO124" s="81">
        <v>1</v>
      </c>
      <c r="BP124" s="81">
        <v>1</v>
      </c>
      <c r="BQ124" s="81">
        <v>1</v>
      </c>
      <c r="BR124" s="81">
        <v>1</v>
      </c>
      <c r="BS124" s="81">
        <v>1</v>
      </c>
      <c r="BT124" s="81">
        <v>1</v>
      </c>
      <c r="BU124" s="81">
        <v>0</v>
      </c>
      <c r="BV124" s="81">
        <v>0</v>
      </c>
      <c r="BW124" s="81">
        <v>0</v>
      </c>
      <c r="BX124" s="81">
        <v>0</v>
      </c>
      <c r="BY124" s="81">
        <v>0</v>
      </c>
      <c r="BZ124" s="81">
        <v>0</v>
      </c>
      <c r="CA124" s="81">
        <v>0</v>
      </c>
      <c r="CB124" s="81">
        <v>2</v>
      </c>
      <c r="CC124" s="81">
        <v>2</v>
      </c>
      <c r="CD124" s="81">
        <v>1</v>
      </c>
      <c r="CE124" s="81">
        <v>2</v>
      </c>
      <c r="CF124" s="81">
        <v>1</v>
      </c>
      <c r="CG124" s="81">
        <v>1</v>
      </c>
      <c r="CH124" s="81">
        <v>0</v>
      </c>
      <c r="CI124" s="81">
        <v>1</v>
      </c>
      <c r="CJ124" s="81">
        <v>1</v>
      </c>
      <c r="CK124" s="81">
        <v>1</v>
      </c>
      <c r="CL124" s="81">
        <v>1</v>
      </c>
      <c r="CM124" s="81">
        <v>1</v>
      </c>
      <c r="CN124" s="81">
        <v>1</v>
      </c>
      <c r="CO124" s="81" t="s">
        <v>751</v>
      </c>
    </row>
    <row r="125" spans="1:93" ht="11.55" customHeight="1" x14ac:dyDescent="0.3">
      <c r="A125" s="81" t="s">
        <v>760</v>
      </c>
      <c r="B125" s="81" t="s">
        <v>761</v>
      </c>
      <c r="C125" s="81" t="s">
        <v>398</v>
      </c>
      <c r="D125" s="94">
        <v>17</v>
      </c>
      <c r="E125" s="81">
        <v>0</v>
      </c>
      <c r="F125" s="81">
        <v>0</v>
      </c>
      <c r="G125" s="81">
        <v>0</v>
      </c>
      <c r="H125" s="81">
        <v>1</v>
      </c>
      <c r="I125" s="81">
        <v>0</v>
      </c>
      <c r="J125" s="81">
        <v>1</v>
      </c>
      <c r="K125" s="81">
        <v>0</v>
      </c>
      <c r="L125" s="81">
        <v>0</v>
      </c>
      <c r="M125" s="81">
        <v>0</v>
      </c>
      <c r="N125" s="81">
        <v>1</v>
      </c>
      <c r="O125" s="81">
        <v>0</v>
      </c>
      <c r="P125" s="81">
        <v>0</v>
      </c>
      <c r="Q125" s="81">
        <v>0</v>
      </c>
      <c r="R125" s="81">
        <v>0</v>
      </c>
      <c r="S125" s="81">
        <v>0</v>
      </c>
      <c r="T125" s="81">
        <v>1</v>
      </c>
      <c r="U125" s="81">
        <v>0</v>
      </c>
      <c r="V125" s="81">
        <v>0</v>
      </c>
      <c r="W125" s="81">
        <v>0</v>
      </c>
      <c r="X125" s="81">
        <v>0</v>
      </c>
      <c r="Y125" s="81">
        <v>0</v>
      </c>
      <c r="Z125" s="81">
        <v>1</v>
      </c>
      <c r="AA125" s="81">
        <v>0</v>
      </c>
      <c r="AB125" s="81">
        <v>0</v>
      </c>
      <c r="AC125" s="81">
        <v>0</v>
      </c>
      <c r="AD125" s="81">
        <v>0</v>
      </c>
      <c r="AE125" s="81">
        <v>0</v>
      </c>
      <c r="AF125" s="81">
        <v>0</v>
      </c>
      <c r="AG125" s="81">
        <v>0</v>
      </c>
      <c r="AH125" s="81">
        <v>0</v>
      </c>
      <c r="AI125" s="81">
        <v>0</v>
      </c>
      <c r="AJ125" s="81">
        <v>0</v>
      </c>
      <c r="AK125" s="81">
        <v>0</v>
      </c>
      <c r="AL125" s="81">
        <v>0</v>
      </c>
      <c r="AM125" s="81">
        <v>0</v>
      </c>
      <c r="AN125" s="81">
        <v>0</v>
      </c>
      <c r="AO125" s="81">
        <v>1</v>
      </c>
      <c r="AP125" s="81">
        <v>0</v>
      </c>
      <c r="AQ125" s="81">
        <v>0</v>
      </c>
      <c r="AR125" s="81">
        <v>0</v>
      </c>
      <c r="AS125" s="81">
        <v>0</v>
      </c>
      <c r="AT125" s="81">
        <v>1</v>
      </c>
      <c r="AU125" s="81">
        <v>0</v>
      </c>
      <c r="AV125" s="81">
        <v>0</v>
      </c>
      <c r="AW125" s="81">
        <v>0</v>
      </c>
      <c r="AX125" s="81">
        <v>0</v>
      </c>
      <c r="AY125" s="81">
        <v>0</v>
      </c>
      <c r="AZ125" s="81">
        <v>0</v>
      </c>
      <c r="BA125" s="81">
        <v>0</v>
      </c>
      <c r="BB125" s="81">
        <v>1</v>
      </c>
      <c r="BC125" s="81">
        <v>1</v>
      </c>
      <c r="BD125" s="81">
        <v>1</v>
      </c>
      <c r="BE125" s="81">
        <v>1</v>
      </c>
      <c r="BF125" s="81">
        <v>1</v>
      </c>
      <c r="BG125" s="81">
        <v>1</v>
      </c>
      <c r="BH125" s="81">
        <v>1</v>
      </c>
      <c r="BI125" s="81">
        <v>1</v>
      </c>
      <c r="BJ125" s="81">
        <v>1</v>
      </c>
      <c r="BK125" s="81">
        <v>1</v>
      </c>
      <c r="BL125" s="81">
        <v>1</v>
      </c>
      <c r="BM125" s="81">
        <v>1</v>
      </c>
      <c r="BN125" s="81">
        <v>1</v>
      </c>
      <c r="BO125" s="81">
        <v>1</v>
      </c>
      <c r="BP125" s="81">
        <v>1</v>
      </c>
      <c r="BQ125" s="81">
        <v>1</v>
      </c>
      <c r="BR125" s="81">
        <v>1</v>
      </c>
      <c r="BS125" s="81">
        <v>1</v>
      </c>
      <c r="BT125" s="81">
        <v>1</v>
      </c>
      <c r="BU125" s="81">
        <v>0</v>
      </c>
      <c r="BV125" s="81">
        <v>0</v>
      </c>
      <c r="BW125" s="81">
        <v>0</v>
      </c>
      <c r="BX125" s="81">
        <v>0</v>
      </c>
      <c r="BY125" s="81">
        <v>0</v>
      </c>
      <c r="BZ125" s="81">
        <v>0</v>
      </c>
      <c r="CA125" s="81">
        <v>0</v>
      </c>
      <c r="CB125" s="81">
        <v>2</v>
      </c>
      <c r="CC125" s="81">
        <v>2</v>
      </c>
      <c r="CD125" s="81">
        <v>1</v>
      </c>
      <c r="CE125" s="81">
        <v>2</v>
      </c>
      <c r="CF125" s="81">
        <v>1</v>
      </c>
      <c r="CG125" s="81">
        <v>1</v>
      </c>
      <c r="CH125" s="81">
        <v>0</v>
      </c>
      <c r="CI125" s="81">
        <v>1</v>
      </c>
      <c r="CJ125" s="81">
        <v>1</v>
      </c>
      <c r="CK125" s="81">
        <v>1</v>
      </c>
      <c r="CL125" s="81">
        <v>1</v>
      </c>
      <c r="CM125" s="81">
        <v>1</v>
      </c>
      <c r="CN125" s="81">
        <v>1</v>
      </c>
      <c r="CO125" s="81" t="s">
        <v>751</v>
      </c>
    </row>
    <row r="126" spans="1:93" ht="11.55" customHeight="1" x14ac:dyDescent="0.3">
      <c r="A126" s="81" t="s">
        <v>762</v>
      </c>
      <c r="B126" s="81" t="s">
        <v>763</v>
      </c>
      <c r="C126" s="81" t="s">
        <v>398</v>
      </c>
      <c r="D126" s="94">
        <v>17</v>
      </c>
      <c r="E126" s="81">
        <v>0</v>
      </c>
      <c r="F126" s="81">
        <v>0</v>
      </c>
      <c r="G126" s="81">
        <v>0</v>
      </c>
      <c r="H126" s="81">
        <v>1</v>
      </c>
      <c r="I126" s="81">
        <v>0</v>
      </c>
      <c r="J126" s="81">
        <v>1</v>
      </c>
      <c r="K126" s="81">
        <v>0</v>
      </c>
      <c r="L126" s="81">
        <v>0</v>
      </c>
      <c r="M126" s="81">
        <v>0</v>
      </c>
      <c r="N126" s="81">
        <v>1</v>
      </c>
      <c r="O126" s="81">
        <v>0</v>
      </c>
      <c r="P126" s="81">
        <v>0</v>
      </c>
      <c r="Q126" s="81">
        <v>0</v>
      </c>
      <c r="R126" s="81">
        <v>0</v>
      </c>
      <c r="S126" s="81">
        <v>0</v>
      </c>
      <c r="T126" s="81">
        <v>1</v>
      </c>
      <c r="U126" s="81">
        <v>0</v>
      </c>
      <c r="V126" s="81">
        <v>0</v>
      </c>
      <c r="W126" s="81">
        <v>0</v>
      </c>
      <c r="X126" s="81">
        <v>0</v>
      </c>
      <c r="Y126" s="81">
        <v>0</v>
      </c>
      <c r="Z126" s="81">
        <v>1</v>
      </c>
      <c r="AA126" s="81">
        <v>0</v>
      </c>
      <c r="AB126" s="81">
        <v>0</v>
      </c>
      <c r="AC126" s="81">
        <v>0</v>
      </c>
      <c r="AD126" s="81">
        <v>0</v>
      </c>
      <c r="AE126" s="81">
        <v>0</v>
      </c>
      <c r="AF126" s="81">
        <v>0</v>
      </c>
      <c r="AG126" s="81">
        <v>0</v>
      </c>
      <c r="AH126" s="81">
        <v>0</v>
      </c>
      <c r="AI126" s="81">
        <v>0</v>
      </c>
      <c r="AJ126" s="81">
        <v>0</v>
      </c>
      <c r="AK126" s="81">
        <v>0</v>
      </c>
      <c r="AL126" s="81">
        <v>0</v>
      </c>
      <c r="AM126" s="81">
        <v>0</v>
      </c>
      <c r="AN126" s="81">
        <v>0</v>
      </c>
      <c r="AO126" s="81">
        <v>1</v>
      </c>
      <c r="AP126" s="81">
        <v>0</v>
      </c>
      <c r="AQ126" s="81">
        <v>0</v>
      </c>
      <c r="AR126" s="81">
        <v>0</v>
      </c>
      <c r="AS126" s="81">
        <v>0</v>
      </c>
      <c r="AT126" s="81">
        <v>1</v>
      </c>
      <c r="AU126" s="81">
        <v>0</v>
      </c>
      <c r="AV126" s="81">
        <v>0</v>
      </c>
      <c r="AW126" s="81">
        <v>0</v>
      </c>
      <c r="AX126" s="81">
        <v>0</v>
      </c>
      <c r="AY126" s="81">
        <v>0</v>
      </c>
      <c r="AZ126" s="81">
        <v>0</v>
      </c>
      <c r="BA126" s="81">
        <v>0</v>
      </c>
      <c r="BB126" s="81">
        <v>1</v>
      </c>
      <c r="BC126" s="81">
        <v>1</v>
      </c>
      <c r="BD126" s="81">
        <v>1</v>
      </c>
      <c r="BE126" s="81">
        <v>1</v>
      </c>
      <c r="BF126" s="81">
        <v>1</v>
      </c>
      <c r="BG126" s="81">
        <v>1</v>
      </c>
      <c r="BH126" s="81">
        <v>1</v>
      </c>
      <c r="BI126" s="81">
        <v>1</v>
      </c>
      <c r="BJ126" s="81">
        <v>1</v>
      </c>
      <c r="BK126" s="81">
        <v>1</v>
      </c>
      <c r="BL126" s="81">
        <v>1</v>
      </c>
      <c r="BM126" s="81">
        <v>1</v>
      </c>
      <c r="BN126" s="81">
        <v>1</v>
      </c>
      <c r="BO126" s="81">
        <v>1</v>
      </c>
      <c r="BP126" s="81">
        <v>1</v>
      </c>
      <c r="BQ126" s="81">
        <v>1</v>
      </c>
      <c r="BR126" s="81">
        <v>1</v>
      </c>
      <c r="BS126" s="81">
        <v>1</v>
      </c>
      <c r="BT126" s="81">
        <v>1</v>
      </c>
      <c r="BU126" s="81">
        <v>0</v>
      </c>
      <c r="BV126" s="81">
        <v>0</v>
      </c>
      <c r="BW126" s="81">
        <v>0</v>
      </c>
      <c r="BX126" s="81">
        <v>0</v>
      </c>
      <c r="BY126" s="81">
        <v>0</v>
      </c>
      <c r="BZ126" s="81">
        <v>0</v>
      </c>
      <c r="CA126" s="81">
        <v>0</v>
      </c>
      <c r="CB126" s="81">
        <v>2</v>
      </c>
      <c r="CC126" s="81">
        <v>2</v>
      </c>
      <c r="CD126" s="81">
        <v>1</v>
      </c>
      <c r="CE126" s="81">
        <v>2</v>
      </c>
      <c r="CF126" s="81">
        <v>1</v>
      </c>
      <c r="CG126" s="81">
        <v>1</v>
      </c>
      <c r="CH126" s="81">
        <v>0</v>
      </c>
      <c r="CI126" s="81">
        <v>1</v>
      </c>
      <c r="CJ126" s="81">
        <v>1</v>
      </c>
      <c r="CK126" s="81">
        <v>1</v>
      </c>
      <c r="CL126" s="81">
        <v>1</v>
      </c>
      <c r="CM126" s="81">
        <v>1</v>
      </c>
      <c r="CN126" s="81">
        <v>1</v>
      </c>
      <c r="CO126" s="81" t="s">
        <v>751</v>
      </c>
    </row>
    <row r="127" spans="1:93" ht="11.55" customHeight="1" x14ac:dyDescent="0.3">
      <c r="A127" s="81" t="s">
        <v>764</v>
      </c>
      <c r="B127" s="81" t="s">
        <v>765</v>
      </c>
      <c r="C127" s="81" t="s">
        <v>398</v>
      </c>
      <c r="D127" s="94">
        <v>17</v>
      </c>
      <c r="E127" s="81">
        <v>0</v>
      </c>
      <c r="F127" s="81">
        <v>0</v>
      </c>
      <c r="G127" s="81">
        <v>0</v>
      </c>
      <c r="H127" s="81">
        <v>1</v>
      </c>
      <c r="I127" s="81">
        <v>0</v>
      </c>
      <c r="J127" s="81">
        <v>1</v>
      </c>
      <c r="K127" s="81">
        <v>0</v>
      </c>
      <c r="L127" s="81">
        <v>0</v>
      </c>
      <c r="M127" s="81">
        <v>0</v>
      </c>
      <c r="N127" s="81">
        <v>1</v>
      </c>
      <c r="O127" s="81">
        <v>0</v>
      </c>
      <c r="P127" s="81">
        <v>0</v>
      </c>
      <c r="Q127" s="81">
        <v>0</v>
      </c>
      <c r="R127" s="81">
        <v>0</v>
      </c>
      <c r="S127" s="81">
        <v>0</v>
      </c>
      <c r="T127" s="81">
        <v>1</v>
      </c>
      <c r="U127" s="81">
        <v>0</v>
      </c>
      <c r="V127" s="81">
        <v>0</v>
      </c>
      <c r="W127" s="81">
        <v>0</v>
      </c>
      <c r="X127" s="81">
        <v>0</v>
      </c>
      <c r="Y127" s="81">
        <v>0</v>
      </c>
      <c r="Z127" s="81">
        <v>1</v>
      </c>
      <c r="AA127" s="81">
        <v>0</v>
      </c>
      <c r="AB127" s="81">
        <v>0</v>
      </c>
      <c r="AC127" s="81">
        <v>0</v>
      </c>
      <c r="AD127" s="81">
        <v>0</v>
      </c>
      <c r="AE127" s="81">
        <v>0</v>
      </c>
      <c r="AF127" s="81">
        <v>0</v>
      </c>
      <c r="AG127" s="81">
        <v>0</v>
      </c>
      <c r="AH127" s="81">
        <v>0</v>
      </c>
      <c r="AI127" s="81">
        <v>0</v>
      </c>
      <c r="AJ127" s="81">
        <v>0</v>
      </c>
      <c r="AK127" s="81">
        <v>0</v>
      </c>
      <c r="AL127" s="81">
        <v>0</v>
      </c>
      <c r="AM127" s="81">
        <v>0</v>
      </c>
      <c r="AN127" s="81">
        <v>0</v>
      </c>
      <c r="AO127" s="81">
        <v>1</v>
      </c>
      <c r="AP127" s="81">
        <v>0</v>
      </c>
      <c r="AQ127" s="81">
        <v>0</v>
      </c>
      <c r="AR127" s="81">
        <v>0</v>
      </c>
      <c r="AS127" s="81">
        <v>0</v>
      </c>
      <c r="AT127" s="81">
        <v>1</v>
      </c>
      <c r="AU127" s="81">
        <v>0</v>
      </c>
      <c r="AV127" s="81">
        <v>0</v>
      </c>
      <c r="AW127" s="81">
        <v>0</v>
      </c>
      <c r="AX127" s="81">
        <v>0</v>
      </c>
      <c r="AY127" s="81">
        <v>0</v>
      </c>
      <c r="AZ127" s="81">
        <v>0</v>
      </c>
      <c r="BA127" s="81">
        <v>0</v>
      </c>
      <c r="BB127" s="81">
        <v>1</v>
      </c>
      <c r="BC127" s="81">
        <v>1</v>
      </c>
      <c r="BD127" s="81">
        <v>1</v>
      </c>
      <c r="BE127" s="81">
        <v>1</v>
      </c>
      <c r="BF127" s="81">
        <v>1</v>
      </c>
      <c r="BG127" s="81">
        <v>1</v>
      </c>
      <c r="BH127" s="81">
        <v>1</v>
      </c>
      <c r="BI127" s="81">
        <v>1</v>
      </c>
      <c r="BJ127" s="81">
        <v>1</v>
      </c>
      <c r="BK127" s="81">
        <v>1</v>
      </c>
      <c r="BL127" s="81">
        <v>1</v>
      </c>
      <c r="BM127" s="81">
        <v>1</v>
      </c>
      <c r="BN127" s="81">
        <v>1</v>
      </c>
      <c r="BO127" s="81">
        <v>1</v>
      </c>
      <c r="BP127" s="81">
        <v>1</v>
      </c>
      <c r="BQ127" s="81">
        <v>1</v>
      </c>
      <c r="BR127" s="81">
        <v>1</v>
      </c>
      <c r="BS127" s="81">
        <v>1</v>
      </c>
      <c r="BT127" s="81">
        <v>1</v>
      </c>
      <c r="BU127" s="81">
        <v>0</v>
      </c>
      <c r="BV127" s="81">
        <v>0</v>
      </c>
      <c r="BW127" s="81">
        <v>0</v>
      </c>
      <c r="BX127" s="81">
        <v>0</v>
      </c>
      <c r="BY127" s="81">
        <v>0</v>
      </c>
      <c r="BZ127" s="81">
        <v>0</v>
      </c>
      <c r="CA127" s="81">
        <v>0</v>
      </c>
      <c r="CB127" s="81">
        <v>2</v>
      </c>
      <c r="CC127" s="81">
        <v>2</v>
      </c>
      <c r="CD127" s="81">
        <v>1</v>
      </c>
      <c r="CE127" s="81">
        <v>2</v>
      </c>
      <c r="CF127" s="81">
        <v>1</v>
      </c>
      <c r="CG127" s="81">
        <v>1</v>
      </c>
      <c r="CH127" s="81">
        <v>0</v>
      </c>
      <c r="CI127" s="81">
        <v>1</v>
      </c>
      <c r="CJ127" s="81">
        <v>1</v>
      </c>
      <c r="CK127" s="81">
        <v>1</v>
      </c>
      <c r="CL127" s="81">
        <v>1</v>
      </c>
      <c r="CM127" s="81">
        <v>1</v>
      </c>
      <c r="CN127" s="81">
        <v>1</v>
      </c>
      <c r="CO127" s="81" t="s">
        <v>751</v>
      </c>
    </row>
    <row r="128" spans="1:93" ht="11.55" customHeight="1" x14ac:dyDescent="0.3">
      <c r="A128" s="81" t="s">
        <v>766</v>
      </c>
      <c r="B128" s="81" t="s">
        <v>767</v>
      </c>
      <c r="C128" s="81" t="s">
        <v>398</v>
      </c>
      <c r="D128" s="94">
        <v>17</v>
      </c>
      <c r="E128" s="81">
        <v>0</v>
      </c>
      <c r="F128" s="81">
        <v>0</v>
      </c>
      <c r="G128" s="81">
        <v>0</v>
      </c>
      <c r="H128" s="81">
        <v>1</v>
      </c>
      <c r="I128" s="81">
        <v>0</v>
      </c>
      <c r="J128" s="81">
        <v>1</v>
      </c>
      <c r="K128" s="81">
        <v>0</v>
      </c>
      <c r="L128" s="81">
        <v>0</v>
      </c>
      <c r="M128" s="81">
        <v>0</v>
      </c>
      <c r="N128" s="81">
        <v>1</v>
      </c>
      <c r="O128" s="81">
        <v>0</v>
      </c>
      <c r="P128" s="81">
        <v>0</v>
      </c>
      <c r="Q128" s="81">
        <v>0</v>
      </c>
      <c r="R128" s="81">
        <v>0</v>
      </c>
      <c r="S128" s="81">
        <v>0</v>
      </c>
      <c r="T128" s="81">
        <v>1</v>
      </c>
      <c r="U128" s="81">
        <v>0</v>
      </c>
      <c r="V128" s="81">
        <v>0</v>
      </c>
      <c r="W128" s="81">
        <v>0</v>
      </c>
      <c r="X128" s="81">
        <v>0</v>
      </c>
      <c r="Y128" s="81">
        <v>0</v>
      </c>
      <c r="Z128" s="81">
        <v>1</v>
      </c>
      <c r="AA128" s="81">
        <v>0</v>
      </c>
      <c r="AB128" s="81">
        <v>0</v>
      </c>
      <c r="AC128" s="81">
        <v>0</v>
      </c>
      <c r="AD128" s="81">
        <v>0</v>
      </c>
      <c r="AE128" s="81">
        <v>0</v>
      </c>
      <c r="AF128" s="81">
        <v>0</v>
      </c>
      <c r="AG128" s="81">
        <v>0</v>
      </c>
      <c r="AH128" s="81">
        <v>0</v>
      </c>
      <c r="AI128" s="81">
        <v>0</v>
      </c>
      <c r="AJ128" s="81">
        <v>0</v>
      </c>
      <c r="AK128" s="81">
        <v>0</v>
      </c>
      <c r="AL128" s="81">
        <v>0</v>
      </c>
      <c r="AM128" s="81">
        <v>0</v>
      </c>
      <c r="AN128" s="81">
        <v>0</v>
      </c>
      <c r="AO128" s="81">
        <v>1</v>
      </c>
      <c r="AP128" s="81">
        <v>0</v>
      </c>
      <c r="AQ128" s="81">
        <v>0</v>
      </c>
      <c r="AR128" s="81">
        <v>0</v>
      </c>
      <c r="AS128" s="81">
        <v>0</v>
      </c>
      <c r="AT128" s="81">
        <v>1</v>
      </c>
      <c r="AU128" s="81">
        <v>0</v>
      </c>
      <c r="AV128" s="81">
        <v>0</v>
      </c>
      <c r="AW128" s="81">
        <v>0</v>
      </c>
      <c r="AX128" s="81">
        <v>0</v>
      </c>
      <c r="AY128" s="81">
        <v>0</v>
      </c>
      <c r="AZ128" s="81">
        <v>0</v>
      </c>
      <c r="BA128" s="81">
        <v>0</v>
      </c>
      <c r="BB128" s="81">
        <v>1</v>
      </c>
      <c r="BC128" s="81">
        <v>1</v>
      </c>
      <c r="BD128" s="81">
        <v>1</v>
      </c>
      <c r="BE128" s="81">
        <v>1</v>
      </c>
      <c r="BF128" s="81">
        <v>1</v>
      </c>
      <c r="BG128" s="81">
        <v>1</v>
      </c>
      <c r="BH128" s="81">
        <v>1</v>
      </c>
      <c r="BI128" s="81">
        <v>1</v>
      </c>
      <c r="BJ128" s="81">
        <v>1</v>
      </c>
      <c r="BK128" s="81">
        <v>1</v>
      </c>
      <c r="BL128" s="81">
        <v>1</v>
      </c>
      <c r="BM128" s="81">
        <v>1</v>
      </c>
      <c r="BN128" s="81">
        <v>1</v>
      </c>
      <c r="BO128" s="81">
        <v>1</v>
      </c>
      <c r="BP128" s="81">
        <v>1</v>
      </c>
      <c r="BQ128" s="81">
        <v>1</v>
      </c>
      <c r="BR128" s="81">
        <v>1</v>
      </c>
      <c r="BS128" s="81">
        <v>1</v>
      </c>
      <c r="BT128" s="81">
        <v>1</v>
      </c>
      <c r="BU128" s="81">
        <v>0</v>
      </c>
      <c r="BV128" s="81">
        <v>0</v>
      </c>
      <c r="BW128" s="81">
        <v>0</v>
      </c>
      <c r="BX128" s="81">
        <v>0</v>
      </c>
      <c r="BY128" s="81">
        <v>0</v>
      </c>
      <c r="BZ128" s="81">
        <v>0</v>
      </c>
      <c r="CA128" s="81">
        <v>0</v>
      </c>
      <c r="CB128" s="81">
        <v>2</v>
      </c>
      <c r="CC128" s="81">
        <v>2</v>
      </c>
      <c r="CD128" s="81">
        <v>1</v>
      </c>
      <c r="CE128" s="81">
        <v>2</v>
      </c>
      <c r="CF128" s="81">
        <v>1</v>
      </c>
      <c r="CG128" s="81">
        <v>1</v>
      </c>
      <c r="CH128" s="81">
        <v>0</v>
      </c>
      <c r="CI128" s="81">
        <v>1</v>
      </c>
      <c r="CJ128" s="81">
        <v>1</v>
      </c>
      <c r="CK128" s="81">
        <v>1</v>
      </c>
      <c r="CL128" s="81">
        <v>1</v>
      </c>
      <c r="CM128" s="81">
        <v>1</v>
      </c>
      <c r="CN128" s="81">
        <v>1</v>
      </c>
      <c r="CO128" s="81" t="s">
        <v>751</v>
      </c>
    </row>
    <row r="129" spans="1:93" ht="11.55" customHeight="1" x14ac:dyDescent="0.3">
      <c r="A129" s="81" t="s">
        <v>768</v>
      </c>
      <c r="B129" s="81" t="s">
        <v>769</v>
      </c>
      <c r="C129" s="81" t="s">
        <v>398</v>
      </c>
      <c r="D129" s="94">
        <v>17</v>
      </c>
      <c r="E129" s="81">
        <v>0</v>
      </c>
      <c r="F129" s="81">
        <v>0</v>
      </c>
      <c r="G129" s="81">
        <v>0</v>
      </c>
      <c r="H129" s="81">
        <v>1</v>
      </c>
      <c r="I129" s="81">
        <v>0</v>
      </c>
      <c r="J129" s="81">
        <v>1</v>
      </c>
      <c r="K129" s="81">
        <v>0</v>
      </c>
      <c r="L129" s="81">
        <v>0</v>
      </c>
      <c r="M129" s="81">
        <v>0</v>
      </c>
      <c r="N129" s="81">
        <v>1</v>
      </c>
      <c r="O129" s="81">
        <v>0</v>
      </c>
      <c r="P129" s="81">
        <v>0</v>
      </c>
      <c r="Q129" s="81">
        <v>0</v>
      </c>
      <c r="R129" s="81">
        <v>0</v>
      </c>
      <c r="S129" s="81">
        <v>0</v>
      </c>
      <c r="T129" s="81">
        <v>1</v>
      </c>
      <c r="U129" s="81">
        <v>0</v>
      </c>
      <c r="V129" s="81">
        <v>0</v>
      </c>
      <c r="W129" s="81">
        <v>0</v>
      </c>
      <c r="X129" s="81">
        <v>0</v>
      </c>
      <c r="Y129" s="81">
        <v>0</v>
      </c>
      <c r="Z129" s="81">
        <v>1</v>
      </c>
      <c r="AA129" s="81">
        <v>0</v>
      </c>
      <c r="AB129" s="81">
        <v>0</v>
      </c>
      <c r="AC129" s="81">
        <v>0</v>
      </c>
      <c r="AD129" s="81">
        <v>0</v>
      </c>
      <c r="AE129" s="81">
        <v>0</v>
      </c>
      <c r="AF129" s="81">
        <v>0</v>
      </c>
      <c r="AG129" s="81">
        <v>0</v>
      </c>
      <c r="AH129" s="81">
        <v>0</v>
      </c>
      <c r="AI129" s="81">
        <v>0</v>
      </c>
      <c r="AJ129" s="81">
        <v>0</v>
      </c>
      <c r="AK129" s="81">
        <v>0</v>
      </c>
      <c r="AL129" s="81">
        <v>0</v>
      </c>
      <c r="AM129" s="81">
        <v>0</v>
      </c>
      <c r="AN129" s="81">
        <v>0</v>
      </c>
      <c r="AO129" s="81">
        <v>1</v>
      </c>
      <c r="AP129" s="81">
        <v>0</v>
      </c>
      <c r="AQ129" s="81">
        <v>0</v>
      </c>
      <c r="AR129" s="81">
        <v>0</v>
      </c>
      <c r="AS129" s="81">
        <v>0</v>
      </c>
      <c r="AT129" s="81">
        <v>1</v>
      </c>
      <c r="AU129" s="81">
        <v>0</v>
      </c>
      <c r="AV129" s="81">
        <v>0</v>
      </c>
      <c r="AW129" s="81">
        <v>0</v>
      </c>
      <c r="AX129" s="81">
        <v>0</v>
      </c>
      <c r="AY129" s="81">
        <v>0</v>
      </c>
      <c r="AZ129" s="81">
        <v>0</v>
      </c>
      <c r="BA129" s="81">
        <v>0</v>
      </c>
      <c r="BB129" s="81">
        <v>1</v>
      </c>
      <c r="BC129" s="81">
        <v>1</v>
      </c>
      <c r="BD129" s="81">
        <v>1</v>
      </c>
      <c r="BE129" s="81">
        <v>1</v>
      </c>
      <c r="BF129" s="81">
        <v>1</v>
      </c>
      <c r="BG129" s="81">
        <v>1</v>
      </c>
      <c r="BH129" s="81">
        <v>1</v>
      </c>
      <c r="BI129" s="81">
        <v>1</v>
      </c>
      <c r="BJ129" s="81">
        <v>1</v>
      </c>
      <c r="BK129" s="81">
        <v>1</v>
      </c>
      <c r="BL129" s="81">
        <v>1</v>
      </c>
      <c r="BM129" s="81">
        <v>1</v>
      </c>
      <c r="BN129" s="81">
        <v>1</v>
      </c>
      <c r="BO129" s="81">
        <v>1</v>
      </c>
      <c r="BP129" s="81">
        <v>1</v>
      </c>
      <c r="BQ129" s="81">
        <v>1</v>
      </c>
      <c r="BR129" s="81">
        <v>1</v>
      </c>
      <c r="BS129" s="81">
        <v>1</v>
      </c>
      <c r="BT129" s="81">
        <v>1</v>
      </c>
      <c r="BU129" s="81">
        <v>0</v>
      </c>
      <c r="BV129" s="81">
        <v>0</v>
      </c>
      <c r="BW129" s="81">
        <v>0</v>
      </c>
      <c r="BX129" s="81">
        <v>0</v>
      </c>
      <c r="BY129" s="81">
        <v>0</v>
      </c>
      <c r="BZ129" s="81">
        <v>0</v>
      </c>
      <c r="CA129" s="81">
        <v>0</v>
      </c>
      <c r="CB129" s="81">
        <v>2</v>
      </c>
      <c r="CC129" s="81">
        <v>2</v>
      </c>
      <c r="CD129" s="81">
        <v>1</v>
      </c>
      <c r="CE129" s="81">
        <v>2</v>
      </c>
      <c r="CF129" s="81">
        <v>1</v>
      </c>
      <c r="CG129" s="81">
        <v>1</v>
      </c>
      <c r="CH129" s="81">
        <v>0</v>
      </c>
      <c r="CI129" s="81">
        <v>1</v>
      </c>
      <c r="CJ129" s="81">
        <v>1</v>
      </c>
      <c r="CK129" s="81">
        <v>1</v>
      </c>
      <c r="CL129" s="81">
        <v>1</v>
      </c>
      <c r="CM129" s="81">
        <v>1</v>
      </c>
      <c r="CN129" s="81">
        <v>1</v>
      </c>
      <c r="CO129" s="81" t="s">
        <v>751</v>
      </c>
    </row>
    <row r="130" spans="1:93" ht="11.55" customHeight="1" x14ac:dyDescent="0.3">
      <c r="A130" s="81" t="s">
        <v>770</v>
      </c>
      <c r="B130" s="81" t="s">
        <v>771</v>
      </c>
      <c r="C130" s="81" t="s">
        <v>398</v>
      </c>
      <c r="D130" s="94">
        <v>17</v>
      </c>
      <c r="E130" s="81">
        <v>0</v>
      </c>
      <c r="F130" s="81">
        <v>0</v>
      </c>
      <c r="G130" s="81">
        <v>0</v>
      </c>
      <c r="H130" s="81">
        <v>1</v>
      </c>
      <c r="I130" s="81">
        <v>0</v>
      </c>
      <c r="J130" s="81">
        <v>1</v>
      </c>
      <c r="K130" s="81">
        <v>0</v>
      </c>
      <c r="L130" s="81">
        <v>0</v>
      </c>
      <c r="M130" s="81">
        <v>0</v>
      </c>
      <c r="N130" s="81">
        <v>1</v>
      </c>
      <c r="O130" s="81">
        <v>0</v>
      </c>
      <c r="P130" s="81">
        <v>0</v>
      </c>
      <c r="Q130" s="81">
        <v>0</v>
      </c>
      <c r="R130" s="81">
        <v>0</v>
      </c>
      <c r="S130" s="81">
        <v>0</v>
      </c>
      <c r="T130" s="81">
        <v>1</v>
      </c>
      <c r="U130" s="81">
        <v>0</v>
      </c>
      <c r="V130" s="81">
        <v>0</v>
      </c>
      <c r="W130" s="81">
        <v>0</v>
      </c>
      <c r="X130" s="81">
        <v>0</v>
      </c>
      <c r="Y130" s="81">
        <v>0</v>
      </c>
      <c r="Z130" s="81">
        <v>1</v>
      </c>
      <c r="AA130" s="81">
        <v>0</v>
      </c>
      <c r="AB130" s="81">
        <v>0</v>
      </c>
      <c r="AC130" s="81">
        <v>0</v>
      </c>
      <c r="AD130" s="81">
        <v>0</v>
      </c>
      <c r="AE130" s="81">
        <v>0</v>
      </c>
      <c r="AF130" s="81">
        <v>0</v>
      </c>
      <c r="AG130" s="81">
        <v>0</v>
      </c>
      <c r="AH130" s="81">
        <v>0</v>
      </c>
      <c r="AI130" s="81">
        <v>0</v>
      </c>
      <c r="AJ130" s="81">
        <v>0</v>
      </c>
      <c r="AK130" s="81">
        <v>0</v>
      </c>
      <c r="AL130" s="81">
        <v>0</v>
      </c>
      <c r="AM130" s="81">
        <v>0</v>
      </c>
      <c r="AN130" s="81">
        <v>0</v>
      </c>
      <c r="AO130" s="81">
        <v>1</v>
      </c>
      <c r="AP130" s="81">
        <v>0</v>
      </c>
      <c r="AQ130" s="81">
        <v>0</v>
      </c>
      <c r="AR130" s="81">
        <v>0</v>
      </c>
      <c r="AS130" s="81">
        <v>0</v>
      </c>
      <c r="AT130" s="81">
        <v>1</v>
      </c>
      <c r="AU130" s="81">
        <v>0</v>
      </c>
      <c r="AV130" s="81">
        <v>0</v>
      </c>
      <c r="AW130" s="81">
        <v>0</v>
      </c>
      <c r="AX130" s="81">
        <v>0</v>
      </c>
      <c r="AY130" s="81">
        <v>0</v>
      </c>
      <c r="AZ130" s="81">
        <v>0</v>
      </c>
      <c r="BA130" s="81">
        <v>0</v>
      </c>
      <c r="BB130" s="81">
        <v>1</v>
      </c>
      <c r="BC130" s="81">
        <v>1</v>
      </c>
      <c r="BD130" s="81">
        <v>1</v>
      </c>
      <c r="BE130" s="81">
        <v>1</v>
      </c>
      <c r="BF130" s="81">
        <v>1</v>
      </c>
      <c r="BG130" s="81">
        <v>1</v>
      </c>
      <c r="BH130" s="81">
        <v>1</v>
      </c>
      <c r="BI130" s="81">
        <v>1</v>
      </c>
      <c r="BJ130" s="81">
        <v>1</v>
      </c>
      <c r="BK130" s="81">
        <v>1</v>
      </c>
      <c r="BL130" s="81">
        <v>1</v>
      </c>
      <c r="BM130" s="81">
        <v>1</v>
      </c>
      <c r="BN130" s="81">
        <v>1</v>
      </c>
      <c r="BO130" s="81">
        <v>1</v>
      </c>
      <c r="BP130" s="81">
        <v>1</v>
      </c>
      <c r="BQ130" s="81">
        <v>1</v>
      </c>
      <c r="BR130" s="81">
        <v>1</v>
      </c>
      <c r="BS130" s="81">
        <v>1</v>
      </c>
      <c r="BT130" s="81">
        <v>1</v>
      </c>
      <c r="BU130" s="81">
        <v>0</v>
      </c>
      <c r="BV130" s="81">
        <v>0</v>
      </c>
      <c r="BW130" s="81">
        <v>0</v>
      </c>
      <c r="BX130" s="81">
        <v>0</v>
      </c>
      <c r="BY130" s="81">
        <v>0</v>
      </c>
      <c r="BZ130" s="81">
        <v>0</v>
      </c>
      <c r="CA130" s="81">
        <v>0</v>
      </c>
      <c r="CB130" s="81">
        <v>2</v>
      </c>
      <c r="CC130" s="81">
        <v>2</v>
      </c>
      <c r="CD130" s="81">
        <v>1</v>
      </c>
      <c r="CE130" s="81">
        <v>2</v>
      </c>
      <c r="CF130" s="81">
        <v>1</v>
      </c>
      <c r="CG130" s="81">
        <v>1</v>
      </c>
      <c r="CH130" s="81">
        <v>0</v>
      </c>
      <c r="CI130" s="81">
        <v>1</v>
      </c>
      <c r="CJ130" s="81">
        <v>1</v>
      </c>
      <c r="CK130" s="81">
        <v>1</v>
      </c>
      <c r="CL130" s="81">
        <v>1</v>
      </c>
      <c r="CM130" s="81">
        <v>1</v>
      </c>
      <c r="CN130" s="81">
        <v>1</v>
      </c>
      <c r="CO130" s="81" t="s">
        <v>751</v>
      </c>
    </row>
    <row r="131" spans="1:93" ht="11.55" customHeight="1" x14ac:dyDescent="0.3">
      <c r="A131" s="81" t="s">
        <v>772</v>
      </c>
      <c r="B131" s="81" t="s">
        <v>773</v>
      </c>
      <c r="C131" s="81" t="s">
        <v>398</v>
      </c>
      <c r="D131" s="94">
        <v>17</v>
      </c>
      <c r="E131" s="81">
        <v>0</v>
      </c>
      <c r="F131" s="81">
        <v>0</v>
      </c>
      <c r="G131" s="81">
        <v>0</v>
      </c>
      <c r="H131" s="81">
        <v>1</v>
      </c>
      <c r="I131" s="81">
        <v>0</v>
      </c>
      <c r="J131" s="81">
        <v>1</v>
      </c>
      <c r="K131" s="81">
        <v>0</v>
      </c>
      <c r="L131" s="81">
        <v>0</v>
      </c>
      <c r="M131" s="81">
        <v>0</v>
      </c>
      <c r="N131" s="81">
        <v>1</v>
      </c>
      <c r="O131" s="81">
        <v>0</v>
      </c>
      <c r="P131" s="81">
        <v>0</v>
      </c>
      <c r="Q131" s="81">
        <v>0</v>
      </c>
      <c r="R131" s="81">
        <v>0</v>
      </c>
      <c r="S131" s="81">
        <v>0</v>
      </c>
      <c r="T131" s="81">
        <v>1</v>
      </c>
      <c r="U131" s="81">
        <v>0</v>
      </c>
      <c r="V131" s="81">
        <v>0</v>
      </c>
      <c r="W131" s="81">
        <v>0</v>
      </c>
      <c r="X131" s="81">
        <v>0</v>
      </c>
      <c r="Y131" s="81">
        <v>0</v>
      </c>
      <c r="Z131" s="81">
        <v>1</v>
      </c>
      <c r="AA131" s="81">
        <v>0</v>
      </c>
      <c r="AB131" s="81">
        <v>0</v>
      </c>
      <c r="AC131" s="81">
        <v>0</v>
      </c>
      <c r="AD131" s="81">
        <v>0</v>
      </c>
      <c r="AE131" s="81">
        <v>0</v>
      </c>
      <c r="AF131" s="81">
        <v>0</v>
      </c>
      <c r="AG131" s="81">
        <v>0</v>
      </c>
      <c r="AH131" s="81">
        <v>0</v>
      </c>
      <c r="AI131" s="81">
        <v>0</v>
      </c>
      <c r="AJ131" s="81">
        <v>0</v>
      </c>
      <c r="AK131" s="81">
        <v>0</v>
      </c>
      <c r="AL131" s="81">
        <v>0</v>
      </c>
      <c r="AM131" s="81">
        <v>0</v>
      </c>
      <c r="AN131" s="81">
        <v>0</v>
      </c>
      <c r="AO131" s="81">
        <v>1</v>
      </c>
      <c r="AP131" s="81">
        <v>0</v>
      </c>
      <c r="AQ131" s="81">
        <v>0</v>
      </c>
      <c r="AR131" s="81">
        <v>0</v>
      </c>
      <c r="AS131" s="81">
        <v>0</v>
      </c>
      <c r="AT131" s="81">
        <v>1</v>
      </c>
      <c r="AU131" s="81">
        <v>0</v>
      </c>
      <c r="AV131" s="81">
        <v>0</v>
      </c>
      <c r="AW131" s="81">
        <v>0</v>
      </c>
      <c r="AX131" s="81">
        <v>0</v>
      </c>
      <c r="AY131" s="81">
        <v>0</v>
      </c>
      <c r="AZ131" s="81">
        <v>0</v>
      </c>
      <c r="BA131" s="81">
        <v>0</v>
      </c>
      <c r="BB131" s="81">
        <v>1</v>
      </c>
      <c r="BC131" s="81">
        <v>1</v>
      </c>
      <c r="BD131" s="81">
        <v>1</v>
      </c>
      <c r="BE131" s="81">
        <v>1</v>
      </c>
      <c r="BF131" s="81">
        <v>1</v>
      </c>
      <c r="BG131" s="81">
        <v>1</v>
      </c>
      <c r="BH131" s="81">
        <v>1</v>
      </c>
      <c r="BI131" s="81">
        <v>1</v>
      </c>
      <c r="BJ131" s="81">
        <v>1</v>
      </c>
      <c r="BK131" s="81">
        <v>1</v>
      </c>
      <c r="BL131" s="81">
        <v>1</v>
      </c>
      <c r="BM131" s="81">
        <v>1</v>
      </c>
      <c r="BN131" s="81">
        <v>1</v>
      </c>
      <c r="BO131" s="81">
        <v>1</v>
      </c>
      <c r="BP131" s="81">
        <v>1</v>
      </c>
      <c r="BQ131" s="81">
        <v>1</v>
      </c>
      <c r="BR131" s="81">
        <v>1</v>
      </c>
      <c r="BS131" s="81">
        <v>1</v>
      </c>
      <c r="BT131" s="81">
        <v>1</v>
      </c>
      <c r="BU131" s="81">
        <v>0</v>
      </c>
      <c r="BV131" s="81">
        <v>0</v>
      </c>
      <c r="BW131" s="81">
        <v>0</v>
      </c>
      <c r="BX131" s="81">
        <v>0</v>
      </c>
      <c r="BY131" s="81">
        <v>0</v>
      </c>
      <c r="BZ131" s="81">
        <v>0</v>
      </c>
      <c r="CA131" s="81">
        <v>0</v>
      </c>
      <c r="CB131" s="81">
        <v>2</v>
      </c>
      <c r="CC131" s="81">
        <v>2</v>
      </c>
      <c r="CD131" s="81">
        <v>1</v>
      </c>
      <c r="CE131" s="81">
        <v>2</v>
      </c>
      <c r="CF131" s="81">
        <v>1</v>
      </c>
      <c r="CG131" s="81">
        <v>1</v>
      </c>
      <c r="CH131" s="81">
        <v>0</v>
      </c>
      <c r="CI131" s="81">
        <v>1</v>
      </c>
      <c r="CJ131" s="81">
        <v>1</v>
      </c>
      <c r="CK131" s="81">
        <v>1</v>
      </c>
      <c r="CL131" s="81">
        <v>1</v>
      </c>
      <c r="CM131" s="81">
        <v>1</v>
      </c>
      <c r="CN131" s="81">
        <v>1</v>
      </c>
      <c r="CO131" s="81" t="s">
        <v>751</v>
      </c>
    </row>
    <row r="132" spans="1:93" ht="11.55" customHeight="1" x14ac:dyDescent="0.3">
      <c r="A132" s="81" t="s">
        <v>774</v>
      </c>
      <c r="B132" s="81" t="s">
        <v>775</v>
      </c>
      <c r="C132" s="81" t="s">
        <v>398</v>
      </c>
      <c r="D132" s="94">
        <v>17</v>
      </c>
      <c r="E132" s="81">
        <v>0</v>
      </c>
      <c r="F132" s="81">
        <v>0</v>
      </c>
      <c r="G132" s="81">
        <v>0</v>
      </c>
      <c r="H132" s="81">
        <v>1</v>
      </c>
      <c r="I132" s="81">
        <v>0</v>
      </c>
      <c r="J132" s="81">
        <v>1</v>
      </c>
      <c r="K132" s="81">
        <v>0</v>
      </c>
      <c r="L132" s="81">
        <v>0</v>
      </c>
      <c r="M132" s="81">
        <v>0</v>
      </c>
      <c r="N132" s="81">
        <v>1</v>
      </c>
      <c r="O132" s="81">
        <v>0</v>
      </c>
      <c r="P132" s="81">
        <v>0</v>
      </c>
      <c r="Q132" s="81">
        <v>0</v>
      </c>
      <c r="R132" s="81">
        <v>0</v>
      </c>
      <c r="S132" s="81">
        <v>0</v>
      </c>
      <c r="T132" s="81">
        <v>1</v>
      </c>
      <c r="U132" s="81">
        <v>0</v>
      </c>
      <c r="V132" s="81">
        <v>0</v>
      </c>
      <c r="W132" s="81">
        <v>0</v>
      </c>
      <c r="X132" s="81">
        <v>0</v>
      </c>
      <c r="Y132" s="81">
        <v>0</v>
      </c>
      <c r="Z132" s="81">
        <v>1</v>
      </c>
      <c r="AA132" s="81">
        <v>0</v>
      </c>
      <c r="AB132" s="81">
        <v>0</v>
      </c>
      <c r="AC132" s="81">
        <v>0</v>
      </c>
      <c r="AD132" s="81">
        <v>0</v>
      </c>
      <c r="AE132" s="81">
        <v>0</v>
      </c>
      <c r="AF132" s="81">
        <v>0</v>
      </c>
      <c r="AG132" s="81">
        <v>0</v>
      </c>
      <c r="AH132" s="81">
        <v>0</v>
      </c>
      <c r="AI132" s="81">
        <v>0</v>
      </c>
      <c r="AJ132" s="81">
        <v>0</v>
      </c>
      <c r="AK132" s="81">
        <v>0</v>
      </c>
      <c r="AL132" s="81">
        <v>0</v>
      </c>
      <c r="AM132" s="81">
        <v>0</v>
      </c>
      <c r="AN132" s="81">
        <v>0</v>
      </c>
      <c r="AO132" s="81">
        <v>1</v>
      </c>
      <c r="AP132" s="81">
        <v>0</v>
      </c>
      <c r="AQ132" s="81">
        <v>0</v>
      </c>
      <c r="AR132" s="81">
        <v>0</v>
      </c>
      <c r="AS132" s="81">
        <v>0</v>
      </c>
      <c r="AT132" s="81">
        <v>1</v>
      </c>
      <c r="AU132" s="81">
        <v>0</v>
      </c>
      <c r="AV132" s="81">
        <v>0</v>
      </c>
      <c r="AW132" s="81">
        <v>0</v>
      </c>
      <c r="AX132" s="81">
        <v>0</v>
      </c>
      <c r="AY132" s="81">
        <v>0</v>
      </c>
      <c r="AZ132" s="81">
        <v>0</v>
      </c>
      <c r="BA132" s="81">
        <v>0</v>
      </c>
      <c r="BB132" s="81">
        <v>1</v>
      </c>
      <c r="BC132" s="81">
        <v>1</v>
      </c>
      <c r="BD132" s="81">
        <v>1</v>
      </c>
      <c r="BE132" s="81">
        <v>1</v>
      </c>
      <c r="BF132" s="81">
        <v>1</v>
      </c>
      <c r="BG132" s="81">
        <v>1</v>
      </c>
      <c r="BH132" s="81">
        <v>1</v>
      </c>
      <c r="BI132" s="81">
        <v>1</v>
      </c>
      <c r="BJ132" s="81">
        <v>1</v>
      </c>
      <c r="BK132" s="81">
        <v>1</v>
      </c>
      <c r="BL132" s="81">
        <v>1</v>
      </c>
      <c r="BM132" s="81">
        <v>1</v>
      </c>
      <c r="BN132" s="81">
        <v>1</v>
      </c>
      <c r="BO132" s="81">
        <v>1</v>
      </c>
      <c r="BP132" s="81">
        <v>1</v>
      </c>
      <c r="BQ132" s="81">
        <v>1</v>
      </c>
      <c r="BR132" s="81">
        <v>1</v>
      </c>
      <c r="BS132" s="81">
        <v>1</v>
      </c>
      <c r="BT132" s="81">
        <v>1</v>
      </c>
      <c r="BU132" s="81">
        <v>0</v>
      </c>
      <c r="BV132" s="81">
        <v>0</v>
      </c>
      <c r="BW132" s="81">
        <v>0</v>
      </c>
      <c r="BX132" s="81">
        <v>0</v>
      </c>
      <c r="BY132" s="81">
        <v>0</v>
      </c>
      <c r="BZ132" s="81">
        <v>0</v>
      </c>
      <c r="CA132" s="81">
        <v>0</v>
      </c>
      <c r="CB132" s="81">
        <v>2</v>
      </c>
      <c r="CC132" s="81">
        <v>2</v>
      </c>
      <c r="CD132" s="81">
        <v>1</v>
      </c>
      <c r="CE132" s="81">
        <v>2</v>
      </c>
      <c r="CF132" s="81">
        <v>1</v>
      </c>
      <c r="CG132" s="81">
        <v>1</v>
      </c>
      <c r="CH132" s="81">
        <v>0</v>
      </c>
      <c r="CI132" s="81">
        <v>1</v>
      </c>
      <c r="CJ132" s="81">
        <v>1</v>
      </c>
      <c r="CK132" s="81">
        <v>1</v>
      </c>
      <c r="CL132" s="81">
        <v>1</v>
      </c>
      <c r="CM132" s="81">
        <v>1</v>
      </c>
      <c r="CN132" s="81">
        <v>1</v>
      </c>
      <c r="CO132" s="81" t="s">
        <v>751</v>
      </c>
    </row>
    <row r="133" spans="1:93" ht="11.55" customHeight="1" x14ac:dyDescent="0.3">
      <c r="A133" s="81" t="s">
        <v>776</v>
      </c>
      <c r="B133" s="81" t="s">
        <v>777</v>
      </c>
      <c r="C133" s="81" t="s">
        <v>398</v>
      </c>
      <c r="D133" s="94">
        <v>17</v>
      </c>
      <c r="E133" s="81">
        <v>0</v>
      </c>
      <c r="F133" s="81">
        <v>0</v>
      </c>
      <c r="G133" s="81">
        <v>0</v>
      </c>
      <c r="H133" s="81">
        <v>1</v>
      </c>
      <c r="I133" s="81">
        <v>0</v>
      </c>
      <c r="J133" s="81">
        <v>1</v>
      </c>
      <c r="K133" s="81">
        <v>0</v>
      </c>
      <c r="L133" s="81">
        <v>0</v>
      </c>
      <c r="M133" s="81">
        <v>0</v>
      </c>
      <c r="N133" s="81">
        <v>1</v>
      </c>
      <c r="O133" s="81">
        <v>0</v>
      </c>
      <c r="P133" s="81">
        <v>0</v>
      </c>
      <c r="Q133" s="81">
        <v>0</v>
      </c>
      <c r="R133" s="81">
        <v>0</v>
      </c>
      <c r="S133" s="81">
        <v>0</v>
      </c>
      <c r="T133" s="81">
        <v>1</v>
      </c>
      <c r="U133" s="81">
        <v>0</v>
      </c>
      <c r="V133" s="81">
        <v>0</v>
      </c>
      <c r="W133" s="81">
        <v>0</v>
      </c>
      <c r="X133" s="81">
        <v>0</v>
      </c>
      <c r="Y133" s="81">
        <v>0</v>
      </c>
      <c r="Z133" s="81">
        <v>1</v>
      </c>
      <c r="AA133" s="81">
        <v>0</v>
      </c>
      <c r="AB133" s="81">
        <v>0</v>
      </c>
      <c r="AC133" s="81">
        <v>0</v>
      </c>
      <c r="AD133" s="81">
        <v>0</v>
      </c>
      <c r="AE133" s="81">
        <v>0</v>
      </c>
      <c r="AF133" s="81">
        <v>0</v>
      </c>
      <c r="AG133" s="81">
        <v>0</v>
      </c>
      <c r="AH133" s="81">
        <v>0</v>
      </c>
      <c r="AI133" s="81">
        <v>0</v>
      </c>
      <c r="AJ133" s="81">
        <v>0</v>
      </c>
      <c r="AK133" s="81">
        <v>0</v>
      </c>
      <c r="AL133" s="81">
        <v>0</v>
      </c>
      <c r="AM133" s="81">
        <v>0</v>
      </c>
      <c r="AN133" s="81">
        <v>0</v>
      </c>
      <c r="AO133" s="81">
        <v>1</v>
      </c>
      <c r="AP133" s="81">
        <v>0</v>
      </c>
      <c r="AQ133" s="81">
        <v>0</v>
      </c>
      <c r="AR133" s="81">
        <v>0</v>
      </c>
      <c r="AS133" s="81">
        <v>0</v>
      </c>
      <c r="AT133" s="81">
        <v>1</v>
      </c>
      <c r="AU133" s="81">
        <v>0</v>
      </c>
      <c r="AV133" s="81">
        <v>0</v>
      </c>
      <c r="AW133" s="81">
        <v>0</v>
      </c>
      <c r="AX133" s="81">
        <v>0</v>
      </c>
      <c r="AY133" s="81">
        <v>0</v>
      </c>
      <c r="AZ133" s="81">
        <v>0</v>
      </c>
      <c r="BA133" s="81">
        <v>0</v>
      </c>
      <c r="BB133" s="81">
        <v>1</v>
      </c>
      <c r="BC133" s="81">
        <v>1</v>
      </c>
      <c r="BD133" s="81">
        <v>1</v>
      </c>
      <c r="BE133" s="81">
        <v>1</v>
      </c>
      <c r="BF133" s="81">
        <v>1</v>
      </c>
      <c r="BG133" s="81">
        <v>1</v>
      </c>
      <c r="BH133" s="81">
        <v>1</v>
      </c>
      <c r="BI133" s="81">
        <v>1</v>
      </c>
      <c r="BJ133" s="81">
        <v>1</v>
      </c>
      <c r="BK133" s="81">
        <v>1</v>
      </c>
      <c r="BL133" s="81">
        <v>1</v>
      </c>
      <c r="BM133" s="81">
        <v>1</v>
      </c>
      <c r="BN133" s="81">
        <v>1</v>
      </c>
      <c r="BO133" s="81">
        <v>1</v>
      </c>
      <c r="BP133" s="81">
        <v>1</v>
      </c>
      <c r="BQ133" s="81">
        <v>1</v>
      </c>
      <c r="BR133" s="81">
        <v>1</v>
      </c>
      <c r="BS133" s="81">
        <v>1</v>
      </c>
      <c r="BT133" s="81">
        <v>1</v>
      </c>
      <c r="BU133" s="81">
        <v>0</v>
      </c>
      <c r="BV133" s="81">
        <v>0</v>
      </c>
      <c r="BW133" s="81">
        <v>0</v>
      </c>
      <c r="BX133" s="81">
        <v>0</v>
      </c>
      <c r="BY133" s="81">
        <v>0</v>
      </c>
      <c r="BZ133" s="81">
        <v>0</v>
      </c>
      <c r="CA133" s="81">
        <v>0</v>
      </c>
      <c r="CB133" s="81">
        <v>2</v>
      </c>
      <c r="CC133" s="81">
        <v>2</v>
      </c>
      <c r="CD133" s="81">
        <v>1</v>
      </c>
      <c r="CE133" s="81">
        <v>2</v>
      </c>
      <c r="CF133" s="81">
        <v>1</v>
      </c>
      <c r="CG133" s="81">
        <v>1</v>
      </c>
      <c r="CH133" s="81">
        <v>0</v>
      </c>
      <c r="CI133" s="81">
        <v>1</v>
      </c>
      <c r="CJ133" s="81">
        <v>1</v>
      </c>
      <c r="CK133" s="81">
        <v>1</v>
      </c>
      <c r="CL133" s="81">
        <v>1</v>
      </c>
      <c r="CM133" s="81">
        <v>1</v>
      </c>
      <c r="CN133" s="81">
        <v>1</v>
      </c>
      <c r="CO133" s="81" t="s">
        <v>751</v>
      </c>
    </row>
    <row r="134" spans="1:93" ht="11.55" customHeight="1" x14ac:dyDescent="0.3">
      <c r="A134" s="81" t="s">
        <v>778</v>
      </c>
      <c r="B134" s="81" t="s">
        <v>779</v>
      </c>
      <c r="C134" s="81" t="s">
        <v>398</v>
      </c>
      <c r="D134" s="94">
        <v>17</v>
      </c>
      <c r="E134" s="81">
        <v>0</v>
      </c>
      <c r="F134" s="81">
        <v>0</v>
      </c>
      <c r="G134" s="81">
        <v>0</v>
      </c>
      <c r="H134" s="81">
        <v>1</v>
      </c>
      <c r="I134" s="81">
        <v>0</v>
      </c>
      <c r="J134" s="81">
        <v>1</v>
      </c>
      <c r="K134" s="81">
        <v>0</v>
      </c>
      <c r="L134" s="81">
        <v>0</v>
      </c>
      <c r="M134" s="81">
        <v>0</v>
      </c>
      <c r="N134" s="81">
        <v>1</v>
      </c>
      <c r="O134" s="81">
        <v>0</v>
      </c>
      <c r="P134" s="81">
        <v>0</v>
      </c>
      <c r="Q134" s="81">
        <v>0</v>
      </c>
      <c r="R134" s="81">
        <v>0</v>
      </c>
      <c r="S134" s="81">
        <v>0</v>
      </c>
      <c r="T134" s="81">
        <v>1</v>
      </c>
      <c r="U134" s="81">
        <v>0</v>
      </c>
      <c r="V134" s="81">
        <v>0</v>
      </c>
      <c r="W134" s="81">
        <v>0</v>
      </c>
      <c r="X134" s="81">
        <v>0</v>
      </c>
      <c r="Y134" s="81">
        <v>0</v>
      </c>
      <c r="Z134" s="81">
        <v>1</v>
      </c>
      <c r="AA134" s="81">
        <v>0</v>
      </c>
      <c r="AB134" s="81">
        <v>0</v>
      </c>
      <c r="AC134" s="81">
        <v>0</v>
      </c>
      <c r="AD134" s="81">
        <v>0</v>
      </c>
      <c r="AE134" s="81">
        <v>0</v>
      </c>
      <c r="AF134" s="81">
        <v>0</v>
      </c>
      <c r="AG134" s="81">
        <v>0</v>
      </c>
      <c r="AH134" s="81">
        <v>0</v>
      </c>
      <c r="AI134" s="81">
        <v>0</v>
      </c>
      <c r="AJ134" s="81">
        <v>0</v>
      </c>
      <c r="AK134" s="81">
        <v>0</v>
      </c>
      <c r="AL134" s="81">
        <v>0</v>
      </c>
      <c r="AM134" s="81">
        <v>0</v>
      </c>
      <c r="AN134" s="81">
        <v>0</v>
      </c>
      <c r="AO134" s="81">
        <v>1</v>
      </c>
      <c r="AP134" s="81">
        <v>0</v>
      </c>
      <c r="AQ134" s="81">
        <v>0</v>
      </c>
      <c r="AR134" s="81">
        <v>0</v>
      </c>
      <c r="AS134" s="81">
        <v>0</v>
      </c>
      <c r="AT134" s="81">
        <v>1</v>
      </c>
      <c r="AU134" s="81">
        <v>0</v>
      </c>
      <c r="AV134" s="81">
        <v>0</v>
      </c>
      <c r="AW134" s="81">
        <v>0</v>
      </c>
      <c r="AX134" s="81">
        <v>0</v>
      </c>
      <c r="AY134" s="81">
        <v>0</v>
      </c>
      <c r="AZ134" s="81">
        <v>0</v>
      </c>
      <c r="BA134" s="81">
        <v>0</v>
      </c>
      <c r="BB134" s="81">
        <v>1</v>
      </c>
      <c r="BC134" s="81">
        <v>1</v>
      </c>
      <c r="BD134" s="81">
        <v>1</v>
      </c>
      <c r="BE134" s="81">
        <v>1</v>
      </c>
      <c r="BF134" s="81">
        <v>1</v>
      </c>
      <c r="BG134" s="81">
        <v>1</v>
      </c>
      <c r="BH134" s="81">
        <v>1</v>
      </c>
      <c r="BI134" s="81">
        <v>1</v>
      </c>
      <c r="BJ134" s="81">
        <v>1</v>
      </c>
      <c r="BK134" s="81">
        <v>1</v>
      </c>
      <c r="BL134" s="81">
        <v>1</v>
      </c>
      <c r="BM134" s="81">
        <v>1</v>
      </c>
      <c r="BN134" s="81">
        <v>1</v>
      </c>
      <c r="BO134" s="81">
        <v>1</v>
      </c>
      <c r="BP134" s="81">
        <v>1</v>
      </c>
      <c r="BQ134" s="81">
        <v>1</v>
      </c>
      <c r="BR134" s="81">
        <v>1</v>
      </c>
      <c r="BS134" s="81">
        <v>1</v>
      </c>
      <c r="BT134" s="81">
        <v>1</v>
      </c>
      <c r="BU134" s="81">
        <v>0</v>
      </c>
      <c r="BV134" s="81">
        <v>0</v>
      </c>
      <c r="BW134" s="81">
        <v>0</v>
      </c>
      <c r="BX134" s="81">
        <v>0</v>
      </c>
      <c r="BY134" s="81">
        <v>0</v>
      </c>
      <c r="BZ134" s="81">
        <v>0</v>
      </c>
      <c r="CA134" s="81">
        <v>0</v>
      </c>
      <c r="CB134" s="81">
        <v>2</v>
      </c>
      <c r="CC134" s="81">
        <v>2</v>
      </c>
      <c r="CD134" s="81">
        <v>1</v>
      </c>
      <c r="CE134" s="81">
        <v>2</v>
      </c>
      <c r="CF134" s="81">
        <v>1</v>
      </c>
      <c r="CG134" s="81">
        <v>1</v>
      </c>
      <c r="CH134" s="81">
        <v>0</v>
      </c>
      <c r="CI134" s="81">
        <v>1</v>
      </c>
      <c r="CJ134" s="81">
        <v>1</v>
      </c>
      <c r="CK134" s="81">
        <v>1</v>
      </c>
      <c r="CL134" s="81">
        <v>1</v>
      </c>
      <c r="CM134" s="81">
        <v>1</v>
      </c>
      <c r="CN134" s="81">
        <v>1</v>
      </c>
      <c r="CO134" s="81" t="s">
        <v>751</v>
      </c>
    </row>
    <row r="135" spans="1:93" ht="11.55" customHeight="1" x14ac:dyDescent="0.3">
      <c r="A135" s="81" t="s">
        <v>780</v>
      </c>
      <c r="B135" s="81" t="s">
        <v>781</v>
      </c>
      <c r="C135" s="81" t="s">
        <v>398</v>
      </c>
      <c r="D135" s="94">
        <v>17</v>
      </c>
      <c r="E135" s="81">
        <v>0</v>
      </c>
      <c r="F135" s="81">
        <v>0</v>
      </c>
      <c r="G135" s="81">
        <v>0</v>
      </c>
      <c r="H135" s="81">
        <v>1</v>
      </c>
      <c r="I135" s="81">
        <v>0</v>
      </c>
      <c r="J135" s="81">
        <v>1</v>
      </c>
      <c r="K135" s="81">
        <v>0</v>
      </c>
      <c r="L135" s="81">
        <v>0</v>
      </c>
      <c r="M135" s="81">
        <v>0</v>
      </c>
      <c r="N135" s="81">
        <v>1</v>
      </c>
      <c r="O135" s="81">
        <v>0</v>
      </c>
      <c r="P135" s="81">
        <v>0</v>
      </c>
      <c r="Q135" s="81">
        <v>0</v>
      </c>
      <c r="R135" s="81">
        <v>0</v>
      </c>
      <c r="S135" s="81">
        <v>0</v>
      </c>
      <c r="T135" s="81">
        <v>1</v>
      </c>
      <c r="U135" s="81">
        <v>0</v>
      </c>
      <c r="V135" s="81">
        <v>0</v>
      </c>
      <c r="W135" s="81">
        <v>0</v>
      </c>
      <c r="X135" s="81">
        <v>0</v>
      </c>
      <c r="Y135" s="81">
        <v>0</v>
      </c>
      <c r="Z135" s="81">
        <v>1</v>
      </c>
      <c r="AA135" s="81">
        <v>0</v>
      </c>
      <c r="AB135" s="81">
        <v>0</v>
      </c>
      <c r="AC135" s="81">
        <v>0</v>
      </c>
      <c r="AD135" s="81">
        <v>0</v>
      </c>
      <c r="AE135" s="81">
        <v>0</v>
      </c>
      <c r="AF135" s="81">
        <v>0</v>
      </c>
      <c r="AG135" s="81">
        <v>0</v>
      </c>
      <c r="AH135" s="81">
        <v>0</v>
      </c>
      <c r="AI135" s="81">
        <v>0</v>
      </c>
      <c r="AJ135" s="81">
        <v>0</v>
      </c>
      <c r="AK135" s="81">
        <v>0</v>
      </c>
      <c r="AL135" s="81">
        <v>0</v>
      </c>
      <c r="AM135" s="81">
        <v>0</v>
      </c>
      <c r="AN135" s="81">
        <v>0</v>
      </c>
      <c r="AO135" s="81">
        <v>1</v>
      </c>
      <c r="AP135" s="81">
        <v>0</v>
      </c>
      <c r="AQ135" s="81">
        <v>0</v>
      </c>
      <c r="AR135" s="81">
        <v>0</v>
      </c>
      <c r="AS135" s="81">
        <v>0</v>
      </c>
      <c r="AT135" s="81">
        <v>1</v>
      </c>
      <c r="AU135" s="81">
        <v>0</v>
      </c>
      <c r="AV135" s="81">
        <v>0</v>
      </c>
      <c r="AW135" s="81">
        <v>0</v>
      </c>
      <c r="AX135" s="81">
        <v>0</v>
      </c>
      <c r="AY135" s="81">
        <v>0</v>
      </c>
      <c r="AZ135" s="81">
        <v>0</v>
      </c>
      <c r="BA135" s="81">
        <v>0</v>
      </c>
      <c r="BB135" s="81">
        <v>1</v>
      </c>
      <c r="BC135" s="81">
        <v>1</v>
      </c>
      <c r="BD135" s="81">
        <v>1</v>
      </c>
      <c r="BE135" s="81">
        <v>1</v>
      </c>
      <c r="BF135" s="81">
        <v>1</v>
      </c>
      <c r="BG135" s="81">
        <v>1</v>
      </c>
      <c r="BH135" s="81">
        <v>1</v>
      </c>
      <c r="BI135" s="81">
        <v>1</v>
      </c>
      <c r="BJ135" s="81">
        <v>1</v>
      </c>
      <c r="BK135" s="81">
        <v>1</v>
      </c>
      <c r="BL135" s="81">
        <v>1</v>
      </c>
      <c r="BM135" s="81">
        <v>1</v>
      </c>
      <c r="BN135" s="81">
        <v>1</v>
      </c>
      <c r="BO135" s="81">
        <v>1</v>
      </c>
      <c r="BP135" s="81">
        <v>1</v>
      </c>
      <c r="BQ135" s="81">
        <v>1</v>
      </c>
      <c r="BR135" s="81">
        <v>1</v>
      </c>
      <c r="BS135" s="81">
        <v>1</v>
      </c>
      <c r="BT135" s="81">
        <v>1</v>
      </c>
      <c r="BU135" s="81">
        <v>0</v>
      </c>
      <c r="BV135" s="81">
        <v>0</v>
      </c>
      <c r="BW135" s="81">
        <v>0</v>
      </c>
      <c r="BX135" s="81">
        <v>0</v>
      </c>
      <c r="BY135" s="81">
        <v>0</v>
      </c>
      <c r="BZ135" s="81">
        <v>0</v>
      </c>
      <c r="CA135" s="81">
        <v>0</v>
      </c>
      <c r="CB135" s="81">
        <v>2</v>
      </c>
      <c r="CC135" s="81">
        <v>2</v>
      </c>
      <c r="CD135" s="81">
        <v>1</v>
      </c>
      <c r="CE135" s="81">
        <v>2</v>
      </c>
      <c r="CF135" s="81">
        <v>1</v>
      </c>
      <c r="CG135" s="81">
        <v>1</v>
      </c>
      <c r="CH135" s="81">
        <v>0</v>
      </c>
      <c r="CI135" s="81">
        <v>1</v>
      </c>
      <c r="CJ135" s="81">
        <v>1</v>
      </c>
      <c r="CK135" s="81">
        <v>1</v>
      </c>
      <c r="CL135" s="81">
        <v>1</v>
      </c>
      <c r="CM135" s="81">
        <v>1</v>
      </c>
      <c r="CN135" s="81">
        <v>1</v>
      </c>
      <c r="CO135" s="81" t="s">
        <v>751</v>
      </c>
    </row>
    <row r="136" spans="1:93" ht="11.55" customHeight="1" x14ac:dyDescent="0.3">
      <c r="A136" s="81" t="s">
        <v>782</v>
      </c>
      <c r="B136" s="81" t="s">
        <v>783</v>
      </c>
      <c r="C136" s="81" t="s">
        <v>398</v>
      </c>
      <c r="D136" s="94">
        <v>17</v>
      </c>
      <c r="E136" s="81">
        <v>0</v>
      </c>
      <c r="F136" s="81">
        <v>0</v>
      </c>
      <c r="G136" s="81">
        <v>0</v>
      </c>
      <c r="H136" s="81">
        <v>1</v>
      </c>
      <c r="I136" s="81">
        <v>0</v>
      </c>
      <c r="J136" s="81">
        <v>1</v>
      </c>
      <c r="K136" s="81">
        <v>0</v>
      </c>
      <c r="L136" s="81">
        <v>0</v>
      </c>
      <c r="M136" s="81">
        <v>0</v>
      </c>
      <c r="N136" s="81">
        <v>1</v>
      </c>
      <c r="O136" s="81">
        <v>0</v>
      </c>
      <c r="P136" s="81">
        <v>0</v>
      </c>
      <c r="Q136" s="81">
        <v>0</v>
      </c>
      <c r="R136" s="81">
        <v>0</v>
      </c>
      <c r="S136" s="81">
        <v>0</v>
      </c>
      <c r="T136" s="81">
        <v>1</v>
      </c>
      <c r="U136" s="81">
        <v>0</v>
      </c>
      <c r="V136" s="81">
        <v>0</v>
      </c>
      <c r="W136" s="81">
        <v>0</v>
      </c>
      <c r="X136" s="81">
        <v>0</v>
      </c>
      <c r="Y136" s="81">
        <v>0</v>
      </c>
      <c r="Z136" s="81">
        <v>1</v>
      </c>
      <c r="AA136" s="81">
        <v>0</v>
      </c>
      <c r="AB136" s="81">
        <v>0</v>
      </c>
      <c r="AC136" s="81">
        <v>0</v>
      </c>
      <c r="AD136" s="81">
        <v>0</v>
      </c>
      <c r="AE136" s="81">
        <v>0</v>
      </c>
      <c r="AF136" s="81">
        <v>0</v>
      </c>
      <c r="AG136" s="81">
        <v>0</v>
      </c>
      <c r="AH136" s="81">
        <v>0</v>
      </c>
      <c r="AI136" s="81">
        <v>0</v>
      </c>
      <c r="AJ136" s="81">
        <v>0</v>
      </c>
      <c r="AK136" s="81">
        <v>0</v>
      </c>
      <c r="AL136" s="81">
        <v>0</v>
      </c>
      <c r="AM136" s="81">
        <v>0</v>
      </c>
      <c r="AN136" s="81">
        <v>0</v>
      </c>
      <c r="AO136" s="81">
        <v>1</v>
      </c>
      <c r="AP136" s="81">
        <v>0</v>
      </c>
      <c r="AQ136" s="81">
        <v>0</v>
      </c>
      <c r="AR136" s="81">
        <v>0</v>
      </c>
      <c r="AS136" s="81">
        <v>0</v>
      </c>
      <c r="AT136" s="81">
        <v>1</v>
      </c>
      <c r="AU136" s="81">
        <v>0</v>
      </c>
      <c r="AV136" s="81">
        <v>0</v>
      </c>
      <c r="AW136" s="81">
        <v>0</v>
      </c>
      <c r="AX136" s="81">
        <v>0</v>
      </c>
      <c r="AY136" s="81">
        <v>0</v>
      </c>
      <c r="AZ136" s="81">
        <v>0</v>
      </c>
      <c r="BA136" s="81">
        <v>0</v>
      </c>
      <c r="BB136" s="81">
        <v>1</v>
      </c>
      <c r="BC136" s="81">
        <v>1</v>
      </c>
      <c r="BD136" s="81">
        <v>1</v>
      </c>
      <c r="BE136" s="81">
        <v>1</v>
      </c>
      <c r="BF136" s="81">
        <v>1</v>
      </c>
      <c r="BG136" s="81">
        <v>1</v>
      </c>
      <c r="BH136" s="81">
        <v>1</v>
      </c>
      <c r="BI136" s="81">
        <v>1</v>
      </c>
      <c r="BJ136" s="81">
        <v>1</v>
      </c>
      <c r="BK136" s="81">
        <v>1</v>
      </c>
      <c r="BL136" s="81">
        <v>1</v>
      </c>
      <c r="BM136" s="81">
        <v>1</v>
      </c>
      <c r="BN136" s="81">
        <v>1</v>
      </c>
      <c r="BO136" s="81">
        <v>1</v>
      </c>
      <c r="BP136" s="81">
        <v>1</v>
      </c>
      <c r="BQ136" s="81">
        <v>1</v>
      </c>
      <c r="BR136" s="81">
        <v>1</v>
      </c>
      <c r="BS136" s="81">
        <v>1</v>
      </c>
      <c r="BT136" s="81">
        <v>1</v>
      </c>
      <c r="BU136" s="81">
        <v>0</v>
      </c>
      <c r="BV136" s="81">
        <v>0</v>
      </c>
      <c r="BW136" s="81">
        <v>0</v>
      </c>
      <c r="BX136" s="81">
        <v>0</v>
      </c>
      <c r="BY136" s="81">
        <v>0</v>
      </c>
      <c r="BZ136" s="81">
        <v>0</v>
      </c>
      <c r="CA136" s="81">
        <v>0</v>
      </c>
      <c r="CB136" s="81">
        <v>2</v>
      </c>
      <c r="CC136" s="81">
        <v>2</v>
      </c>
      <c r="CD136" s="81">
        <v>1</v>
      </c>
      <c r="CE136" s="81">
        <v>2</v>
      </c>
      <c r="CF136" s="81">
        <v>1</v>
      </c>
      <c r="CG136" s="81">
        <v>1</v>
      </c>
      <c r="CH136" s="81">
        <v>0</v>
      </c>
      <c r="CI136" s="81">
        <v>1</v>
      </c>
      <c r="CJ136" s="81">
        <v>1</v>
      </c>
      <c r="CK136" s="81">
        <v>1</v>
      </c>
      <c r="CL136" s="81">
        <v>1</v>
      </c>
      <c r="CM136" s="81">
        <v>1</v>
      </c>
      <c r="CN136" s="81">
        <v>1</v>
      </c>
      <c r="CO136" s="81" t="s">
        <v>751</v>
      </c>
    </row>
    <row r="137" spans="1:93" ht="11.55" customHeight="1" x14ac:dyDescent="0.3">
      <c r="A137" s="81" t="s">
        <v>784</v>
      </c>
      <c r="B137" s="81" t="s">
        <v>785</v>
      </c>
      <c r="C137" s="81" t="s">
        <v>409</v>
      </c>
      <c r="D137" s="94">
        <v>14</v>
      </c>
      <c r="E137" s="81">
        <v>0</v>
      </c>
      <c r="F137" s="81">
        <v>0</v>
      </c>
      <c r="G137" s="81">
        <v>0</v>
      </c>
      <c r="H137" s="81">
        <v>1</v>
      </c>
      <c r="I137" s="81">
        <v>0</v>
      </c>
      <c r="J137" s="81">
        <v>0</v>
      </c>
      <c r="K137" s="81">
        <v>0</v>
      </c>
      <c r="L137" s="81">
        <v>0</v>
      </c>
      <c r="M137" s="81">
        <v>0</v>
      </c>
      <c r="N137" s="81">
        <v>1</v>
      </c>
      <c r="O137" s="81">
        <v>0</v>
      </c>
      <c r="P137" s="81">
        <v>0</v>
      </c>
      <c r="Q137" s="81">
        <v>0</v>
      </c>
      <c r="R137" s="81">
        <v>0</v>
      </c>
      <c r="S137" s="81">
        <v>0</v>
      </c>
      <c r="T137" s="81">
        <v>1</v>
      </c>
      <c r="U137" s="81">
        <v>0</v>
      </c>
      <c r="V137" s="81">
        <v>0</v>
      </c>
      <c r="W137" s="81">
        <v>0</v>
      </c>
      <c r="X137" s="81">
        <v>0</v>
      </c>
      <c r="Y137" s="81">
        <v>0</v>
      </c>
      <c r="Z137" s="81">
        <v>1</v>
      </c>
      <c r="AA137" s="81">
        <v>0</v>
      </c>
      <c r="AB137" s="81">
        <v>0</v>
      </c>
      <c r="AC137" s="81">
        <v>0</v>
      </c>
      <c r="AD137" s="81">
        <v>0</v>
      </c>
      <c r="AE137" s="81">
        <v>0</v>
      </c>
      <c r="AF137" s="81">
        <v>0</v>
      </c>
      <c r="AG137" s="81">
        <v>0</v>
      </c>
      <c r="AH137" s="81">
        <v>0</v>
      </c>
      <c r="AI137" s="81">
        <v>0</v>
      </c>
      <c r="AJ137" s="81">
        <v>0</v>
      </c>
      <c r="AK137" s="81">
        <v>0</v>
      </c>
      <c r="AL137" s="81">
        <v>0</v>
      </c>
      <c r="AM137" s="81">
        <v>0</v>
      </c>
      <c r="AN137" s="81">
        <v>0</v>
      </c>
      <c r="AO137" s="81">
        <v>0</v>
      </c>
      <c r="AP137" s="81">
        <v>0</v>
      </c>
      <c r="AQ137" s="81">
        <v>0</v>
      </c>
      <c r="AR137" s="81">
        <v>0</v>
      </c>
      <c r="AS137" s="81">
        <v>0</v>
      </c>
      <c r="AT137" s="81">
        <v>0</v>
      </c>
      <c r="AU137" s="81">
        <v>0</v>
      </c>
      <c r="AV137" s="81">
        <v>0</v>
      </c>
      <c r="AW137" s="81">
        <v>0</v>
      </c>
      <c r="AX137" s="81">
        <v>0</v>
      </c>
      <c r="AY137" s="81">
        <v>0</v>
      </c>
      <c r="AZ137" s="81">
        <v>0</v>
      </c>
      <c r="BA137" s="81">
        <v>0</v>
      </c>
      <c r="BB137" s="81">
        <v>0</v>
      </c>
      <c r="BC137" s="81">
        <v>0</v>
      </c>
      <c r="BD137" s="81">
        <v>0</v>
      </c>
      <c r="BE137" s="81">
        <v>1</v>
      </c>
      <c r="BF137" s="81">
        <v>0</v>
      </c>
      <c r="BG137" s="81">
        <v>1</v>
      </c>
      <c r="BH137" s="81">
        <v>0</v>
      </c>
      <c r="BI137" s="81">
        <v>0</v>
      </c>
      <c r="BJ137" s="81">
        <v>1</v>
      </c>
      <c r="BK137" s="81">
        <v>0</v>
      </c>
      <c r="BL137" s="81">
        <v>0</v>
      </c>
      <c r="BM137" s="81">
        <v>1</v>
      </c>
      <c r="BN137" s="81">
        <v>0</v>
      </c>
      <c r="BO137" s="81">
        <v>1</v>
      </c>
      <c r="BP137" s="81">
        <v>0</v>
      </c>
      <c r="BQ137" s="81">
        <v>1</v>
      </c>
      <c r="BR137" s="81">
        <v>0</v>
      </c>
      <c r="BS137" s="81">
        <v>1</v>
      </c>
      <c r="BT137" s="81">
        <v>1</v>
      </c>
      <c r="BU137" s="81">
        <v>0</v>
      </c>
      <c r="BV137" s="81">
        <v>0</v>
      </c>
      <c r="BW137" s="81">
        <v>0</v>
      </c>
      <c r="BX137" s="81">
        <v>0</v>
      </c>
      <c r="BY137" s="81">
        <v>0</v>
      </c>
      <c r="BZ137" s="81">
        <v>0</v>
      </c>
      <c r="CA137" s="81">
        <v>0</v>
      </c>
      <c r="CB137" s="81">
        <v>1</v>
      </c>
      <c r="CC137" s="81">
        <v>1</v>
      </c>
      <c r="CD137" s="81">
        <v>0</v>
      </c>
      <c r="CE137" s="81">
        <v>1</v>
      </c>
      <c r="CF137" s="81">
        <v>1</v>
      </c>
      <c r="CG137" s="81">
        <v>0</v>
      </c>
      <c r="CH137" s="81">
        <v>0</v>
      </c>
      <c r="CI137" s="81">
        <v>1</v>
      </c>
      <c r="CJ137" s="81">
        <v>1</v>
      </c>
      <c r="CK137" s="81">
        <v>1</v>
      </c>
      <c r="CL137" s="81">
        <v>0</v>
      </c>
      <c r="CM137" s="81">
        <v>1</v>
      </c>
      <c r="CN137" s="81">
        <v>1</v>
      </c>
      <c r="CO137" s="81" t="s">
        <v>786</v>
      </c>
    </row>
    <row r="138" spans="1:93" ht="11.55" customHeight="1" x14ac:dyDescent="0.3">
      <c r="A138" s="81" t="s">
        <v>787</v>
      </c>
      <c r="B138" s="81" t="s">
        <v>788</v>
      </c>
      <c r="C138" s="81" t="s">
        <v>409</v>
      </c>
      <c r="D138" s="94">
        <v>14</v>
      </c>
      <c r="E138" s="81">
        <v>0</v>
      </c>
      <c r="F138" s="81">
        <v>0</v>
      </c>
      <c r="G138" s="81">
        <v>0</v>
      </c>
      <c r="H138" s="81">
        <v>1</v>
      </c>
      <c r="I138" s="81">
        <v>0</v>
      </c>
      <c r="J138" s="81">
        <v>0</v>
      </c>
      <c r="K138" s="81">
        <v>0</v>
      </c>
      <c r="L138" s="81">
        <v>0</v>
      </c>
      <c r="M138" s="81">
        <v>0</v>
      </c>
      <c r="N138" s="81">
        <v>1</v>
      </c>
      <c r="O138" s="81">
        <v>0</v>
      </c>
      <c r="P138" s="81">
        <v>0</v>
      </c>
      <c r="Q138" s="81">
        <v>0</v>
      </c>
      <c r="R138" s="81">
        <v>0</v>
      </c>
      <c r="S138" s="81">
        <v>0</v>
      </c>
      <c r="T138" s="81">
        <v>1</v>
      </c>
      <c r="U138" s="81">
        <v>0</v>
      </c>
      <c r="V138" s="81">
        <v>0</v>
      </c>
      <c r="W138" s="81">
        <v>0</v>
      </c>
      <c r="X138" s="81">
        <v>0</v>
      </c>
      <c r="Y138" s="81">
        <v>0</v>
      </c>
      <c r="Z138" s="81">
        <v>1</v>
      </c>
      <c r="AA138" s="81">
        <v>0</v>
      </c>
      <c r="AB138" s="81">
        <v>0</v>
      </c>
      <c r="AC138" s="81">
        <v>0</v>
      </c>
      <c r="AD138" s="81">
        <v>0</v>
      </c>
      <c r="AE138" s="81">
        <v>0</v>
      </c>
      <c r="AF138" s="81">
        <v>0</v>
      </c>
      <c r="AG138" s="81">
        <v>0</v>
      </c>
      <c r="AH138" s="81">
        <v>0</v>
      </c>
      <c r="AI138" s="81">
        <v>0</v>
      </c>
      <c r="AJ138" s="81">
        <v>0</v>
      </c>
      <c r="AK138" s="81">
        <v>0</v>
      </c>
      <c r="AL138" s="81">
        <v>0</v>
      </c>
      <c r="AM138" s="81">
        <v>0</v>
      </c>
      <c r="AN138" s="81">
        <v>0</v>
      </c>
      <c r="AO138" s="81">
        <v>0</v>
      </c>
      <c r="AP138" s="81">
        <v>0</v>
      </c>
      <c r="AQ138" s="81">
        <v>0</v>
      </c>
      <c r="AR138" s="81">
        <v>0</v>
      </c>
      <c r="AS138" s="81">
        <v>0</v>
      </c>
      <c r="AT138" s="81">
        <v>0</v>
      </c>
      <c r="AU138" s="81">
        <v>0</v>
      </c>
      <c r="AV138" s="81">
        <v>0</v>
      </c>
      <c r="AW138" s="81">
        <v>0</v>
      </c>
      <c r="AX138" s="81">
        <v>0</v>
      </c>
      <c r="AY138" s="81">
        <v>0</v>
      </c>
      <c r="AZ138" s="81">
        <v>0</v>
      </c>
      <c r="BA138" s="81">
        <v>0</v>
      </c>
      <c r="BB138" s="81">
        <v>0</v>
      </c>
      <c r="BC138" s="81">
        <v>0</v>
      </c>
      <c r="BD138" s="81">
        <v>0</v>
      </c>
      <c r="BE138" s="81">
        <v>1</v>
      </c>
      <c r="BF138" s="81">
        <v>0</v>
      </c>
      <c r="BG138" s="81">
        <v>1</v>
      </c>
      <c r="BH138" s="81">
        <v>0</v>
      </c>
      <c r="BI138" s="81">
        <v>0</v>
      </c>
      <c r="BJ138" s="81">
        <v>1</v>
      </c>
      <c r="BK138" s="81">
        <v>0</v>
      </c>
      <c r="BL138" s="81">
        <v>0</v>
      </c>
      <c r="BM138" s="81">
        <v>1</v>
      </c>
      <c r="BN138" s="81">
        <v>0</v>
      </c>
      <c r="BO138" s="81">
        <v>1</v>
      </c>
      <c r="BP138" s="81">
        <v>0</v>
      </c>
      <c r="BQ138" s="81">
        <v>1</v>
      </c>
      <c r="BR138" s="81">
        <v>0</v>
      </c>
      <c r="BS138" s="81">
        <v>1</v>
      </c>
      <c r="BT138" s="81">
        <v>1</v>
      </c>
      <c r="BU138" s="81">
        <v>0</v>
      </c>
      <c r="BV138" s="81">
        <v>0</v>
      </c>
      <c r="BW138" s="81">
        <v>0</v>
      </c>
      <c r="BX138" s="81">
        <v>0</v>
      </c>
      <c r="BY138" s="81">
        <v>0</v>
      </c>
      <c r="BZ138" s="81">
        <v>0</v>
      </c>
      <c r="CA138" s="81">
        <v>0</v>
      </c>
      <c r="CB138" s="81">
        <v>1</v>
      </c>
      <c r="CC138" s="81">
        <v>1</v>
      </c>
      <c r="CD138" s="81">
        <v>0</v>
      </c>
      <c r="CE138" s="81">
        <v>1</v>
      </c>
      <c r="CF138" s="81">
        <v>1</v>
      </c>
      <c r="CG138" s="81">
        <v>0</v>
      </c>
      <c r="CH138" s="81">
        <v>0</v>
      </c>
      <c r="CI138" s="81">
        <v>1</v>
      </c>
      <c r="CJ138" s="81">
        <v>1</v>
      </c>
      <c r="CK138" s="81">
        <v>1</v>
      </c>
      <c r="CL138" s="81">
        <v>0</v>
      </c>
      <c r="CM138" s="81">
        <v>1</v>
      </c>
      <c r="CN138" s="81">
        <v>1</v>
      </c>
      <c r="CO138" s="81" t="s">
        <v>786</v>
      </c>
    </row>
    <row r="139" spans="1:93" ht="11.55" customHeight="1" x14ac:dyDescent="0.3">
      <c r="A139" s="81" t="s">
        <v>789</v>
      </c>
      <c r="B139" s="81" t="s">
        <v>790</v>
      </c>
      <c r="C139" s="81" t="s">
        <v>409</v>
      </c>
      <c r="D139" s="94">
        <v>14</v>
      </c>
      <c r="E139" s="81">
        <v>0</v>
      </c>
      <c r="F139" s="81">
        <v>0</v>
      </c>
      <c r="G139" s="81">
        <v>0</v>
      </c>
      <c r="H139" s="81">
        <v>1</v>
      </c>
      <c r="I139" s="81">
        <v>0</v>
      </c>
      <c r="J139" s="81">
        <v>0</v>
      </c>
      <c r="K139" s="81">
        <v>0</v>
      </c>
      <c r="L139" s="81">
        <v>0</v>
      </c>
      <c r="M139" s="81">
        <v>0</v>
      </c>
      <c r="N139" s="81">
        <v>1</v>
      </c>
      <c r="O139" s="81">
        <v>0</v>
      </c>
      <c r="P139" s="81">
        <v>0</v>
      </c>
      <c r="Q139" s="81">
        <v>0</v>
      </c>
      <c r="R139" s="81">
        <v>0</v>
      </c>
      <c r="S139" s="81">
        <v>0</v>
      </c>
      <c r="T139" s="81">
        <v>1</v>
      </c>
      <c r="U139" s="81">
        <v>0</v>
      </c>
      <c r="V139" s="81">
        <v>0</v>
      </c>
      <c r="W139" s="81">
        <v>0</v>
      </c>
      <c r="X139" s="81">
        <v>0</v>
      </c>
      <c r="Y139" s="81">
        <v>0</v>
      </c>
      <c r="Z139" s="81">
        <v>1</v>
      </c>
      <c r="AA139" s="81">
        <v>0</v>
      </c>
      <c r="AB139" s="81">
        <v>0</v>
      </c>
      <c r="AC139" s="81">
        <v>0</v>
      </c>
      <c r="AD139" s="81">
        <v>0</v>
      </c>
      <c r="AE139" s="81">
        <v>0</v>
      </c>
      <c r="AF139" s="81">
        <v>0</v>
      </c>
      <c r="AG139" s="81">
        <v>0</v>
      </c>
      <c r="AH139" s="81">
        <v>0</v>
      </c>
      <c r="AI139" s="81">
        <v>0</v>
      </c>
      <c r="AJ139" s="81">
        <v>0</v>
      </c>
      <c r="AK139" s="81">
        <v>0</v>
      </c>
      <c r="AL139" s="81">
        <v>0</v>
      </c>
      <c r="AM139" s="81">
        <v>0</v>
      </c>
      <c r="AN139" s="81">
        <v>0</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0</v>
      </c>
      <c r="BD139" s="81">
        <v>0</v>
      </c>
      <c r="BE139" s="81">
        <v>1</v>
      </c>
      <c r="BF139" s="81">
        <v>0</v>
      </c>
      <c r="BG139" s="81">
        <v>1</v>
      </c>
      <c r="BH139" s="81">
        <v>0</v>
      </c>
      <c r="BI139" s="81">
        <v>0</v>
      </c>
      <c r="BJ139" s="81">
        <v>1</v>
      </c>
      <c r="BK139" s="81">
        <v>0</v>
      </c>
      <c r="BL139" s="81">
        <v>0</v>
      </c>
      <c r="BM139" s="81">
        <v>1</v>
      </c>
      <c r="BN139" s="81">
        <v>0</v>
      </c>
      <c r="BO139" s="81">
        <v>1</v>
      </c>
      <c r="BP139" s="81">
        <v>0</v>
      </c>
      <c r="BQ139" s="81">
        <v>1</v>
      </c>
      <c r="BR139" s="81">
        <v>0</v>
      </c>
      <c r="BS139" s="81">
        <v>1</v>
      </c>
      <c r="BT139" s="81">
        <v>1</v>
      </c>
      <c r="BU139" s="81">
        <v>0</v>
      </c>
      <c r="BV139" s="81">
        <v>0</v>
      </c>
      <c r="BW139" s="81">
        <v>0</v>
      </c>
      <c r="BX139" s="81">
        <v>0</v>
      </c>
      <c r="BY139" s="81">
        <v>0</v>
      </c>
      <c r="BZ139" s="81">
        <v>0</v>
      </c>
      <c r="CA139" s="81">
        <v>0</v>
      </c>
      <c r="CB139" s="81">
        <v>1</v>
      </c>
      <c r="CC139" s="81">
        <v>1</v>
      </c>
      <c r="CD139" s="81">
        <v>0</v>
      </c>
      <c r="CE139" s="81">
        <v>1</v>
      </c>
      <c r="CF139" s="81">
        <v>1</v>
      </c>
      <c r="CG139" s="81">
        <v>0</v>
      </c>
      <c r="CH139" s="81">
        <v>0</v>
      </c>
      <c r="CI139" s="81">
        <v>1</v>
      </c>
      <c r="CJ139" s="81">
        <v>1</v>
      </c>
      <c r="CK139" s="81">
        <v>1</v>
      </c>
      <c r="CL139" s="81">
        <v>0</v>
      </c>
      <c r="CM139" s="81">
        <v>1</v>
      </c>
      <c r="CN139" s="81">
        <v>1</v>
      </c>
      <c r="CO139" s="81" t="s">
        <v>786</v>
      </c>
    </row>
    <row r="140" spans="1:93" ht="11.55" customHeight="1" x14ac:dyDescent="0.3">
      <c r="A140" s="81" t="s">
        <v>791</v>
      </c>
      <c r="B140" s="81" t="s">
        <v>792</v>
      </c>
      <c r="C140" s="81" t="s">
        <v>409</v>
      </c>
      <c r="D140" s="94">
        <v>14</v>
      </c>
      <c r="E140" s="81">
        <v>0</v>
      </c>
      <c r="F140" s="81">
        <v>0</v>
      </c>
      <c r="G140" s="81">
        <v>0</v>
      </c>
      <c r="H140" s="81">
        <v>1</v>
      </c>
      <c r="I140" s="81">
        <v>0</v>
      </c>
      <c r="J140" s="81">
        <v>0</v>
      </c>
      <c r="K140" s="81">
        <v>0</v>
      </c>
      <c r="L140" s="81">
        <v>0</v>
      </c>
      <c r="M140" s="81">
        <v>0</v>
      </c>
      <c r="N140" s="81">
        <v>1</v>
      </c>
      <c r="O140" s="81">
        <v>0</v>
      </c>
      <c r="P140" s="81">
        <v>0</v>
      </c>
      <c r="Q140" s="81">
        <v>0</v>
      </c>
      <c r="R140" s="81">
        <v>0</v>
      </c>
      <c r="S140" s="81">
        <v>0</v>
      </c>
      <c r="T140" s="81">
        <v>1</v>
      </c>
      <c r="U140" s="81">
        <v>0</v>
      </c>
      <c r="V140" s="81">
        <v>0</v>
      </c>
      <c r="W140" s="81">
        <v>0</v>
      </c>
      <c r="X140" s="81">
        <v>0</v>
      </c>
      <c r="Y140" s="81">
        <v>0</v>
      </c>
      <c r="Z140" s="81">
        <v>1</v>
      </c>
      <c r="AA140" s="81">
        <v>0</v>
      </c>
      <c r="AB140" s="81">
        <v>0</v>
      </c>
      <c r="AC140" s="81">
        <v>0</v>
      </c>
      <c r="AD140" s="81">
        <v>0</v>
      </c>
      <c r="AE140" s="81">
        <v>0</v>
      </c>
      <c r="AF140" s="81">
        <v>0</v>
      </c>
      <c r="AG140" s="81">
        <v>0</v>
      </c>
      <c r="AH140" s="81">
        <v>0</v>
      </c>
      <c r="AI140" s="81">
        <v>0</v>
      </c>
      <c r="AJ140" s="81">
        <v>0</v>
      </c>
      <c r="AK140" s="81">
        <v>0</v>
      </c>
      <c r="AL140" s="81">
        <v>0</v>
      </c>
      <c r="AM140" s="81">
        <v>0</v>
      </c>
      <c r="AN140" s="81">
        <v>0</v>
      </c>
      <c r="AO140" s="81">
        <v>0</v>
      </c>
      <c r="AP140" s="81">
        <v>0</v>
      </c>
      <c r="AQ140" s="81">
        <v>0</v>
      </c>
      <c r="AR140" s="81">
        <v>0</v>
      </c>
      <c r="AS140" s="81">
        <v>0</v>
      </c>
      <c r="AT140" s="81">
        <v>0</v>
      </c>
      <c r="AU140" s="81">
        <v>0</v>
      </c>
      <c r="AV140" s="81">
        <v>0</v>
      </c>
      <c r="AW140" s="81">
        <v>0</v>
      </c>
      <c r="AX140" s="81">
        <v>0</v>
      </c>
      <c r="AY140" s="81">
        <v>0</v>
      </c>
      <c r="AZ140" s="81">
        <v>0</v>
      </c>
      <c r="BA140" s="81">
        <v>0</v>
      </c>
      <c r="BB140" s="81">
        <v>0</v>
      </c>
      <c r="BC140" s="81">
        <v>0</v>
      </c>
      <c r="BD140" s="81">
        <v>0</v>
      </c>
      <c r="BE140" s="81">
        <v>1</v>
      </c>
      <c r="BF140" s="81">
        <v>0</v>
      </c>
      <c r="BG140" s="81">
        <v>1</v>
      </c>
      <c r="BH140" s="81">
        <v>0</v>
      </c>
      <c r="BI140" s="81">
        <v>0</v>
      </c>
      <c r="BJ140" s="81">
        <v>1</v>
      </c>
      <c r="BK140" s="81">
        <v>0</v>
      </c>
      <c r="BL140" s="81">
        <v>0</v>
      </c>
      <c r="BM140" s="81">
        <v>1</v>
      </c>
      <c r="BN140" s="81">
        <v>0</v>
      </c>
      <c r="BO140" s="81">
        <v>1</v>
      </c>
      <c r="BP140" s="81">
        <v>0</v>
      </c>
      <c r="BQ140" s="81">
        <v>1</v>
      </c>
      <c r="BR140" s="81">
        <v>0</v>
      </c>
      <c r="BS140" s="81">
        <v>1</v>
      </c>
      <c r="BT140" s="81">
        <v>1</v>
      </c>
      <c r="BU140" s="81">
        <v>0</v>
      </c>
      <c r="BV140" s="81">
        <v>0</v>
      </c>
      <c r="BW140" s="81">
        <v>0</v>
      </c>
      <c r="BX140" s="81">
        <v>0</v>
      </c>
      <c r="BY140" s="81">
        <v>0</v>
      </c>
      <c r="BZ140" s="81">
        <v>0</v>
      </c>
      <c r="CA140" s="81">
        <v>0</v>
      </c>
      <c r="CB140" s="81">
        <v>1</v>
      </c>
      <c r="CC140" s="81">
        <v>1</v>
      </c>
      <c r="CD140" s="81">
        <v>0</v>
      </c>
      <c r="CE140" s="81">
        <v>1</v>
      </c>
      <c r="CF140" s="81">
        <v>1</v>
      </c>
      <c r="CG140" s="81">
        <v>0</v>
      </c>
      <c r="CH140" s="81">
        <v>0</v>
      </c>
      <c r="CI140" s="81">
        <v>1</v>
      </c>
      <c r="CJ140" s="81">
        <v>1</v>
      </c>
      <c r="CK140" s="81">
        <v>1</v>
      </c>
      <c r="CL140" s="81">
        <v>0</v>
      </c>
      <c r="CM140" s="81">
        <v>1</v>
      </c>
      <c r="CN140" s="81">
        <v>1</v>
      </c>
      <c r="CO140" s="81" t="s">
        <v>786</v>
      </c>
    </row>
    <row r="141" spans="1:93" ht="11.55" customHeight="1" x14ac:dyDescent="0.3">
      <c r="A141" s="81" t="s">
        <v>793</v>
      </c>
      <c r="B141" s="81" t="s">
        <v>794</v>
      </c>
      <c r="C141" s="81" t="s">
        <v>409</v>
      </c>
      <c r="D141" s="94">
        <v>14</v>
      </c>
      <c r="E141" s="81">
        <v>0</v>
      </c>
      <c r="F141" s="81">
        <v>0</v>
      </c>
      <c r="G141" s="81">
        <v>0</v>
      </c>
      <c r="H141" s="81">
        <v>1</v>
      </c>
      <c r="I141" s="81">
        <v>0</v>
      </c>
      <c r="J141" s="81">
        <v>0</v>
      </c>
      <c r="K141" s="81">
        <v>0</v>
      </c>
      <c r="L141" s="81">
        <v>0</v>
      </c>
      <c r="M141" s="81">
        <v>0</v>
      </c>
      <c r="N141" s="81">
        <v>1</v>
      </c>
      <c r="O141" s="81">
        <v>0</v>
      </c>
      <c r="P141" s="81">
        <v>0</v>
      </c>
      <c r="Q141" s="81">
        <v>0</v>
      </c>
      <c r="R141" s="81">
        <v>0</v>
      </c>
      <c r="S141" s="81">
        <v>0</v>
      </c>
      <c r="T141" s="81">
        <v>1</v>
      </c>
      <c r="U141" s="81">
        <v>0</v>
      </c>
      <c r="V141" s="81">
        <v>0</v>
      </c>
      <c r="W141" s="81">
        <v>0</v>
      </c>
      <c r="X141" s="81">
        <v>0</v>
      </c>
      <c r="Y141" s="81">
        <v>0</v>
      </c>
      <c r="Z141" s="81">
        <v>1</v>
      </c>
      <c r="AA141" s="81">
        <v>0</v>
      </c>
      <c r="AB141" s="81">
        <v>0</v>
      </c>
      <c r="AC141" s="81">
        <v>0</v>
      </c>
      <c r="AD141" s="81">
        <v>0</v>
      </c>
      <c r="AE141" s="81">
        <v>0</v>
      </c>
      <c r="AF141" s="81">
        <v>0</v>
      </c>
      <c r="AG141" s="81">
        <v>0</v>
      </c>
      <c r="AH141" s="81">
        <v>0</v>
      </c>
      <c r="AI141" s="81">
        <v>0</v>
      </c>
      <c r="AJ141" s="81">
        <v>0</v>
      </c>
      <c r="AK141" s="81">
        <v>0</v>
      </c>
      <c r="AL141" s="81">
        <v>0</v>
      </c>
      <c r="AM141" s="81">
        <v>0</v>
      </c>
      <c r="AN141" s="81">
        <v>0</v>
      </c>
      <c r="AO141" s="81">
        <v>0</v>
      </c>
      <c r="AP141" s="81">
        <v>0</v>
      </c>
      <c r="AQ141" s="81">
        <v>0</v>
      </c>
      <c r="AR141" s="81">
        <v>0</v>
      </c>
      <c r="AS141" s="81">
        <v>0</v>
      </c>
      <c r="AT141" s="81">
        <v>0</v>
      </c>
      <c r="AU141" s="81">
        <v>0</v>
      </c>
      <c r="AV141" s="81">
        <v>0</v>
      </c>
      <c r="AW141" s="81">
        <v>0</v>
      </c>
      <c r="AX141" s="81">
        <v>0</v>
      </c>
      <c r="AY141" s="81">
        <v>0</v>
      </c>
      <c r="AZ141" s="81">
        <v>0</v>
      </c>
      <c r="BA141" s="81">
        <v>0</v>
      </c>
      <c r="BB141" s="81">
        <v>0</v>
      </c>
      <c r="BC141" s="81">
        <v>0</v>
      </c>
      <c r="BD141" s="81">
        <v>0</v>
      </c>
      <c r="BE141" s="81">
        <v>1</v>
      </c>
      <c r="BF141" s="81">
        <v>0</v>
      </c>
      <c r="BG141" s="81">
        <v>1</v>
      </c>
      <c r="BH141" s="81">
        <v>0</v>
      </c>
      <c r="BI141" s="81">
        <v>0</v>
      </c>
      <c r="BJ141" s="81">
        <v>1</v>
      </c>
      <c r="BK141" s="81">
        <v>0</v>
      </c>
      <c r="BL141" s="81">
        <v>0</v>
      </c>
      <c r="BM141" s="81">
        <v>1</v>
      </c>
      <c r="BN141" s="81">
        <v>0</v>
      </c>
      <c r="BO141" s="81">
        <v>1</v>
      </c>
      <c r="BP141" s="81">
        <v>0</v>
      </c>
      <c r="BQ141" s="81">
        <v>1</v>
      </c>
      <c r="BR141" s="81">
        <v>0</v>
      </c>
      <c r="BS141" s="81">
        <v>1</v>
      </c>
      <c r="BT141" s="81">
        <v>1</v>
      </c>
      <c r="BU141" s="81">
        <v>0</v>
      </c>
      <c r="BV141" s="81">
        <v>0</v>
      </c>
      <c r="BW141" s="81">
        <v>0</v>
      </c>
      <c r="BX141" s="81">
        <v>0</v>
      </c>
      <c r="BY141" s="81">
        <v>0</v>
      </c>
      <c r="BZ141" s="81">
        <v>0</v>
      </c>
      <c r="CA141" s="81">
        <v>0</v>
      </c>
      <c r="CB141" s="81">
        <v>1</v>
      </c>
      <c r="CC141" s="81">
        <v>1</v>
      </c>
      <c r="CD141" s="81">
        <v>0</v>
      </c>
      <c r="CE141" s="81">
        <v>1</v>
      </c>
      <c r="CF141" s="81">
        <v>1</v>
      </c>
      <c r="CG141" s="81">
        <v>0</v>
      </c>
      <c r="CH141" s="81">
        <v>0</v>
      </c>
      <c r="CI141" s="81">
        <v>1</v>
      </c>
      <c r="CJ141" s="81">
        <v>1</v>
      </c>
      <c r="CK141" s="81">
        <v>1</v>
      </c>
      <c r="CL141" s="81">
        <v>0</v>
      </c>
      <c r="CM141" s="81">
        <v>1</v>
      </c>
      <c r="CN141" s="81">
        <v>1</v>
      </c>
      <c r="CO141" s="81" t="s">
        <v>786</v>
      </c>
    </row>
    <row r="142" spans="1:93" ht="11.55" customHeight="1" x14ac:dyDescent="0.3">
      <c r="A142" s="81" t="s">
        <v>795</v>
      </c>
      <c r="B142" s="81" t="s">
        <v>796</v>
      </c>
      <c r="C142" s="81" t="s">
        <v>409</v>
      </c>
      <c r="D142" s="94">
        <v>14</v>
      </c>
      <c r="E142" s="81">
        <v>0</v>
      </c>
      <c r="F142" s="81">
        <v>0</v>
      </c>
      <c r="G142" s="81">
        <v>0</v>
      </c>
      <c r="H142" s="81">
        <v>1</v>
      </c>
      <c r="I142" s="81">
        <v>0</v>
      </c>
      <c r="J142" s="81">
        <v>0</v>
      </c>
      <c r="K142" s="81">
        <v>0</v>
      </c>
      <c r="L142" s="81">
        <v>0</v>
      </c>
      <c r="M142" s="81">
        <v>0</v>
      </c>
      <c r="N142" s="81">
        <v>1</v>
      </c>
      <c r="O142" s="81">
        <v>0</v>
      </c>
      <c r="P142" s="81">
        <v>0</v>
      </c>
      <c r="Q142" s="81">
        <v>0</v>
      </c>
      <c r="R142" s="81">
        <v>0</v>
      </c>
      <c r="S142" s="81">
        <v>0</v>
      </c>
      <c r="T142" s="81">
        <v>1</v>
      </c>
      <c r="U142" s="81">
        <v>0</v>
      </c>
      <c r="V142" s="81">
        <v>0</v>
      </c>
      <c r="W142" s="81">
        <v>0</v>
      </c>
      <c r="X142" s="81">
        <v>0</v>
      </c>
      <c r="Y142" s="81">
        <v>0</v>
      </c>
      <c r="Z142" s="81">
        <v>1</v>
      </c>
      <c r="AA142" s="81">
        <v>0</v>
      </c>
      <c r="AB142" s="81">
        <v>0</v>
      </c>
      <c r="AC142" s="81">
        <v>0</v>
      </c>
      <c r="AD142" s="81">
        <v>0</v>
      </c>
      <c r="AE142" s="81">
        <v>0</v>
      </c>
      <c r="AF142" s="81">
        <v>0</v>
      </c>
      <c r="AG142" s="81">
        <v>0</v>
      </c>
      <c r="AH142" s="81">
        <v>0</v>
      </c>
      <c r="AI142" s="81">
        <v>0</v>
      </c>
      <c r="AJ142" s="81">
        <v>0</v>
      </c>
      <c r="AK142" s="81">
        <v>0</v>
      </c>
      <c r="AL142" s="81">
        <v>0</v>
      </c>
      <c r="AM142" s="81">
        <v>0</v>
      </c>
      <c r="AN142" s="81">
        <v>0</v>
      </c>
      <c r="AO142" s="81">
        <v>0</v>
      </c>
      <c r="AP142" s="81">
        <v>0</v>
      </c>
      <c r="AQ142" s="81">
        <v>0</v>
      </c>
      <c r="AR142" s="81">
        <v>0</v>
      </c>
      <c r="AS142" s="81">
        <v>0</v>
      </c>
      <c r="AT142" s="81">
        <v>0</v>
      </c>
      <c r="AU142" s="81">
        <v>0</v>
      </c>
      <c r="AV142" s="81">
        <v>0</v>
      </c>
      <c r="AW142" s="81">
        <v>0</v>
      </c>
      <c r="AX142" s="81">
        <v>0</v>
      </c>
      <c r="AY142" s="81">
        <v>0</v>
      </c>
      <c r="AZ142" s="81">
        <v>0</v>
      </c>
      <c r="BA142" s="81">
        <v>0</v>
      </c>
      <c r="BB142" s="81">
        <v>0</v>
      </c>
      <c r="BC142" s="81">
        <v>0</v>
      </c>
      <c r="BD142" s="81">
        <v>0</v>
      </c>
      <c r="BE142" s="81">
        <v>1</v>
      </c>
      <c r="BF142" s="81">
        <v>0</v>
      </c>
      <c r="BG142" s="81">
        <v>1</v>
      </c>
      <c r="BH142" s="81">
        <v>0</v>
      </c>
      <c r="BI142" s="81">
        <v>0</v>
      </c>
      <c r="BJ142" s="81">
        <v>1</v>
      </c>
      <c r="BK142" s="81">
        <v>0</v>
      </c>
      <c r="BL142" s="81">
        <v>0</v>
      </c>
      <c r="BM142" s="81">
        <v>1</v>
      </c>
      <c r="BN142" s="81">
        <v>0</v>
      </c>
      <c r="BO142" s="81">
        <v>1</v>
      </c>
      <c r="BP142" s="81">
        <v>0</v>
      </c>
      <c r="BQ142" s="81">
        <v>1</v>
      </c>
      <c r="BR142" s="81">
        <v>0</v>
      </c>
      <c r="BS142" s="81">
        <v>1</v>
      </c>
      <c r="BT142" s="81">
        <v>1</v>
      </c>
      <c r="BU142" s="81">
        <v>0</v>
      </c>
      <c r="BV142" s="81">
        <v>0</v>
      </c>
      <c r="BW142" s="81">
        <v>0</v>
      </c>
      <c r="BX142" s="81">
        <v>0</v>
      </c>
      <c r="BY142" s="81">
        <v>0</v>
      </c>
      <c r="BZ142" s="81">
        <v>0</v>
      </c>
      <c r="CA142" s="81">
        <v>0</v>
      </c>
      <c r="CB142" s="81">
        <v>1</v>
      </c>
      <c r="CC142" s="81">
        <v>1</v>
      </c>
      <c r="CD142" s="81">
        <v>0</v>
      </c>
      <c r="CE142" s="81">
        <v>1</v>
      </c>
      <c r="CF142" s="81">
        <v>1</v>
      </c>
      <c r="CG142" s="81">
        <v>0</v>
      </c>
      <c r="CH142" s="81">
        <v>0</v>
      </c>
      <c r="CI142" s="81">
        <v>1</v>
      </c>
      <c r="CJ142" s="81">
        <v>1</v>
      </c>
      <c r="CK142" s="81">
        <v>1</v>
      </c>
      <c r="CL142" s="81">
        <v>0</v>
      </c>
      <c r="CM142" s="81">
        <v>1</v>
      </c>
      <c r="CN142" s="81">
        <v>1</v>
      </c>
      <c r="CO142" s="81" t="s">
        <v>786</v>
      </c>
    </row>
    <row r="143" spans="1:93" ht="11.55" customHeight="1" x14ac:dyDescent="0.3">
      <c r="A143" s="81" t="s">
        <v>797</v>
      </c>
      <c r="B143" s="81" t="s">
        <v>798</v>
      </c>
      <c r="C143" s="81" t="s">
        <v>409</v>
      </c>
      <c r="D143" s="94">
        <v>14</v>
      </c>
      <c r="E143" s="81">
        <v>0</v>
      </c>
      <c r="F143" s="81">
        <v>0</v>
      </c>
      <c r="G143" s="81">
        <v>0</v>
      </c>
      <c r="H143" s="81">
        <v>1</v>
      </c>
      <c r="I143" s="81">
        <v>0</v>
      </c>
      <c r="J143" s="81">
        <v>0</v>
      </c>
      <c r="K143" s="81">
        <v>0</v>
      </c>
      <c r="L143" s="81">
        <v>0</v>
      </c>
      <c r="M143" s="81">
        <v>0</v>
      </c>
      <c r="N143" s="81">
        <v>1</v>
      </c>
      <c r="O143" s="81">
        <v>0</v>
      </c>
      <c r="P143" s="81">
        <v>0</v>
      </c>
      <c r="Q143" s="81">
        <v>0</v>
      </c>
      <c r="R143" s="81">
        <v>0</v>
      </c>
      <c r="S143" s="81">
        <v>0</v>
      </c>
      <c r="T143" s="81">
        <v>1</v>
      </c>
      <c r="U143" s="81">
        <v>0</v>
      </c>
      <c r="V143" s="81">
        <v>0</v>
      </c>
      <c r="W143" s="81">
        <v>0</v>
      </c>
      <c r="X143" s="81">
        <v>0</v>
      </c>
      <c r="Y143" s="81">
        <v>0</v>
      </c>
      <c r="Z143" s="81">
        <v>1</v>
      </c>
      <c r="AA143" s="81">
        <v>0</v>
      </c>
      <c r="AB143" s="81">
        <v>0</v>
      </c>
      <c r="AC143" s="81">
        <v>0</v>
      </c>
      <c r="AD143" s="81">
        <v>0</v>
      </c>
      <c r="AE143" s="81">
        <v>0</v>
      </c>
      <c r="AF143" s="81">
        <v>0</v>
      </c>
      <c r="AG143" s="81">
        <v>0</v>
      </c>
      <c r="AH143" s="81">
        <v>0</v>
      </c>
      <c r="AI143" s="81">
        <v>0</v>
      </c>
      <c r="AJ143" s="81">
        <v>0</v>
      </c>
      <c r="AK143" s="81">
        <v>0</v>
      </c>
      <c r="AL143" s="81">
        <v>0</v>
      </c>
      <c r="AM143" s="81">
        <v>0</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1</v>
      </c>
      <c r="BF143" s="81">
        <v>0</v>
      </c>
      <c r="BG143" s="81">
        <v>1</v>
      </c>
      <c r="BH143" s="81">
        <v>0</v>
      </c>
      <c r="BI143" s="81">
        <v>0</v>
      </c>
      <c r="BJ143" s="81">
        <v>1</v>
      </c>
      <c r="BK143" s="81">
        <v>0</v>
      </c>
      <c r="BL143" s="81">
        <v>0</v>
      </c>
      <c r="BM143" s="81">
        <v>1</v>
      </c>
      <c r="BN143" s="81">
        <v>0</v>
      </c>
      <c r="BO143" s="81">
        <v>1</v>
      </c>
      <c r="BP143" s="81">
        <v>0</v>
      </c>
      <c r="BQ143" s="81">
        <v>1</v>
      </c>
      <c r="BR143" s="81">
        <v>0</v>
      </c>
      <c r="BS143" s="81">
        <v>1</v>
      </c>
      <c r="BT143" s="81">
        <v>1</v>
      </c>
      <c r="BU143" s="81">
        <v>0</v>
      </c>
      <c r="BV143" s="81">
        <v>0</v>
      </c>
      <c r="BW143" s="81">
        <v>0</v>
      </c>
      <c r="BX143" s="81">
        <v>0</v>
      </c>
      <c r="BY143" s="81">
        <v>0</v>
      </c>
      <c r="BZ143" s="81">
        <v>0</v>
      </c>
      <c r="CA143" s="81">
        <v>0</v>
      </c>
      <c r="CB143" s="81">
        <v>1</v>
      </c>
      <c r="CC143" s="81">
        <v>1</v>
      </c>
      <c r="CD143" s="81">
        <v>0</v>
      </c>
      <c r="CE143" s="81">
        <v>1</v>
      </c>
      <c r="CF143" s="81">
        <v>1</v>
      </c>
      <c r="CG143" s="81">
        <v>0</v>
      </c>
      <c r="CH143" s="81">
        <v>0</v>
      </c>
      <c r="CI143" s="81">
        <v>1</v>
      </c>
      <c r="CJ143" s="81">
        <v>1</v>
      </c>
      <c r="CK143" s="81">
        <v>1</v>
      </c>
      <c r="CL143" s="81">
        <v>0</v>
      </c>
      <c r="CM143" s="81">
        <v>1</v>
      </c>
      <c r="CN143" s="81">
        <v>1</v>
      </c>
      <c r="CO143" s="81" t="s">
        <v>786</v>
      </c>
    </row>
    <row r="144" spans="1:93" ht="11.55" customHeight="1" x14ac:dyDescent="0.3">
      <c r="A144" s="81" t="s">
        <v>799</v>
      </c>
      <c r="B144" s="81" t="s">
        <v>800</v>
      </c>
      <c r="C144" s="81" t="s">
        <v>409</v>
      </c>
      <c r="D144" s="94">
        <v>14</v>
      </c>
      <c r="E144" s="81">
        <v>0</v>
      </c>
      <c r="F144" s="81">
        <v>0</v>
      </c>
      <c r="G144" s="81">
        <v>0</v>
      </c>
      <c r="H144" s="81">
        <v>1</v>
      </c>
      <c r="I144" s="81">
        <v>0</v>
      </c>
      <c r="J144" s="81">
        <v>0</v>
      </c>
      <c r="K144" s="81">
        <v>0</v>
      </c>
      <c r="L144" s="81">
        <v>0</v>
      </c>
      <c r="M144" s="81">
        <v>0</v>
      </c>
      <c r="N144" s="81">
        <v>1</v>
      </c>
      <c r="O144" s="81">
        <v>0</v>
      </c>
      <c r="P144" s="81">
        <v>0</v>
      </c>
      <c r="Q144" s="81">
        <v>0</v>
      </c>
      <c r="R144" s="81">
        <v>0</v>
      </c>
      <c r="S144" s="81">
        <v>0</v>
      </c>
      <c r="T144" s="81">
        <v>1</v>
      </c>
      <c r="U144" s="81">
        <v>0</v>
      </c>
      <c r="V144" s="81">
        <v>0</v>
      </c>
      <c r="W144" s="81">
        <v>0</v>
      </c>
      <c r="X144" s="81">
        <v>0</v>
      </c>
      <c r="Y144" s="81">
        <v>0</v>
      </c>
      <c r="Z144" s="81">
        <v>1</v>
      </c>
      <c r="AA144" s="81">
        <v>0</v>
      </c>
      <c r="AB144" s="81">
        <v>0</v>
      </c>
      <c r="AC144" s="81">
        <v>0</v>
      </c>
      <c r="AD144" s="81">
        <v>0</v>
      </c>
      <c r="AE144" s="81">
        <v>0</v>
      </c>
      <c r="AF144" s="81">
        <v>0</v>
      </c>
      <c r="AG144" s="81">
        <v>0</v>
      </c>
      <c r="AH144" s="81">
        <v>0</v>
      </c>
      <c r="AI144" s="81">
        <v>0</v>
      </c>
      <c r="AJ144" s="81">
        <v>0</v>
      </c>
      <c r="AK144" s="81">
        <v>0</v>
      </c>
      <c r="AL144" s="81">
        <v>0</v>
      </c>
      <c r="AM144" s="81">
        <v>0</v>
      </c>
      <c r="AN144" s="81">
        <v>0</v>
      </c>
      <c r="AO144" s="81">
        <v>0</v>
      </c>
      <c r="AP144" s="81">
        <v>0</v>
      </c>
      <c r="AQ144" s="81">
        <v>0</v>
      </c>
      <c r="AR144" s="81">
        <v>0</v>
      </c>
      <c r="AS144" s="81">
        <v>0</v>
      </c>
      <c r="AT144" s="81">
        <v>0</v>
      </c>
      <c r="AU144" s="81">
        <v>0</v>
      </c>
      <c r="AV144" s="81">
        <v>0</v>
      </c>
      <c r="AW144" s="81">
        <v>0</v>
      </c>
      <c r="AX144" s="81">
        <v>0</v>
      </c>
      <c r="AY144" s="81">
        <v>0</v>
      </c>
      <c r="AZ144" s="81">
        <v>0</v>
      </c>
      <c r="BA144" s="81">
        <v>0</v>
      </c>
      <c r="BB144" s="81">
        <v>0</v>
      </c>
      <c r="BC144" s="81">
        <v>0</v>
      </c>
      <c r="BD144" s="81">
        <v>0</v>
      </c>
      <c r="BE144" s="81">
        <v>1</v>
      </c>
      <c r="BF144" s="81">
        <v>0</v>
      </c>
      <c r="BG144" s="81">
        <v>1</v>
      </c>
      <c r="BH144" s="81">
        <v>0</v>
      </c>
      <c r="BI144" s="81">
        <v>0</v>
      </c>
      <c r="BJ144" s="81">
        <v>1</v>
      </c>
      <c r="BK144" s="81">
        <v>0</v>
      </c>
      <c r="BL144" s="81">
        <v>0</v>
      </c>
      <c r="BM144" s="81">
        <v>1</v>
      </c>
      <c r="BN144" s="81">
        <v>0</v>
      </c>
      <c r="BO144" s="81">
        <v>1</v>
      </c>
      <c r="BP144" s="81">
        <v>0</v>
      </c>
      <c r="BQ144" s="81">
        <v>1</v>
      </c>
      <c r="BR144" s="81">
        <v>0</v>
      </c>
      <c r="BS144" s="81">
        <v>1</v>
      </c>
      <c r="BT144" s="81">
        <v>1</v>
      </c>
      <c r="BU144" s="81">
        <v>0</v>
      </c>
      <c r="BV144" s="81">
        <v>0</v>
      </c>
      <c r="BW144" s="81">
        <v>0</v>
      </c>
      <c r="BX144" s="81">
        <v>0</v>
      </c>
      <c r="BY144" s="81">
        <v>0</v>
      </c>
      <c r="BZ144" s="81">
        <v>0</v>
      </c>
      <c r="CA144" s="81">
        <v>0</v>
      </c>
      <c r="CB144" s="81">
        <v>1</v>
      </c>
      <c r="CC144" s="81">
        <v>1</v>
      </c>
      <c r="CD144" s="81">
        <v>0</v>
      </c>
      <c r="CE144" s="81">
        <v>1</v>
      </c>
      <c r="CF144" s="81">
        <v>1</v>
      </c>
      <c r="CG144" s="81">
        <v>0</v>
      </c>
      <c r="CH144" s="81">
        <v>0</v>
      </c>
      <c r="CI144" s="81">
        <v>1</v>
      </c>
      <c r="CJ144" s="81">
        <v>1</v>
      </c>
      <c r="CK144" s="81">
        <v>1</v>
      </c>
      <c r="CL144" s="81">
        <v>0</v>
      </c>
      <c r="CM144" s="81">
        <v>1</v>
      </c>
      <c r="CN144" s="81">
        <v>1</v>
      </c>
      <c r="CO144" s="81" t="s">
        <v>786</v>
      </c>
    </row>
    <row r="145" spans="1:93" ht="11.55" customHeight="1" x14ac:dyDescent="0.3">
      <c r="A145" s="81" t="s">
        <v>801</v>
      </c>
      <c r="B145" s="81" t="s">
        <v>802</v>
      </c>
      <c r="C145" s="81" t="s">
        <v>409</v>
      </c>
      <c r="D145" s="94">
        <v>14</v>
      </c>
      <c r="E145" s="81">
        <v>0</v>
      </c>
      <c r="F145" s="81">
        <v>0</v>
      </c>
      <c r="G145" s="81">
        <v>0</v>
      </c>
      <c r="H145" s="81">
        <v>1</v>
      </c>
      <c r="I145" s="81">
        <v>0</v>
      </c>
      <c r="J145" s="81">
        <v>0</v>
      </c>
      <c r="K145" s="81">
        <v>0</v>
      </c>
      <c r="L145" s="81">
        <v>0</v>
      </c>
      <c r="M145" s="81">
        <v>0</v>
      </c>
      <c r="N145" s="81">
        <v>1</v>
      </c>
      <c r="O145" s="81">
        <v>0</v>
      </c>
      <c r="P145" s="81">
        <v>0</v>
      </c>
      <c r="Q145" s="81">
        <v>0</v>
      </c>
      <c r="R145" s="81">
        <v>0</v>
      </c>
      <c r="S145" s="81">
        <v>0</v>
      </c>
      <c r="T145" s="81">
        <v>1</v>
      </c>
      <c r="U145" s="81">
        <v>0</v>
      </c>
      <c r="V145" s="81">
        <v>0</v>
      </c>
      <c r="W145" s="81">
        <v>0</v>
      </c>
      <c r="X145" s="81">
        <v>0</v>
      </c>
      <c r="Y145" s="81">
        <v>0</v>
      </c>
      <c r="Z145" s="81">
        <v>1</v>
      </c>
      <c r="AA145" s="81">
        <v>0</v>
      </c>
      <c r="AB145" s="81">
        <v>0</v>
      </c>
      <c r="AC145" s="81">
        <v>0</v>
      </c>
      <c r="AD145" s="81">
        <v>0</v>
      </c>
      <c r="AE145" s="81">
        <v>0</v>
      </c>
      <c r="AF145" s="81">
        <v>0</v>
      </c>
      <c r="AG145" s="81">
        <v>0</v>
      </c>
      <c r="AH145" s="81">
        <v>0</v>
      </c>
      <c r="AI145" s="81">
        <v>0</v>
      </c>
      <c r="AJ145" s="81">
        <v>0</v>
      </c>
      <c r="AK145" s="81">
        <v>0</v>
      </c>
      <c r="AL145" s="81">
        <v>0</v>
      </c>
      <c r="AM145" s="81">
        <v>0</v>
      </c>
      <c r="AN145" s="81">
        <v>0</v>
      </c>
      <c r="AO145" s="81">
        <v>0</v>
      </c>
      <c r="AP145" s="81">
        <v>0</v>
      </c>
      <c r="AQ145" s="81">
        <v>0</v>
      </c>
      <c r="AR145" s="81">
        <v>0</v>
      </c>
      <c r="AS145" s="81">
        <v>0</v>
      </c>
      <c r="AT145" s="81">
        <v>0</v>
      </c>
      <c r="AU145" s="81">
        <v>0</v>
      </c>
      <c r="AV145" s="81">
        <v>0</v>
      </c>
      <c r="AW145" s="81">
        <v>0</v>
      </c>
      <c r="AX145" s="81">
        <v>0</v>
      </c>
      <c r="AY145" s="81">
        <v>0</v>
      </c>
      <c r="AZ145" s="81">
        <v>0</v>
      </c>
      <c r="BA145" s="81">
        <v>0</v>
      </c>
      <c r="BB145" s="81">
        <v>0</v>
      </c>
      <c r="BC145" s="81">
        <v>0</v>
      </c>
      <c r="BD145" s="81">
        <v>0</v>
      </c>
      <c r="BE145" s="81">
        <v>1</v>
      </c>
      <c r="BF145" s="81">
        <v>0</v>
      </c>
      <c r="BG145" s="81">
        <v>1</v>
      </c>
      <c r="BH145" s="81">
        <v>0</v>
      </c>
      <c r="BI145" s="81">
        <v>0</v>
      </c>
      <c r="BJ145" s="81">
        <v>1</v>
      </c>
      <c r="BK145" s="81">
        <v>0</v>
      </c>
      <c r="BL145" s="81">
        <v>0</v>
      </c>
      <c r="BM145" s="81">
        <v>1</v>
      </c>
      <c r="BN145" s="81">
        <v>0</v>
      </c>
      <c r="BO145" s="81">
        <v>1</v>
      </c>
      <c r="BP145" s="81">
        <v>0</v>
      </c>
      <c r="BQ145" s="81">
        <v>1</v>
      </c>
      <c r="BR145" s="81">
        <v>0</v>
      </c>
      <c r="BS145" s="81">
        <v>1</v>
      </c>
      <c r="BT145" s="81">
        <v>1</v>
      </c>
      <c r="BU145" s="81">
        <v>0</v>
      </c>
      <c r="BV145" s="81">
        <v>0</v>
      </c>
      <c r="BW145" s="81">
        <v>0</v>
      </c>
      <c r="BX145" s="81">
        <v>0</v>
      </c>
      <c r="BY145" s="81">
        <v>0</v>
      </c>
      <c r="BZ145" s="81">
        <v>0</v>
      </c>
      <c r="CA145" s="81">
        <v>0</v>
      </c>
      <c r="CB145" s="81">
        <v>1</v>
      </c>
      <c r="CC145" s="81">
        <v>1</v>
      </c>
      <c r="CD145" s="81">
        <v>0</v>
      </c>
      <c r="CE145" s="81">
        <v>1</v>
      </c>
      <c r="CF145" s="81">
        <v>1</v>
      </c>
      <c r="CG145" s="81">
        <v>0</v>
      </c>
      <c r="CH145" s="81">
        <v>0</v>
      </c>
      <c r="CI145" s="81">
        <v>1</v>
      </c>
      <c r="CJ145" s="81">
        <v>1</v>
      </c>
      <c r="CK145" s="81">
        <v>1</v>
      </c>
      <c r="CL145" s="81">
        <v>0</v>
      </c>
      <c r="CM145" s="81">
        <v>1</v>
      </c>
      <c r="CN145" s="81">
        <v>1</v>
      </c>
      <c r="CO145" s="81" t="s">
        <v>786</v>
      </c>
    </row>
    <row r="146" spans="1:93" ht="11.55" customHeight="1" x14ac:dyDescent="0.3">
      <c r="A146" s="81" t="s">
        <v>803</v>
      </c>
      <c r="B146" s="81" t="s">
        <v>804</v>
      </c>
      <c r="C146" s="81" t="s">
        <v>409</v>
      </c>
      <c r="D146" s="94">
        <v>14</v>
      </c>
      <c r="E146" s="81">
        <v>0</v>
      </c>
      <c r="F146" s="81">
        <v>0</v>
      </c>
      <c r="G146" s="81">
        <v>0</v>
      </c>
      <c r="H146" s="81">
        <v>1</v>
      </c>
      <c r="I146" s="81">
        <v>0</v>
      </c>
      <c r="J146" s="81">
        <v>0</v>
      </c>
      <c r="K146" s="81">
        <v>0</v>
      </c>
      <c r="L146" s="81">
        <v>0</v>
      </c>
      <c r="M146" s="81">
        <v>0</v>
      </c>
      <c r="N146" s="81">
        <v>1</v>
      </c>
      <c r="O146" s="81">
        <v>0</v>
      </c>
      <c r="P146" s="81">
        <v>0</v>
      </c>
      <c r="Q146" s="81">
        <v>0</v>
      </c>
      <c r="R146" s="81">
        <v>0</v>
      </c>
      <c r="S146" s="81">
        <v>0</v>
      </c>
      <c r="T146" s="81">
        <v>1</v>
      </c>
      <c r="U146" s="81">
        <v>0</v>
      </c>
      <c r="V146" s="81">
        <v>0</v>
      </c>
      <c r="W146" s="81">
        <v>0</v>
      </c>
      <c r="X146" s="81">
        <v>0</v>
      </c>
      <c r="Y146" s="81">
        <v>0</v>
      </c>
      <c r="Z146" s="81">
        <v>1</v>
      </c>
      <c r="AA146" s="81">
        <v>0</v>
      </c>
      <c r="AB146" s="81">
        <v>0</v>
      </c>
      <c r="AC146" s="81">
        <v>0</v>
      </c>
      <c r="AD146" s="81">
        <v>0</v>
      </c>
      <c r="AE146" s="81">
        <v>0</v>
      </c>
      <c r="AF146" s="81">
        <v>0</v>
      </c>
      <c r="AG146" s="81">
        <v>0</v>
      </c>
      <c r="AH146" s="81">
        <v>0</v>
      </c>
      <c r="AI146" s="81">
        <v>0</v>
      </c>
      <c r="AJ146" s="81">
        <v>0</v>
      </c>
      <c r="AK146" s="81">
        <v>0</v>
      </c>
      <c r="AL146" s="81">
        <v>0</v>
      </c>
      <c r="AM146" s="81">
        <v>0</v>
      </c>
      <c r="AN146" s="81">
        <v>0</v>
      </c>
      <c r="AO146" s="81">
        <v>0</v>
      </c>
      <c r="AP146" s="81">
        <v>0</v>
      </c>
      <c r="AQ146" s="81">
        <v>0</v>
      </c>
      <c r="AR146" s="81">
        <v>0</v>
      </c>
      <c r="AS146" s="81">
        <v>0</v>
      </c>
      <c r="AT146" s="81">
        <v>0</v>
      </c>
      <c r="AU146" s="81">
        <v>0</v>
      </c>
      <c r="AV146" s="81">
        <v>0</v>
      </c>
      <c r="AW146" s="81">
        <v>0</v>
      </c>
      <c r="AX146" s="81">
        <v>0</v>
      </c>
      <c r="AY146" s="81">
        <v>0</v>
      </c>
      <c r="AZ146" s="81">
        <v>0</v>
      </c>
      <c r="BA146" s="81">
        <v>0</v>
      </c>
      <c r="BB146" s="81">
        <v>0</v>
      </c>
      <c r="BC146" s="81">
        <v>0</v>
      </c>
      <c r="BD146" s="81">
        <v>0</v>
      </c>
      <c r="BE146" s="81">
        <v>1</v>
      </c>
      <c r="BF146" s="81">
        <v>0</v>
      </c>
      <c r="BG146" s="81">
        <v>1</v>
      </c>
      <c r="BH146" s="81">
        <v>0</v>
      </c>
      <c r="BI146" s="81">
        <v>0</v>
      </c>
      <c r="BJ146" s="81">
        <v>1</v>
      </c>
      <c r="BK146" s="81">
        <v>0</v>
      </c>
      <c r="BL146" s="81">
        <v>0</v>
      </c>
      <c r="BM146" s="81">
        <v>1</v>
      </c>
      <c r="BN146" s="81">
        <v>0</v>
      </c>
      <c r="BO146" s="81">
        <v>1</v>
      </c>
      <c r="BP146" s="81">
        <v>0</v>
      </c>
      <c r="BQ146" s="81">
        <v>1</v>
      </c>
      <c r="BR146" s="81">
        <v>0</v>
      </c>
      <c r="BS146" s="81">
        <v>1</v>
      </c>
      <c r="BT146" s="81">
        <v>1</v>
      </c>
      <c r="BU146" s="81">
        <v>0</v>
      </c>
      <c r="BV146" s="81">
        <v>0</v>
      </c>
      <c r="BW146" s="81">
        <v>0</v>
      </c>
      <c r="BX146" s="81">
        <v>0</v>
      </c>
      <c r="BY146" s="81">
        <v>0</v>
      </c>
      <c r="BZ146" s="81">
        <v>0</v>
      </c>
      <c r="CA146" s="81">
        <v>0</v>
      </c>
      <c r="CB146" s="81">
        <v>1</v>
      </c>
      <c r="CC146" s="81">
        <v>1</v>
      </c>
      <c r="CD146" s="81">
        <v>0</v>
      </c>
      <c r="CE146" s="81">
        <v>1</v>
      </c>
      <c r="CF146" s="81">
        <v>1</v>
      </c>
      <c r="CG146" s="81">
        <v>0</v>
      </c>
      <c r="CH146" s="81">
        <v>0</v>
      </c>
      <c r="CI146" s="81">
        <v>1</v>
      </c>
      <c r="CJ146" s="81">
        <v>1</v>
      </c>
      <c r="CK146" s="81">
        <v>1</v>
      </c>
      <c r="CL146" s="81">
        <v>0</v>
      </c>
      <c r="CM146" s="81">
        <v>1</v>
      </c>
      <c r="CN146" s="81">
        <v>1</v>
      </c>
      <c r="CO146" s="81" t="s">
        <v>786</v>
      </c>
    </row>
    <row r="147" spans="1:93" ht="11.55" customHeight="1" x14ac:dyDescent="0.3">
      <c r="A147" s="81" t="s">
        <v>805</v>
      </c>
      <c r="B147" s="81" t="s">
        <v>806</v>
      </c>
      <c r="C147" s="81" t="s">
        <v>398</v>
      </c>
      <c r="D147" s="94">
        <v>14</v>
      </c>
      <c r="E147" s="81">
        <v>0</v>
      </c>
      <c r="F147" s="81">
        <v>0</v>
      </c>
      <c r="G147" s="81">
        <v>0</v>
      </c>
      <c r="H147" s="81">
        <v>1</v>
      </c>
      <c r="I147" s="81">
        <v>0</v>
      </c>
      <c r="J147" s="81">
        <v>0</v>
      </c>
      <c r="K147" s="81">
        <v>0</v>
      </c>
      <c r="L147" s="81">
        <v>0</v>
      </c>
      <c r="M147" s="81">
        <v>0</v>
      </c>
      <c r="N147" s="81">
        <v>1</v>
      </c>
      <c r="O147" s="81">
        <v>0</v>
      </c>
      <c r="P147" s="81">
        <v>0</v>
      </c>
      <c r="Q147" s="81">
        <v>0</v>
      </c>
      <c r="R147" s="81">
        <v>0</v>
      </c>
      <c r="S147" s="81">
        <v>0</v>
      </c>
      <c r="T147" s="81">
        <v>1</v>
      </c>
      <c r="U147" s="81">
        <v>0</v>
      </c>
      <c r="V147" s="81">
        <v>0</v>
      </c>
      <c r="W147" s="81">
        <v>0</v>
      </c>
      <c r="X147" s="81">
        <v>0</v>
      </c>
      <c r="Y147" s="81">
        <v>0</v>
      </c>
      <c r="Z147" s="81">
        <v>1</v>
      </c>
      <c r="AA147" s="81">
        <v>0</v>
      </c>
      <c r="AB147" s="81">
        <v>0</v>
      </c>
      <c r="AC147" s="81">
        <v>0</v>
      </c>
      <c r="AD147" s="81">
        <v>0</v>
      </c>
      <c r="AE147" s="81">
        <v>0</v>
      </c>
      <c r="AF147" s="81">
        <v>0</v>
      </c>
      <c r="AG147" s="81">
        <v>0</v>
      </c>
      <c r="AH147" s="81">
        <v>0</v>
      </c>
      <c r="AI147" s="81">
        <v>0</v>
      </c>
      <c r="AJ147" s="81">
        <v>0</v>
      </c>
      <c r="AK147" s="81">
        <v>0</v>
      </c>
      <c r="AL147" s="81">
        <v>0</v>
      </c>
      <c r="AM147" s="81">
        <v>0</v>
      </c>
      <c r="AN147" s="81">
        <v>0</v>
      </c>
      <c r="AO147" s="81">
        <v>0</v>
      </c>
      <c r="AP147" s="81">
        <v>0</v>
      </c>
      <c r="AQ147" s="81">
        <v>0</v>
      </c>
      <c r="AR147" s="81">
        <v>0</v>
      </c>
      <c r="AS147" s="81">
        <v>0</v>
      </c>
      <c r="AT147" s="81">
        <v>0</v>
      </c>
      <c r="AU147" s="81">
        <v>0</v>
      </c>
      <c r="AV147" s="81">
        <v>0</v>
      </c>
      <c r="AW147" s="81">
        <v>0</v>
      </c>
      <c r="AX147" s="81">
        <v>0</v>
      </c>
      <c r="AY147" s="81">
        <v>0</v>
      </c>
      <c r="AZ147" s="81">
        <v>0</v>
      </c>
      <c r="BA147" s="81">
        <v>0</v>
      </c>
      <c r="BB147" s="81">
        <v>0</v>
      </c>
      <c r="BC147" s="81">
        <v>0</v>
      </c>
      <c r="BD147" s="81">
        <v>0</v>
      </c>
      <c r="BE147" s="81">
        <v>1</v>
      </c>
      <c r="BF147" s="81">
        <v>0</v>
      </c>
      <c r="BG147" s="81">
        <v>1</v>
      </c>
      <c r="BH147" s="81">
        <v>0</v>
      </c>
      <c r="BI147" s="81">
        <v>0</v>
      </c>
      <c r="BJ147" s="81">
        <v>1</v>
      </c>
      <c r="BK147" s="81">
        <v>0</v>
      </c>
      <c r="BL147" s="81">
        <v>0</v>
      </c>
      <c r="BM147" s="81">
        <v>1</v>
      </c>
      <c r="BN147" s="81">
        <v>0</v>
      </c>
      <c r="BO147" s="81">
        <v>1</v>
      </c>
      <c r="BP147" s="81">
        <v>0</v>
      </c>
      <c r="BQ147" s="81">
        <v>1</v>
      </c>
      <c r="BR147" s="81">
        <v>0</v>
      </c>
      <c r="BS147" s="81">
        <v>1</v>
      </c>
      <c r="BT147" s="81">
        <v>1</v>
      </c>
      <c r="BU147" s="81">
        <v>0</v>
      </c>
      <c r="BV147" s="81">
        <v>0</v>
      </c>
      <c r="BW147" s="81">
        <v>0</v>
      </c>
      <c r="BX147" s="81">
        <v>0</v>
      </c>
      <c r="BY147" s="81">
        <v>0</v>
      </c>
      <c r="BZ147" s="81">
        <v>0</v>
      </c>
      <c r="CA147" s="81">
        <v>0</v>
      </c>
      <c r="CB147" s="81">
        <v>1</v>
      </c>
      <c r="CC147" s="81">
        <v>1</v>
      </c>
      <c r="CD147" s="81">
        <v>0</v>
      </c>
      <c r="CE147" s="81">
        <v>1</v>
      </c>
      <c r="CF147" s="81">
        <v>1</v>
      </c>
      <c r="CG147" s="81">
        <v>0</v>
      </c>
      <c r="CH147" s="81">
        <v>0</v>
      </c>
      <c r="CI147" s="81">
        <v>1</v>
      </c>
      <c r="CJ147" s="81">
        <v>1</v>
      </c>
      <c r="CK147" s="81">
        <v>1</v>
      </c>
      <c r="CL147" s="81">
        <v>0</v>
      </c>
      <c r="CM147" s="81">
        <v>1</v>
      </c>
      <c r="CN147" s="81">
        <v>1</v>
      </c>
      <c r="CO147" s="81" t="s">
        <v>807</v>
      </c>
    </row>
    <row r="148" spans="1:93" ht="11.55" customHeight="1" x14ac:dyDescent="0.3">
      <c r="A148" s="81" t="s">
        <v>808</v>
      </c>
      <c r="B148" s="81" t="s">
        <v>809</v>
      </c>
      <c r="C148" s="81" t="s">
        <v>409</v>
      </c>
      <c r="D148" s="94">
        <v>14</v>
      </c>
      <c r="E148" s="81">
        <v>0</v>
      </c>
      <c r="F148" s="81">
        <v>0</v>
      </c>
      <c r="G148" s="81">
        <v>0</v>
      </c>
      <c r="H148" s="81">
        <v>1</v>
      </c>
      <c r="I148" s="81">
        <v>0</v>
      </c>
      <c r="J148" s="81">
        <v>0</v>
      </c>
      <c r="K148" s="81">
        <v>0</v>
      </c>
      <c r="L148" s="81">
        <v>0</v>
      </c>
      <c r="M148" s="81">
        <v>0</v>
      </c>
      <c r="N148" s="81">
        <v>1</v>
      </c>
      <c r="O148" s="81">
        <v>0</v>
      </c>
      <c r="P148" s="81">
        <v>0</v>
      </c>
      <c r="Q148" s="81">
        <v>0</v>
      </c>
      <c r="R148" s="81">
        <v>0</v>
      </c>
      <c r="S148" s="81">
        <v>0</v>
      </c>
      <c r="T148" s="81">
        <v>1</v>
      </c>
      <c r="U148" s="81">
        <v>0</v>
      </c>
      <c r="V148" s="81">
        <v>0</v>
      </c>
      <c r="W148" s="81">
        <v>0</v>
      </c>
      <c r="X148" s="81">
        <v>0</v>
      </c>
      <c r="Y148" s="81">
        <v>0</v>
      </c>
      <c r="Z148" s="81">
        <v>1</v>
      </c>
      <c r="AA148" s="81">
        <v>0</v>
      </c>
      <c r="AB148" s="81">
        <v>0</v>
      </c>
      <c r="AC148" s="81">
        <v>0</v>
      </c>
      <c r="AD148" s="81">
        <v>0</v>
      </c>
      <c r="AE148" s="81">
        <v>0</v>
      </c>
      <c r="AF148" s="81">
        <v>0</v>
      </c>
      <c r="AG148" s="81">
        <v>0</v>
      </c>
      <c r="AH148" s="81">
        <v>0</v>
      </c>
      <c r="AI148" s="81">
        <v>0</v>
      </c>
      <c r="AJ148" s="81">
        <v>0</v>
      </c>
      <c r="AK148" s="81">
        <v>0</v>
      </c>
      <c r="AL148" s="81">
        <v>0</v>
      </c>
      <c r="AM148" s="81">
        <v>0</v>
      </c>
      <c r="AN148" s="81">
        <v>0</v>
      </c>
      <c r="AO148" s="81">
        <v>0</v>
      </c>
      <c r="AP148" s="81">
        <v>0</v>
      </c>
      <c r="AQ148" s="81">
        <v>0</v>
      </c>
      <c r="AR148" s="81">
        <v>0</v>
      </c>
      <c r="AS148" s="81">
        <v>0</v>
      </c>
      <c r="AT148" s="81">
        <v>0</v>
      </c>
      <c r="AU148" s="81">
        <v>0</v>
      </c>
      <c r="AV148" s="81">
        <v>0</v>
      </c>
      <c r="AW148" s="81">
        <v>0</v>
      </c>
      <c r="AX148" s="81">
        <v>0</v>
      </c>
      <c r="AY148" s="81">
        <v>0</v>
      </c>
      <c r="AZ148" s="81">
        <v>0</v>
      </c>
      <c r="BA148" s="81">
        <v>0</v>
      </c>
      <c r="BB148" s="81">
        <v>0</v>
      </c>
      <c r="BC148" s="81">
        <v>0</v>
      </c>
      <c r="BD148" s="81">
        <v>0</v>
      </c>
      <c r="BE148" s="81">
        <v>1</v>
      </c>
      <c r="BF148" s="81">
        <v>0</v>
      </c>
      <c r="BG148" s="81">
        <v>1</v>
      </c>
      <c r="BH148" s="81">
        <v>0</v>
      </c>
      <c r="BI148" s="81">
        <v>0</v>
      </c>
      <c r="BJ148" s="81">
        <v>1</v>
      </c>
      <c r="BK148" s="81">
        <v>0</v>
      </c>
      <c r="BL148" s="81">
        <v>0</v>
      </c>
      <c r="BM148" s="81">
        <v>1</v>
      </c>
      <c r="BN148" s="81">
        <v>0</v>
      </c>
      <c r="BO148" s="81">
        <v>1</v>
      </c>
      <c r="BP148" s="81">
        <v>0</v>
      </c>
      <c r="BQ148" s="81">
        <v>1</v>
      </c>
      <c r="BR148" s="81">
        <v>0</v>
      </c>
      <c r="BS148" s="81">
        <v>1</v>
      </c>
      <c r="BT148" s="81">
        <v>1</v>
      </c>
      <c r="BU148" s="81">
        <v>0</v>
      </c>
      <c r="BV148" s="81">
        <v>0</v>
      </c>
      <c r="BW148" s="81">
        <v>0</v>
      </c>
      <c r="BX148" s="81">
        <v>0</v>
      </c>
      <c r="BY148" s="81">
        <v>0</v>
      </c>
      <c r="BZ148" s="81">
        <v>0</v>
      </c>
      <c r="CA148" s="81">
        <v>0</v>
      </c>
      <c r="CB148" s="81">
        <v>1</v>
      </c>
      <c r="CC148" s="81">
        <v>1</v>
      </c>
      <c r="CD148" s="81">
        <v>0</v>
      </c>
      <c r="CE148" s="81">
        <v>1</v>
      </c>
      <c r="CF148" s="81">
        <v>1</v>
      </c>
      <c r="CG148" s="81">
        <v>0</v>
      </c>
      <c r="CH148" s="81">
        <v>0</v>
      </c>
      <c r="CI148" s="81">
        <v>1</v>
      </c>
      <c r="CJ148" s="81">
        <v>1</v>
      </c>
      <c r="CK148" s="81">
        <v>1</v>
      </c>
      <c r="CL148" s="81">
        <v>0</v>
      </c>
      <c r="CM148" s="81">
        <v>1</v>
      </c>
      <c r="CN148" s="81">
        <v>1</v>
      </c>
      <c r="CO148" s="81" t="s">
        <v>786</v>
      </c>
    </row>
    <row r="149" spans="1:93" ht="11.55" customHeight="1" x14ac:dyDescent="0.3">
      <c r="A149" s="81" t="s">
        <v>810</v>
      </c>
      <c r="B149" s="81" t="s">
        <v>811</v>
      </c>
      <c r="C149" s="81" t="s">
        <v>409</v>
      </c>
      <c r="D149" s="94">
        <v>14</v>
      </c>
      <c r="E149" s="81">
        <v>0</v>
      </c>
      <c r="F149" s="81">
        <v>0</v>
      </c>
      <c r="G149" s="81">
        <v>0</v>
      </c>
      <c r="H149" s="81">
        <v>1</v>
      </c>
      <c r="I149" s="81">
        <v>0</v>
      </c>
      <c r="J149" s="81">
        <v>0</v>
      </c>
      <c r="K149" s="81">
        <v>0</v>
      </c>
      <c r="L149" s="81">
        <v>0</v>
      </c>
      <c r="M149" s="81">
        <v>0</v>
      </c>
      <c r="N149" s="81">
        <v>1</v>
      </c>
      <c r="O149" s="81">
        <v>0</v>
      </c>
      <c r="P149" s="81">
        <v>0</v>
      </c>
      <c r="Q149" s="81">
        <v>0</v>
      </c>
      <c r="R149" s="81">
        <v>0</v>
      </c>
      <c r="S149" s="81">
        <v>0</v>
      </c>
      <c r="T149" s="81">
        <v>1</v>
      </c>
      <c r="U149" s="81">
        <v>0</v>
      </c>
      <c r="V149" s="81">
        <v>0</v>
      </c>
      <c r="W149" s="81">
        <v>0</v>
      </c>
      <c r="X149" s="81">
        <v>0</v>
      </c>
      <c r="Y149" s="81">
        <v>0</v>
      </c>
      <c r="Z149" s="81">
        <v>1</v>
      </c>
      <c r="AA149" s="81">
        <v>0</v>
      </c>
      <c r="AB149" s="81">
        <v>0</v>
      </c>
      <c r="AC149" s="81">
        <v>0</v>
      </c>
      <c r="AD149" s="81">
        <v>0</v>
      </c>
      <c r="AE149" s="81">
        <v>0</v>
      </c>
      <c r="AF149" s="81">
        <v>0</v>
      </c>
      <c r="AG149" s="81">
        <v>0</v>
      </c>
      <c r="AH149" s="81">
        <v>0</v>
      </c>
      <c r="AI149" s="81">
        <v>0</v>
      </c>
      <c r="AJ149" s="81">
        <v>0</v>
      </c>
      <c r="AK149" s="81">
        <v>0</v>
      </c>
      <c r="AL149" s="81">
        <v>0</v>
      </c>
      <c r="AM149" s="81">
        <v>0</v>
      </c>
      <c r="AN149" s="81">
        <v>0</v>
      </c>
      <c r="AO149" s="81">
        <v>0</v>
      </c>
      <c r="AP149" s="81">
        <v>0</v>
      </c>
      <c r="AQ149" s="81">
        <v>0</v>
      </c>
      <c r="AR149" s="81">
        <v>0</v>
      </c>
      <c r="AS149" s="81">
        <v>0</v>
      </c>
      <c r="AT149" s="81">
        <v>0</v>
      </c>
      <c r="AU149" s="81">
        <v>0</v>
      </c>
      <c r="AV149" s="81">
        <v>0</v>
      </c>
      <c r="AW149" s="81">
        <v>0</v>
      </c>
      <c r="AX149" s="81">
        <v>0</v>
      </c>
      <c r="AY149" s="81">
        <v>0</v>
      </c>
      <c r="AZ149" s="81">
        <v>0</v>
      </c>
      <c r="BA149" s="81">
        <v>0</v>
      </c>
      <c r="BB149" s="81">
        <v>0</v>
      </c>
      <c r="BC149" s="81">
        <v>0</v>
      </c>
      <c r="BD149" s="81">
        <v>0</v>
      </c>
      <c r="BE149" s="81">
        <v>1</v>
      </c>
      <c r="BF149" s="81">
        <v>0</v>
      </c>
      <c r="BG149" s="81">
        <v>1</v>
      </c>
      <c r="BH149" s="81">
        <v>0</v>
      </c>
      <c r="BI149" s="81">
        <v>0</v>
      </c>
      <c r="BJ149" s="81">
        <v>1</v>
      </c>
      <c r="BK149" s="81">
        <v>0</v>
      </c>
      <c r="BL149" s="81">
        <v>0</v>
      </c>
      <c r="BM149" s="81">
        <v>1</v>
      </c>
      <c r="BN149" s="81">
        <v>0</v>
      </c>
      <c r="BO149" s="81">
        <v>1</v>
      </c>
      <c r="BP149" s="81">
        <v>0</v>
      </c>
      <c r="BQ149" s="81">
        <v>1</v>
      </c>
      <c r="BR149" s="81">
        <v>0</v>
      </c>
      <c r="BS149" s="81">
        <v>1</v>
      </c>
      <c r="BT149" s="81">
        <v>1</v>
      </c>
      <c r="BU149" s="81">
        <v>0</v>
      </c>
      <c r="BV149" s="81">
        <v>0</v>
      </c>
      <c r="BW149" s="81">
        <v>0</v>
      </c>
      <c r="BX149" s="81">
        <v>0</v>
      </c>
      <c r="BY149" s="81">
        <v>0</v>
      </c>
      <c r="BZ149" s="81">
        <v>0</v>
      </c>
      <c r="CA149" s="81">
        <v>0</v>
      </c>
      <c r="CB149" s="81">
        <v>1</v>
      </c>
      <c r="CC149" s="81">
        <v>1</v>
      </c>
      <c r="CD149" s="81">
        <v>0</v>
      </c>
      <c r="CE149" s="81">
        <v>1</v>
      </c>
      <c r="CF149" s="81">
        <v>1</v>
      </c>
      <c r="CG149" s="81">
        <v>0</v>
      </c>
      <c r="CH149" s="81">
        <v>0</v>
      </c>
      <c r="CI149" s="81">
        <v>1</v>
      </c>
      <c r="CJ149" s="81">
        <v>1</v>
      </c>
      <c r="CK149" s="81">
        <v>1</v>
      </c>
      <c r="CL149" s="81">
        <v>0</v>
      </c>
      <c r="CM149" s="81">
        <v>1</v>
      </c>
      <c r="CN149" s="81">
        <v>1</v>
      </c>
      <c r="CO149" s="81" t="s">
        <v>786</v>
      </c>
    </row>
    <row r="150" spans="1:93" ht="11.55" customHeight="1" x14ac:dyDescent="0.3">
      <c r="A150" s="81" t="s">
        <v>812</v>
      </c>
      <c r="B150" s="81" t="s">
        <v>813</v>
      </c>
      <c r="C150" s="81" t="s">
        <v>398</v>
      </c>
      <c r="D150" s="94">
        <v>17</v>
      </c>
      <c r="E150" s="81">
        <v>0</v>
      </c>
      <c r="F150" s="81">
        <v>0</v>
      </c>
      <c r="G150" s="81">
        <v>0</v>
      </c>
      <c r="H150" s="81">
        <v>1</v>
      </c>
      <c r="I150" s="81">
        <v>0</v>
      </c>
      <c r="J150" s="81">
        <v>1</v>
      </c>
      <c r="K150" s="81">
        <v>0</v>
      </c>
      <c r="L150" s="81">
        <v>0</v>
      </c>
      <c r="M150" s="81">
        <v>0</v>
      </c>
      <c r="N150" s="81">
        <v>1</v>
      </c>
      <c r="O150" s="81">
        <v>0</v>
      </c>
      <c r="P150" s="81">
        <v>0</v>
      </c>
      <c r="Q150" s="81">
        <v>0</v>
      </c>
      <c r="R150" s="81">
        <v>0</v>
      </c>
      <c r="S150" s="81">
        <v>0</v>
      </c>
      <c r="T150" s="81">
        <v>1</v>
      </c>
      <c r="U150" s="81">
        <v>0</v>
      </c>
      <c r="V150" s="81">
        <v>0</v>
      </c>
      <c r="W150" s="81">
        <v>0</v>
      </c>
      <c r="X150" s="81">
        <v>0</v>
      </c>
      <c r="Y150" s="81">
        <v>0</v>
      </c>
      <c r="Z150" s="81">
        <v>1</v>
      </c>
      <c r="AA150" s="81">
        <v>0</v>
      </c>
      <c r="AB150" s="81">
        <v>0</v>
      </c>
      <c r="AC150" s="81">
        <v>0</v>
      </c>
      <c r="AD150" s="81">
        <v>0</v>
      </c>
      <c r="AE150" s="81">
        <v>0</v>
      </c>
      <c r="AF150" s="81">
        <v>0</v>
      </c>
      <c r="AG150" s="81">
        <v>0</v>
      </c>
      <c r="AH150" s="81">
        <v>0</v>
      </c>
      <c r="AI150" s="81">
        <v>0</v>
      </c>
      <c r="AJ150" s="81">
        <v>0</v>
      </c>
      <c r="AK150" s="81">
        <v>0</v>
      </c>
      <c r="AL150" s="81">
        <v>0</v>
      </c>
      <c r="AM150" s="81">
        <v>0</v>
      </c>
      <c r="AN150" s="81">
        <v>0</v>
      </c>
      <c r="AO150" s="81">
        <v>1</v>
      </c>
      <c r="AP150" s="81">
        <v>0</v>
      </c>
      <c r="AQ150" s="81">
        <v>0</v>
      </c>
      <c r="AR150" s="81">
        <v>0</v>
      </c>
      <c r="AS150" s="81">
        <v>0</v>
      </c>
      <c r="AT150" s="81">
        <v>1</v>
      </c>
      <c r="AU150" s="81">
        <v>0</v>
      </c>
      <c r="AV150" s="81">
        <v>0</v>
      </c>
      <c r="AW150" s="81">
        <v>0</v>
      </c>
      <c r="AX150" s="81">
        <v>0</v>
      </c>
      <c r="AY150" s="81">
        <v>0</v>
      </c>
      <c r="AZ150" s="81">
        <v>0</v>
      </c>
      <c r="BA150" s="81">
        <v>0</v>
      </c>
      <c r="BB150" s="81">
        <v>1</v>
      </c>
      <c r="BC150" s="81">
        <v>1</v>
      </c>
      <c r="BD150" s="81">
        <v>1</v>
      </c>
      <c r="BE150" s="81">
        <v>1</v>
      </c>
      <c r="BF150" s="81">
        <v>1</v>
      </c>
      <c r="BG150" s="81">
        <v>1</v>
      </c>
      <c r="BH150" s="81">
        <v>1</v>
      </c>
      <c r="BI150" s="81">
        <v>1</v>
      </c>
      <c r="BJ150" s="81">
        <v>1</v>
      </c>
      <c r="BK150" s="81">
        <v>1</v>
      </c>
      <c r="BL150" s="81">
        <v>1</v>
      </c>
      <c r="BM150" s="81">
        <v>1</v>
      </c>
      <c r="BN150" s="81">
        <v>1</v>
      </c>
      <c r="BO150" s="81">
        <v>1</v>
      </c>
      <c r="BP150" s="81">
        <v>1</v>
      </c>
      <c r="BQ150" s="81">
        <v>1</v>
      </c>
      <c r="BR150" s="81">
        <v>1</v>
      </c>
      <c r="BS150" s="81">
        <v>1</v>
      </c>
      <c r="BT150" s="81">
        <v>1</v>
      </c>
      <c r="BU150" s="81">
        <v>0</v>
      </c>
      <c r="BV150" s="81">
        <v>0</v>
      </c>
      <c r="BW150" s="81">
        <v>0</v>
      </c>
      <c r="BX150" s="81">
        <v>0</v>
      </c>
      <c r="BY150" s="81">
        <v>0</v>
      </c>
      <c r="BZ150" s="81">
        <v>0</v>
      </c>
      <c r="CA150" s="81">
        <v>0</v>
      </c>
      <c r="CB150" s="81">
        <v>2</v>
      </c>
      <c r="CC150" s="81">
        <v>2</v>
      </c>
      <c r="CD150" s="81">
        <v>1</v>
      </c>
      <c r="CE150" s="81">
        <v>2</v>
      </c>
      <c r="CF150" s="81">
        <v>1</v>
      </c>
      <c r="CG150" s="81">
        <v>1</v>
      </c>
      <c r="CH150" s="81">
        <v>0</v>
      </c>
      <c r="CI150" s="81">
        <v>1</v>
      </c>
      <c r="CJ150" s="81">
        <v>1</v>
      </c>
      <c r="CK150" s="81">
        <v>1</v>
      </c>
      <c r="CL150" s="81">
        <v>1</v>
      </c>
      <c r="CM150" s="81">
        <v>1</v>
      </c>
      <c r="CN150" s="81">
        <v>1</v>
      </c>
      <c r="CO150" s="81" t="s">
        <v>751</v>
      </c>
    </row>
    <row r="151" spans="1:93" ht="11.55" customHeight="1" x14ac:dyDescent="0.3">
      <c r="A151" s="81" t="s">
        <v>814</v>
      </c>
      <c r="B151" s="81" t="s">
        <v>815</v>
      </c>
      <c r="C151" s="81" t="s">
        <v>398</v>
      </c>
      <c r="D151" s="94">
        <v>17</v>
      </c>
      <c r="E151" s="81">
        <v>0</v>
      </c>
      <c r="F151" s="81">
        <v>0</v>
      </c>
      <c r="G151" s="81">
        <v>0</v>
      </c>
      <c r="H151" s="81">
        <v>1</v>
      </c>
      <c r="I151" s="81">
        <v>0</v>
      </c>
      <c r="J151" s="81">
        <v>1</v>
      </c>
      <c r="K151" s="81">
        <v>0</v>
      </c>
      <c r="L151" s="81">
        <v>0</v>
      </c>
      <c r="M151" s="81">
        <v>0</v>
      </c>
      <c r="N151" s="81">
        <v>1</v>
      </c>
      <c r="O151" s="81">
        <v>0</v>
      </c>
      <c r="P151" s="81">
        <v>0</v>
      </c>
      <c r="Q151" s="81">
        <v>0</v>
      </c>
      <c r="R151" s="81">
        <v>0</v>
      </c>
      <c r="S151" s="81">
        <v>0</v>
      </c>
      <c r="T151" s="81">
        <v>1</v>
      </c>
      <c r="U151" s="81">
        <v>0</v>
      </c>
      <c r="V151" s="81">
        <v>0</v>
      </c>
      <c r="W151" s="81">
        <v>0</v>
      </c>
      <c r="X151" s="81">
        <v>0</v>
      </c>
      <c r="Y151" s="81">
        <v>0</v>
      </c>
      <c r="Z151" s="81">
        <v>1</v>
      </c>
      <c r="AA151" s="81">
        <v>0</v>
      </c>
      <c r="AB151" s="81">
        <v>0</v>
      </c>
      <c r="AC151" s="81">
        <v>0</v>
      </c>
      <c r="AD151" s="81">
        <v>0</v>
      </c>
      <c r="AE151" s="81">
        <v>0</v>
      </c>
      <c r="AF151" s="81">
        <v>0</v>
      </c>
      <c r="AG151" s="81">
        <v>0</v>
      </c>
      <c r="AH151" s="81">
        <v>0</v>
      </c>
      <c r="AI151" s="81">
        <v>0</v>
      </c>
      <c r="AJ151" s="81">
        <v>0</v>
      </c>
      <c r="AK151" s="81">
        <v>0</v>
      </c>
      <c r="AL151" s="81">
        <v>0</v>
      </c>
      <c r="AM151" s="81">
        <v>0</v>
      </c>
      <c r="AN151" s="81">
        <v>0</v>
      </c>
      <c r="AO151" s="81">
        <v>1</v>
      </c>
      <c r="AP151" s="81">
        <v>0</v>
      </c>
      <c r="AQ151" s="81">
        <v>0</v>
      </c>
      <c r="AR151" s="81">
        <v>0</v>
      </c>
      <c r="AS151" s="81">
        <v>0</v>
      </c>
      <c r="AT151" s="81">
        <v>1</v>
      </c>
      <c r="AU151" s="81">
        <v>0</v>
      </c>
      <c r="AV151" s="81">
        <v>0</v>
      </c>
      <c r="AW151" s="81">
        <v>0</v>
      </c>
      <c r="AX151" s="81">
        <v>0</v>
      </c>
      <c r="AY151" s="81">
        <v>0</v>
      </c>
      <c r="AZ151" s="81">
        <v>0</v>
      </c>
      <c r="BA151" s="81">
        <v>0</v>
      </c>
      <c r="BB151" s="81">
        <v>1</v>
      </c>
      <c r="BC151" s="81">
        <v>1</v>
      </c>
      <c r="BD151" s="81">
        <v>1</v>
      </c>
      <c r="BE151" s="81">
        <v>1</v>
      </c>
      <c r="BF151" s="81">
        <v>1</v>
      </c>
      <c r="BG151" s="81">
        <v>1</v>
      </c>
      <c r="BH151" s="81">
        <v>1</v>
      </c>
      <c r="BI151" s="81">
        <v>1</v>
      </c>
      <c r="BJ151" s="81">
        <v>1</v>
      </c>
      <c r="BK151" s="81">
        <v>1</v>
      </c>
      <c r="BL151" s="81">
        <v>1</v>
      </c>
      <c r="BM151" s="81">
        <v>1</v>
      </c>
      <c r="BN151" s="81">
        <v>1</v>
      </c>
      <c r="BO151" s="81">
        <v>1</v>
      </c>
      <c r="BP151" s="81">
        <v>1</v>
      </c>
      <c r="BQ151" s="81">
        <v>1</v>
      </c>
      <c r="BR151" s="81">
        <v>1</v>
      </c>
      <c r="BS151" s="81">
        <v>1</v>
      </c>
      <c r="BT151" s="81">
        <v>1</v>
      </c>
      <c r="BU151" s="81">
        <v>0</v>
      </c>
      <c r="BV151" s="81">
        <v>0</v>
      </c>
      <c r="BW151" s="81">
        <v>0</v>
      </c>
      <c r="BX151" s="81">
        <v>0</v>
      </c>
      <c r="BY151" s="81">
        <v>0</v>
      </c>
      <c r="BZ151" s="81">
        <v>0</v>
      </c>
      <c r="CA151" s="81">
        <v>0</v>
      </c>
      <c r="CB151" s="81">
        <v>2</v>
      </c>
      <c r="CC151" s="81">
        <v>2</v>
      </c>
      <c r="CD151" s="81">
        <v>1</v>
      </c>
      <c r="CE151" s="81">
        <v>2</v>
      </c>
      <c r="CF151" s="81">
        <v>1</v>
      </c>
      <c r="CG151" s="81">
        <v>1</v>
      </c>
      <c r="CH151" s="81">
        <v>0</v>
      </c>
      <c r="CI151" s="81">
        <v>1</v>
      </c>
      <c r="CJ151" s="81">
        <v>1</v>
      </c>
      <c r="CK151" s="81">
        <v>1</v>
      </c>
      <c r="CL151" s="81">
        <v>1</v>
      </c>
      <c r="CM151" s="81">
        <v>1</v>
      </c>
      <c r="CN151" s="81">
        <v>1</v>
      </c>
      <c r="CO151" s="81" t="s">
        <v>751</v>
      </c>
    </row>
    <row r="152" spans="1:93" ht="11.55" customHeight="1" x14ac:dyDescent="0.3">
      <c r="A152" s="81" t="s">
        <v>816</v>
      </c>
      <c r="B152" s="81" t="s">
        <v>817</v>
      </c>
      <c r="C152" s="81" t="s">
        <v>398</v>
      </c>
      <c r="D152" s="94">
        <v>17</v>
      </c>
      <c r="E152" s="81">
        <v>0</v>
      </c>
      <c r="F152" s="81">
        <v>0</v>
      </c>
      <c r="G152" s="81">
        <v>0</v>
      </c>
      <c r="H152" s="81">
        <v>1</v>
      </c>
      <c r="I152" s="81">
        <v>0</v>
      </c>
      <c r="J152" s="81">
        <v>1</v>
      </c>
      <c r="K152" s="81">
        <v>0</v>
      </c>
      <c r="L152" s="81">
        <v>0</v>
      </c>
      <c r="M152" s="81">
        <v>0</v>
      </c>
      <c r="N152" s="81">
        <v>1</v>
      </c>
      <c r="O152" s="81">
        <v>0</v>
      </c>
      <c r="P152" s="81">
        <v>0</v>
      </c>
      <c r="Q152" s="81">
        <v>0</v>
      </c>
      <c r="R152" s="81">
        <v>0</v>
      </c>
      <c r="S152" s="81">
        <v>0</v>
      </c>
      <c r="T152" s="81">
        <v>1</v>
      </c>
      <c r="U152" s="81">
        <v>0</v>
      </c>
      <c r="V152" s="81">
        <v>0</v>
      </c>
      <c r="W152" s="81">
        <v>0</v>
      </c>
      <c r="X152" s="81">
        <v>0</v>
      </c>
      <c r="Y152" s="81">
        <v>0</v>
      </c>
      <c r="Z152" s="81">
        <v>1</v>
      </c>
      <c r="AA152" s="81">
        <v>0</v>
      </c>
      <c r="AB152" s="81">
        <v>0</v>
      </c>
      <c r="AC152" s="81">
        <v>0</v>
      </c>
      <c r="AD152" s="81">
        <v>0</v>
      </c>
      <c r="AE152" s="81">
        <v>0</v>
      </c>
      <c r="AF152" s="81">
        <v>0</v>
      </c>
      <c r="AG152" s="81">
        <v>0</v>
      </c>
      <c r="AH152" s="81">
        <v>0</v>
      </c>
      <c r="AI152" s="81">
        <v>0</v>
      </c>
      <c r="AJ152" s="81">
        <v>0</v>
      </c>
      <c r="AK152" s="81">
        <v>0</v>
      </c>
      <c r="AL152" s="81">
        <v>0</v>
      </c>
      <c r="AM152" s="81">
        <v>0</v>
      </c>
      <c r="AN152" s="81">
        <v>0</v>
      </c>
      <c r="AO152" s="81">
        <v>1</v>
      </c>
      <c r="AP152" s="81">
        <v>0</v>
      </c>
      <c r="AQ152" s="81">
        <v>0</v>
      </c>
      <c r="AR152" s="81">
        <v>0</v>
      </c>
      <c r="AS152" s="81">
        <v>0</v>
      </c>
      <c r="AT152" s="81">
        <v>1</v>
      </c>
      <c r="AU152" s="81">
        <v>0</v>
      </c>
      <c r="AV152" s="81">
        <v>0</v>
      </c>
      <c r="AW152" s="81">
        <v>0</v>
      </c>
      <c r="AX152" s="81">
        <v>0</v>
      </c>
      <c r="AY152" s="81">
        <v>0</v>
      </c>
      <c r="AZ152" s="81">
        <v>0</v>
      </c>
      <c r="BA152" s="81">
        <v>0</v>
      </c>
      <c r="BB152" s="81">
        <v>1</v>
      </c>
      <c r="BC152" s="81">
        <v>1</v>
      </c>
      <c r="BD152" s="81">
        <v>1</v>
      </c>
      <c r="BE152" s="81">
        <v>1</v>
      </c>
      <c r="BF152" s="81">
        <v>1</v>
      </c>
      <c r="BG152" s="81">
        <v>1</v>
      </c>
      <c r="BH152" s="81">
        <v>1</v>
      </c>
      <c r="BI152" s="81">
        <v>1</v>
      </c>
      <c r="BJ152" s="81">
        <v>1</v>
      </c>
      <c r="BK152" s="81">
        <v>1</v>
      </c>
      <c r="BL152" s="81">
        <v>1</v>
      </c>
      <c r="BM152" s="81">
        <v>1</v>
      </c>
      <c r="BN152" s="81">
        <v>1</v>
      </c>
      <c r="BO152" s="81">
        <v>1</v>
      </c>
      <c r="BP152" s="81">
        <v>1</v>
      </c>
      <c r="BQ152" s="81">
        <v>1</v>
      </c>
      <c r="BR152" s="81">
        <v>1</v>
      </c>
      <c r="BS152" s="81">
        <v>1</v>
      </c>
      <c r="BT152" s="81">
        <v>1</v>
      </c>
      <c r="BU152" s="81">
        <v>0</v>
      </c>
      <c r="BV152" s="81">
        <v>0</v>
      </c>
      <c r="BW152" s="81">
        <v>0</v>
      </c>
      <c r="BX152" s="81">
        <v>0</v>
      </c>
      <c r="BY152" s="81">
        <v>0</v>
      </c>
      <c r="BZ152" s="81">
        <v>0</v>
      </c>
      <c r="CA152" s="81">
        <v>0</v>
      </c>
      <c r="CB152" s="81">
        <v>2</v>
      </c>
      <c r="CC152" s="81">
        <v>2</v>
      </c>
      <c r="CD152" s="81">
        <v>1</v>
      </c>
      <c r="CE152" s="81">
        <v>2</v>
      </c>
      <c r="CF152" s="81">
        <v>1</v>
      </c>
      <c r="CG152" s="81">
        <v>1</v>
      </c>
      <c r="CH152" s="81">
        <v>0</v>
      </c>
      <c r="CI152" s="81">
        <v>1</v>
      </c>
      <c r="CJ152" s="81">
        <v>1</v>
      </c>
      <c r="CK152" s="81">
        <v>1</v>
      </c>
      <c r="CL152" s="81">
        <v>1</v>
      </c>
      <c r="CM152" s="81">
        <v>1</v>
      </c>
      <c r="CN152" s="81">
        <v>1</v>
      </c>
      <c r="CO152" s="81" t="s">
        <v>751</v>
      </c>
    </row>
    <row r="153" spans="1:93" ht="11.55" customHeight="1" x14ac:dyDescent="0.3">
      <c r="A153" s="81" t="s">
        <v>818</v>
      </c>
      <c r="B153" s="81" t="s">
        <v>819</v>
      </c>
      <c r="C153" s="81" t="s">
        <v>398</v>
      </c>
      <c r="D153" s="94">
        <v>17</v>
      </c>
      <c r="E153" s="81">
        <v>0</v>
      </c>
      <c r="F153" s="81">
        <v>0</v>
      </c>
      <c r="G153" s="81">
        <v>0</v>
      </c>
      <c r="H153" s="81">
        <v>1</v>
      </c>
      <c r="I153" s="81">
        <v>0</v>
      </c>
      <c r="J153" s="81">
        <v>1</v>
      </c>
      <c r="K153" s="81">
        <v>0</v>
      </c>
      <c r="L153" s="81">
        <v>0</v>
      </c>
      <c r="M153" s="81">
        <v>0</v>
      </c>
      <c r="N153" s="81">
        <v>1</v>
      </c>
      <c r="O153" s="81">
        <v>0</v>
      </c>
      <c r="P153" s="81">
        <v>0</v>
      </c>
      <c r="Q153" s="81">
        <v>0</v>
      </c>
      <c r="R153" s="81">
        <v>0</v>
      </c>
      <c r="S153" s="81">
        <v>0</v>
      </c>
      <c r="T153" s="81">
        <v>1</v>
      </c>
      <c r="U153" s="81">
        <v>0</v>
      </c>
      <c r="V153" s="81">
        <v>0</v>
      </c>
      <c r="W153" s="81">
        <v>0</v>
      </c>
      <c r="X153" s="81">
        <v>0</v>
      </c>
      <c r="Y153" s="81">
        <v>0</v>
      </c>
      <c r="Z153" s="81">
        <v>1</v>
      </c>
      <c r="AA153" s="81">
        <v>0</v>
      </c>
      <c r="AB153" s="81">
        <v>0</v>
      </c>
      <c r="AC153" s="81">
        <v>0</v>
      </c>
      <c r="AD153" s="81">
        <v>0</v>
      </c>
      <c r="AE153" s="81">
        <v>0</v>
      </c>
      <c r="AF153" s="81">
        <v>0</v>
      </c>
      <c r="AG153" s="81">
        <v>0</v>
      </c>
      <c r="AH153" s="81">
        <v>0</v>
      </c>
      <c r="AI153" s="81">
        <v>0</v>
      </c>
      <c r="AJ153" s="81">
        <v>0</v>
      </c>
      <c r="AK153" s="81">
        <v>0</v>
      </c>
      <c r="AL153" s="81">
        <v>0</v>
      </c>
      <c r="AM153" s="81">
        <v>0</v>
      </c>
      <c r="AN153" s="81">
        <v>0</v>
      </c>
      <c r="AO153" s="81">
        <v>1</v>
      </c>
      <c r="AP153" s="81">
        <v>0</v>
      </c>
      <c r="AQ153" s="81">
        <v>0</v>
      </c>
      <c r="AR153" s="81">
        <v>0</v>
      </c>
      <c r="AS153" s="81">
        <v>0</v>
      </c>
      <c r="AT153" s="81">
        <v>1</v>
      </c>
      <c r="AU153" s="81">
        <v>0</v>
      </c>
      <c r="AV153" s="81">
        <v>0</v>
      </c>
      <c r="AW153" s="81">
        <v>0</v>
      </c>
      <c r="AX153" s="81">
        <v>0</v>
      </c>
      <c r="AY153" s="81">
        <v>0</v>
      </c>
      <c r="AZ153" s="81">
        <v>0</v>
      </c>
      <c r="BA153" s="81">
        <v>0</v>
      </c>
      <c r="BB153" s="81">
        <v>1</v>
      </c>
      <c r="BC153" s="81">
        <v>1</v>
      </c>
      <c r="BD153" s="81">
        <v>1</v>
      </c>
      <c r="BE153" s="81">
        <v>1</v>
      </c>
      <c r="BF153" s="81">
        <v>1</v>
      </c>
      <c r="BG153" s="81">
        <v>1</v>
      </c>
      <c r="BH153" s="81">
        <v>1</v>
      </c>
      <c r="BI153" s="81">
        <v>1</v>
      </c>
      <c r="BJ153" s="81">
        <v>1</v>
      </c>
      <c r="BK153" s="81">
        <v>1</v>
      </c>
      <c r="BL153" s="81">
        <v>1</v>
      </c>
      <c r="BM153" s="81">
        <v>1</v>
      </c>
      <c r="BN153" s="81">
        <v>1</v>
      </c>
      <c r="BO153" s="81">
        <v>1</v>
      </c>
      <c r="BP153" s="81">
        <v>1</v>
      </c>
      <c r="BQ153" s="81">
        <v>1</v>
      </c>
      <c r="BR153" s="81">
        <v>1</v>
      </c>
      <c r="BS153" s="81">
        <v>1</v>
      </c>
      <c r="BT153" s="81">
        <v>1</v>
      </c>
      <c r="BU153" s="81">
        <v>0</v>
      </c>
      <c r="BV153" s="81">
        <v>0</v>
      </c>
      <c r="BW153" s="81">
        <v>0</v>
      </c>
      <c r="BX153" s="81">
        <v>0</v>
      </c>
      <c r="BY153" s="81">
        <v>0</v>
      </c>
      <c r="BZ153" s="81">
        <v>0</v>
      </c>
      <c r="CA153" s="81">
        <v>0</v>
      </c>
      <c r="CB153" s="81">
        <v>2</v>
      </c>
      <c r="CC153" s="81">
        <v>2</v>
      </c>
      <c r="CD153" s="81">
        <v>1</v>
      </c>
      <c r="CE153" s="81">
        <v>2</v>
      </c>
      <c r="CF153" s="81">
        <v>1</v>
      </c>
      <c r="CG153" s="81">
        <v>1</v>
      </c>
      <c r="CH153" s="81">
        <v>0</v>
      </c>
      <c r="CI153" s="81">
        <v>1</v>
      </c>
      <c r="CJ153" s="81">
        <v>1</v>
      </c>
      <c r="CK153" s="81">
        <v>1</v>
      </c>
      <c r="CL153" s="81">
        <v>1</v>
      </c>
      <c r="CM153" s="81">
        <v>1</v>
      </c>
      <c r="CN153" s="81">
        <v>1</v>
      </c>
      <c r="CO153" s="81" t="s">
        <v>751</v>
      </c>
    </row>
    <row r="154" spans="1:93" ht="11.55" customHeight="1" x14ac:dyDescent="0.3">
      <c r="A154" s="81" t="s">
        <v>820</v>
      </c>
      <c r="B154" s="81" t="s">
        <v>821</v>
      </c>
      <c r="C154" s="81" t="s">
        <v>398</v>
      </c>
      <c r="D154" s="94">
        <v>17</v>
      </c>
      <c r="E154" s="81">
        <v>0</v>
      </c>
      <c r="F154" s="81">
        <v>0</v>
      </c>
      <c r="G154" s="81">
        <v>0</v>
      </c>
      <c r="H154" s="81">
        <v>1</v>
      </c>
      <c r="I154" s="81">
        <v>0</v>
      </c>
      <c r="J154" s="81">
        <v>1</v>
      </c>
      <c r="K154" s="81">
        <v>0</v>
      </c>
      <c r="L154" s="81">
        <v>0</v>
      </c>
      <c r="M154" s="81">
        <v>0</v>
      </c>
      <c r="N154" s="81">
        <v>1</v>
      </c>
      <c r="O154" s="81">
        <v>0</v>
      </c>
      <c r="P154" s="81">
        <v>0</v>
      </c>
      <c r="Q154" s="81">
        <v>0</v>
      </c>
      <c r="R154" s="81">
        <v>0</v>
      </c>
      <c r="S154" s="81">
        <v>0</v>
      </c>
      <c r="T154" s="81">
        <v>1</v>
      </c>
      <c r="U154" s="81">
        <v>0</v>
      </c>
      <c r="V154" s="81">
        <v>0</v>
      </c>
      <c r="W154" s="81">
        <v>0</v>
      </c>
      <c r="X154" s="81">
        <v>0</v>
      </c>
      <c r="Y154" s="81">
        <v>0</v>
      </c>
      <c r="Z154" s="81">
        <v>1</v>
      </c>
      <c r="AA154" s="81">
        <v>0</v>
      </c>
      <c r="AB154" s="81">
        <v>0</v>
      </c>
      <c r="AC154" s="81">
        <v>0</v>
      </c>
      <c r="AD154" s="81">
        <v>0</v>
      </c>
      <c r="AE154" s="81">
        <v>0</v>
      </c>
      <c r="AF154" s="81">
        <v>0</v>
      </c>
      <c r="AG154" s="81">
        <v>0</v>
      </c>
      <c r="AH154" s="81">
        <v>0</v>
      </c>
      <c r="AI154" s="81">
        <v>0</v>
      </c>
      <c r="AJ154" s="81">
        <v>0</v>
      </c>
      <c r="AK154" s="81">
        <v>0</v>
      </c>
      <c r="AL154" s="81">
        <v>0</v>
      </c>
      <c r="AM154" s="81">
        <v>0</v>
      </c>
      <c r="AN154" s="81">
        <v>0</v>
      </c>
      <c r="AO154" s="81">
        <v>1</v>
      </c>
      <c r="AP154" s="81">
        <v>0</v>
      </c>
      <c r="AQ154" s="81">
        <v>0</v>
      </c>
      <c r="AR154" s="81">
        <v>0</v>
      </c>
      <c r="AS154" s="81">
        <v>0</v>
      </c>
      <c r="AT154" s="81">
        <v>1</v>
      </c>
      <c r="AU154" s="81">
        <v>0</v>
      </c>
      <c r="AV154" s="81">
        <v>0</v>
      </c>
      <c r="AW154" s="81">
        <v>0</v>
      </c>
      <c r="AX154" s="81">
        <v>0</v>
      </c>
      <c r="AY154" s="81">
        <v>0</v>
      </c>
      <c r="AZ154" s="81">
        <v>0</v>
      </c>
      <c r="BA154" s="81">
        <v>0</v>
      </c>
      <c r="BB154" s="81">
        <v>1</v>
      </c>
      <c r="BC154" s="81">
        <v>1</v>
      </c>
      <c r="BD154" s="81">
        <v>1</v>
      </c>
      <c r="BE154" s="81">
        <v>1</v>
      </c>
      <c r="BF154" s="81">
        <v>1</v>
      </c>
      <c r="BG154" s="81">
        <v>1</v>
      </c>
      <c r="BH154" s="81">
        <v>1</v>
      </c>
      <c r="BI154" s="81">
        <v>1</v>
      </c>
      <c r="BJ154" s="81">
        <v>1</v>
      </c>
      <c r="BK154" s="81">
        <v>1</v>
      </c>
      <c r="BL154" s="81">
        <v>1</v>
      </c>
      <c r="BM154" s="81">
        <v>1</v>
      </c>
      <c r="BN154" s="81">
        <v>1</v>
      </c>
      <c r="BO154" s="81">
        <v>1</v>
      </c>
      <c r="BP154" s="81">
        <v>1</v>
      </c>
      <c r="BQ154" s="81">
        <v>1</v>
      </c>
      <c r="BR154" s="81">
        <v>1</v>
      </c>
      <c r="BS154" s="81">
        <v>1</v>
      </c>
      <c r="BT154" s="81">
        <v>1</v>
      </c>
      <c r="BU154" s="81">
        <v>0</v>
      </c>
      <c r="BV154" s="81">
        <v>0</v>
      </c>
      <c r="BW154" s="81">
        <v>0</v>
      </c>
      <c r="BX154" s="81">
        <v>0</v>
      </c>
      <c r="BY154" s="81">
        <v>0</v>
      </c>
      <c r="BZ154" s="81">
        <v>0</v>
      </c>
      <c r="CA154" s="81">
        <v>0</v>
      </c>
      <c r="CB154" s="81">
        <v>2</v>
      </c>
      <c r="CC154" s="81">
        <v>2</v>
      </c>
      <c r="CD154" s="81">
        <v>1</v>
      </c>
      <c r="CE154" s="81">
        <v>2</v>
      </c>
      <c r="CF154" s="81">
        <v>1</v>
      </c>
      <c r="CG154" s="81">
        <v>1</v>
      </c>
      <c r="CH154" s="81">
        <v>0</v>
      </c>
      <c r="CI154" s="81">
        <v>1</v>
      </c>
      <c r="CJ154" s="81">
        <v>1</v>
      </c>
      <c r="CK154" s="81">
        <v>1</v>
      </c>
      <c r="CL154" s="81">
        <v>1</v>
      </c>
      <c r="CM154" s="81">
        <v>1</v>
      </c>
      <c r="CN154" s="81">
        <v>1</v>
      </c>
      <c r="CO154" s="81" t="s">
        <v>751</v>
      </c>
    </row>
    <row r="155" spans="1:93" ht="11.55" customHeight="1" x14ac:dyDescent="0.3">
      <c r="A155" s="81" t="s">
        <v>822</v>
      </c>
      <c r="B155" s="81" t="s">
        <v>823</v>
      </c>
      <c r="C155" s="81" t="s">
        <v>398</v>
      </c>
      <c r="D155" s="94">
        <v>17</v>
      </c>
      <c r="E155" s="81">
        <v>0</v>
      </c>
      <c r="F155" s="81">
        <v>0</v>
      </c>
      <c r="G155" s="81">
        <v>0</v>
      </c>
      <c r="H155" s="81">
        <v>1</v>
      </c>
      <c r="I155" s="81">
        <v>0</v>
      </c>
      <c r="J155" s="81">
        <v>1</v>
      </c>
      <c r="K155" s="81">
        <v>0</v>
      </c>
      <c r="L155" s="81">
        <v>0</v>
      </c>
      <c r="M155" s="81">
        <v>0</v>
      </c>
      <c r="N155" s="81">
        <v>1</v>
      </c>
      <c r="O155" s="81">
        <v>0</v>
      </c>
      <c r="P155" s="81">
        <v>0</v>
      </c>
      <c r="Q155" s="81">
        <v>0</v>
      </c>
      <c r="R155" s="81">
        <v>0</v>
      </c>
      <c r="S155" s="81">
        <v>0</v>
      </c>
      <c r="T155" s="81">
        <v>1</v>
      </c>
      <c r="U155" s="81">
        <v>0</v>
      </c>
      <c r="V155" s="81">
        <v>0</v>
      </c>
      <c r="W155" s="81">
        <v>0</v>
      </c>
      <c r="X155" s="81">
        <v>0</v>
      </c>
      <c r="Y155" s="81">
        <v>0</v>
      </c>
      <c r="Z155" s="81">
        <v>1</v>
      </c>
      <c r="AA155" s="81">
        <v>0</v>
      </c>
      <c r="AB155" s="81">
        <v>0</v>
      </c>
      <c r="AC155" s="81">
        <v>0</v>
      </c>
      <c r="AD155" s="81">
        <v>0</v>
      </c>
      <c r="AE155" s="81">
        <v>0</v>
      </c>
      <c r="AF155" s="81">
        <v>0</v>
      </c>
      <c r="AG155" s="81">
        <v>0</v>
      </c>
      <c r="AH155" s="81">
        <v>0</v>
      </c>
      <c r="AI155" s="81">
        <v>0</v>
      </c>
      <c r="AJ155" s="81">
        <v>0</v>
      </c>
      <c r="AK155" s="81">
        <v>0</v>
      </c>
      <c r="AL155" s="81">
        <v>0</v>
      </c>
      <c r="AM155" s="81">
        <v>0</v>
      </c>
      <c r="AN155" s="81">
        <v>0</v>
      </c>
      <c r="AO155" s="81">
        <v>1</v>
      </c>
      <c r="AP155" s="81">
        <v>0</v>
      </c>
      <c r="AQ155" s="81">
        <v>0</v>
      </c>
      <c r="AR155" s="81">
        <v>0</v>
      </c>
      <c r="AS155" s="81">
        <v>0</v>
      </c>
      <c r="AT155" s="81">
        <v>1</v>
      </c>
      <c r="AU155" s="81">
        <v>0</v>
      </c>
      <c r="AV155" s="81">
        <v>0</v>
      </c>
      <c r="AW155" s="81">
        <v>0</v>
      </c>
      <c r="AX155" s="81">
        <v>0</v>
      </c>
      <c r="AY155" s="81">
        <v>0</v>
      </c>
      <c r="AZ155" s="81">
        <v>0</v>
      </c>
      <c r="BA155" s="81">
        <v>0</v>
      </c>
      <c r="BB155" s="81">
        <v>1</v>
      </c>
      <c r="BC155" s="81">
        <v>1</v>
      </c>
      <c r="BD155" s="81">
        <v>1</v>
      </c>
      <c r="BE155" s="81">
        <v>1</v>
      </c>
      <c r="BF155" s="81">
        <v>1</v>
      </c>
      <c r="BG155" s="81">
        <v>1</v>
      </c>
      <c r="BH155" s="81">
        <v>1</v>
      </c>
      <c r="BI155" s="81">
        <v>1</v>
      </c>
      <c r="BJ155" s="81">
        <v>1</v>
      </c>
      <c r="BK155" s="81">
        <v>1</v>
      </c>
      <c r="BL155" s="81">
        <v>1</v>
      </c>
      <c r="BM155" s="81">
        <v>1</v>
      </c>
      <c r="BN155" s="81">
        <v>1</v>
      </c>
      <c r="BO155" s="81">
        <v>1</v>
      </c>
      <c r="BP155" s="81">
        <v>1</v>
      </c>
      <c r="BQ155" s="81">
        <v>1</v>
      </c>
      <c r="BR155" s="81">
        <v>1</v>
      </c>
      <c r="BS155" s="81">
        <v>1</v>
      </c>
      <c r="BT155" s="81">
        <v>1</v>
      </c>
      <c r="BU155" s="81">
        <v>0</v>
      </c>
      <c r="BV155" s="81">
        <v>0</v>
      </c>
      <c r="BW155" s="81">
        <v>0</v>
      </c>
      <c r="BX155" s="81">
        <v>0</v>
      </c>
      <c r="BY155" s="81">
        <v>0</v>
      </c>
      <c r="BZ155" s="81">
        <v>0</v>
      </c>
      <c r="CA155" s="81">
        <v>0</v>
      </c>
      <c r="CB155" s="81">
        <v>2</v>
      </c>
      <c r="CC155" s="81">
        <v>2</v>
      </c>
      <c r="CD155" s="81">
        <v>1</v>
      </c>
      <c r="CE155" s="81">
        <v>2</v>
      </c>
      <c r="CF155" s="81">
        <v>1</v>
      </c>
      <c r="CG155" s="81">
        <v>1</v>
      </c>
      <c r="CH155" s="81">
        <v>0</v>
      </c>
      <c r="CI155" s="81">
        <v>1</v>
      </c>
      <c r="CJ155" s="81">
        <v>1</v>
      </c>
      <c r="CK155" s="81">
        <v>1</v>
      </c>
      <c r="CL155" s="81">
        <v>1</v>
      </c>
      <c r="CM155" s="81">
        <v>1</v>
      </c>
      <c r="CN155" s="81">
        <v>1</v>
      </c>
      <c r="CO155" s="81" t="s">
        <v>751</v>
      </c>
    </row>
    <row r="156" spans="1:93" ht="11.55" customHeight="1" x14ac:dyDescent="0.3">
      <c r="A156" s="81" t="s">
        <v>824</v>
      </c>
      <c r="B156" s="81" t="s">
        <v>825</v>
      </c>
      <c r="C156" s="81" t="s">
        <v>398</v>
      </c>
      <c r="D156" s="94">
        <v>17</v>
      </c>
      <c r="E156" s="81">
        <v>0</v>
      </c>
      <c r="F156" s="81">
        <v>0</v>
      </c>
      <c r="G156" s="81">
        <v>0</v>
      </c>
      <c r="H156" s="81">
        <v>1</v>
      </c>
      <c r="I156" s="81">
        <v>0</v>
      </c>
      <c r="J156" s="81">
        <v>1</v>
      </c>
      <c r="K156" s="81">
        <v>0</v>
      </c>
      <c r="L156" s="81">
        <v>0</v>
      </c>
      <c r="M156" s="81">
        <v>0</v>
      </c>
      <c r="N156" s="81">
        <v>1</v>
      </c>
      <c r="O156" s="81">
        <v>0</v>
      </c>
      <c r="P156" s="81">
        <v>0</v>
      </c>
      <c r="Q156" s="81">
        <v>0</v>
      </c>
      <c r="R156" s="81">
        <v>0</v>
      </c>
      <c r="S156" s="81">
        <v>0</v>
      </c>
      <c r="T156" s="81">
        <v>1</v>
      </c>
      <c r="U156" s="81">
        <v>0</v>
      </c>
      <c r="V156" s="81">
        <v>0</v>
      </c>
      <c r="W156" s="81">
        <v>0</v>
      </c>
      <c r="X156" s="81">
        <v>0</v>
      </c>
      <c r="Y156" s="81">
        <v>0</v>
      </c>
      <c r="Z156" s="81">
        <v>1</v>
      </c>
      <c r="AA156" s="81">
        <v>0</v>
      </c>
      <c r="AB156" s="81">
        <v>0</v>
      </c>
      <c r="AC156" s="81">
        <v>0</v>
      </c>
      <c r="AD156" s="81">
        <v>0</v>
      </c>
      <c r="AE156" s="81">
        <v>0</v>
      </c>
      <c r="AF156" s="81">
        <v>0</v>
      </c>
      <c r="AG156" s="81">
        <v>0</v>
      </c>
      <c r="AH156" s="81">
        <v>0</v>
      </c>
      <c r="AI156" s="81">
        <v>0</v>
      </c>
      <c r="AJ156" s="81">
        <v>0</v>
      </c>
      <c r="AK156" s="81">
        <v>0</v>
      </c>
      <c r="AL156" s="81">
        <v>0</v>
      </c>
      <c r="AM156" s="81">
        <v>0</v>
      </c>
      <c r="AN156" s="81">
        <v>0</v>
      </c>
      <c r="AO156" s="81">
        <v>1</v>
      </c>
      <c r="AP156" s="81">
        <v>0</v>
      </c>
      <c r="AQ156" s="81">
        <v>0</v>
      </c>
      <c r="AR156" s="81">
        <v>0</v>
      </c>
      <c r="AS156" s="81">
        <v>0</v>
      </c>
      <c r="AT156" s="81">
        <v>1</v>
      </c>
      <c r="AU156" s="81">
        <v>0</v>
      </c>
      <c r="AV156" s="81">
        <v>0</v>
      </c>
      <c r="AW156" s="81">
        <v>0</v>
      </c>
      <c r="AX156" s="81">
        <v>0</v>
      </c>
      <c r="AY156" s="81">
        <v>0</v>
      </c>
      <c r="AZ156" s="81">
        <v>0</v>
      </c>
      <c r="BA156" s="81">
        <v>0</v>
      </c>
      <c r="BB156" s="81">
        <v>1</v>
      </c>
      <c r="BC156" s="81">
        <v>1</v>
      </c>
      <c r="BD156" s="81">
        <v>1</v>
      </c>
      <c r="BE156" s="81">
        <v>1</v>
      </c>
      <c r="BF156" s="81">
        <v>1</v>
      </c>
      <c r="BG156" s="81">
        <v>1</v>
      </c>
      <c r="BH156" s="81">
        <v>1</v>
      </c>
      <c r="BI156" s="81">
        <v>1</v>
      </c>
      <c r="BJ156" s="81">
        <v>1</v>
      </c>
      <c r="BK156" s="81">
        <v>1</v>
      </c>
      <c r="BL156" s="81">
        <v>1</v>
      </c>
      <c r="BM156" s="81">
        <v>1</v>
      </c>
      <c r="BN156" s="81">
        <v>1</v>
      </c>
      <c r="BO156" s="81">
        <v>1</v>
      </c>
      <c r="BP156" s="81">
        <v>1</v>
      </c>
      <c r="BQ156" s="81">
        <v>1</v>
      </c>
      <c r="BR156" s="81">
        <v>1</v>
      </c>
      <c r="BS156" s="81">
        <v>1</v>
      </c>
      <c r="BT156" s="81">
        <v>1</v>
      </c>
      <c r="BU156" s="81">
        <v>0</v>
      </c>
      <c r="BV156" s="81">
        <v>0</v>
      </c>
      <c r="BW156" s="81">
        <v>0</v>
      </c>
      <c r="BX156" s="81">
        <v>0</v>
      </c>
      <c r="BY156" s="81">
        <v>0</v>
      </c>
      <c r="BZ156" s="81">
        <v>0</v>
      </c>
      <c r="CA156" s="81">
        <v>0</v>
      </c>
      <c r="CB156" s="81">
        <v>2</v>
      </c>
      <c r="CC156" s="81">
        <v>2</v>
      </c>
      <c r="CD156" s="81">
        <v>1</v>
      </c>
      <c r="CE156" s="81">
        <v>2</v>
      </c>
      <c r="CF156" s="81">
        <v>1</v>
      </c>
      <c r="CG156" s="81">
        <v>1</v>
      </c>
      <c r="CH156" s="81">
        <v>0</v>
      </c>
      <c r="CI156" s="81">
        <v>1</v>
      </c>
      <c r="CJ156" s="81">
        <v>1</v>
      </c>
      <c r="CK156" s="81">
        <v>1</v>
      </c>
      <c r="CL156" s="81">
        <v>1</v>
      </c>
      <c r="CM156" s="81">
        <v>1</v>
      </c>
      <c r="CN156" s="81">
        <v>1</v>
      </c>
      <c r="CO156" s="81" t="s">
        <v>751</v>
      </c>
    </row>
    <row r="157" spans="1:93" ht="11.55" customHeight="1" x14ac:dyDescent="0.3">
      <c r="A157" s="81" t="s">
        <v>826</v>
      </c>
      <c r="B157" s="81" t="s">
        <v>827</v>
      </c>
      <c r="C157" s="81" t="s">
        <v>398</v>
      </c>
      <c r="D157" s="94">
        <v>17</v>
      </c>
      <c r="E157" s="81">
        <v>0</v>
      </c>
      <c r="F157" s="81">
        <v>0</v>
      </c>
      <c r="G157" s="81">
        <v>0</v>
      </c>
      <c r="H157" s="81">
        <v>1</v>
      </c>
      <c r="I157" s="81">
        <v>0</v>
      </c>
      <c r="J157" s="81">
        <v>1</v>
      </c>
      <c r="K157" s="81">
        <v>0</v>
      </c>
      <c r="L157" s="81">
        <v>0</v>
      </c>
      <c r="M157" s="81">
        <v>0</v>
      </c>
      <c r="N157" s="81">
        <v>1</v>
      </c>
      <c r="O157" s="81">
        <v>0</v>
      </c>
      <c r="P157" s="81">
        <v>0</v>
      </c>
      <c r="Q157" s="81">
        <v>0</v>
      </c>
      <c r="R157" s="81">
        <v>0</v>
      </c>
      <c r="S157" s="81">
        <v>0</v>
      </c>
      <c r="T157" s="81">
        <v>1</v>
      </c>
      <c r="U157" s="81">
        <v>0</v>
      </c>
      <c r="V157" s="81">
        <v>0</v>
      </c>
      <c r="W157" s="81">
        <v>0</v>
      </c>
      <c r="X157" s="81">
        <v>0</v>
      </c>
      <c r="Y157" s="81">
        <v>0</v>
      </c>
      <c r="Z157" s="81">
        <v>1</v>
      </c>
      <c r="AA157" s="81">
        <v>0</v>
      </c>
      <c r="AB157" s="81">
        <v>0</v>
      </c>
      <c r="AC157" s="81">
        <v>0</v>
      </c>
      <c r="AD157" s="81">
        <v>0</v>
      </c>
      <c r="AE157" s="81">
        <v>0</v>
      </c>
      <c r="AF157" s="81">
        <v>0</v>
      </c>
      <c r="AG157" s="81">
        <v>0</v>
      </c>
      <c r="AH157" s="81">
        <v>0</v>
      </c>
      <c r="AI157" s="81">
        <v>0</v>
      </c>
      <c r="AJ157" s="81">
        <v>0</v>
      </c>
      <c r="AK157" s="81">
        <v>0</v>
      </c>
      <c r="AL157" s="81">
        <v>0</v>
      </c>
      <c r="AM157" s="81">
        <v>0</v>
      </c>
      <c r="AN157" s="81">
        <v>0</v>
      </c>
      <c r="AO157" s="81">
        <v>1</v>
      </c>
      <c r="AP157" s="81">
        <v>0</v>
      </c>
      <c r="AQ157" s="81">
        <v>0</v>
      </c>
      <c r="AR157" s="81">
        <v>0</v>
      </c>
      <c r="AS157" s="81">
        <v>0</v>
      </c>
      <c r="AT157" s="81">
        <v>1</v>
      </c>
      <c r="AU157" s="81">
        <v>0</v>
      </c>
      <c r="AV157" s="81">
        <v>0</v>
      </c>
      <c r="AW157" s="81">
        <v>0</v>
      </c>
      <c r="AX157" s="81">
        <v>0</v>
      </c>
      <c r="AY157" s="81">
        <v>0</v>
      </c>
      <c r="AZ157" s="81">
        <v>0</v>
      </c>
      <c r="BA157" s="81">
        <v>0</v>
      </c>
      <c r="BB157" s="81">
        <v>1</v>
      </c>
      <c r="BC157" s="81">
        <v>1</v>
      </c>
      <c r="BD157" s="81">
        <v>1</v>
      </c>
      <c r="BE157" s="81">
        <v>1</v>
      </c>
      <c r="BF157" s="81">
        <v>1</v>
      </c>
      <c r="BG157" s="81">
        <v>1</v>
      </c>
      <c r="BH157" s="81">
        <v>1</v>
      </c>
      <c r="BI157" s="81">
        <v>1</v>
      </c>
      <c r="BJ157" s="81">
        <v>1</v>
      </c>
      <c r="BK157" s="81">
        <v>1</v>
      </c>
      <c r="BL157" s="81">
        <v>1</v>
      </c>
      <c r="BM157" s="81">
        <v>1</v>
      </c>
      <c r="BN157" s="81">
        <v>1</v>
      </c>
      <c r="BO157" s="81">
        <v>1</v>
      </c>
      <c r="BP157" s="81">
        <v>1</v>
      </c>
      <c r="BQ157" s="81">
        <v>1</v>
      </c>
      <c r="BR157" s="81">
        <v>1</v>
      </c>
      <c r="BS157" s="81">
        <v>1</v>
      </c>
      <c r="BT157" s="81">
        <v>1</v>
      </c>
      <c r="BU157" s="81">
        <v>0</v>
      </c>
      <c r="BV157" s="81">
        <v>0</v>
      </c>
      <c r="BW157" s="81">
        <v>0</v>
      </c>
      <c r="BX157" s="81">
        <v>0</v>
      </c>
      <c r="BY157" s="81">
        <v>0</v>
      </c>
      <c r="BZ157" s="81">
        <v>0</v>
      </c>
      <c r="CA157" s="81">
        <v>0</v>
      </c>
      <c r="CB157" s="81">
        <v>2</v>
      </c>
      <c r="CC157" s="81">
        <v>2</v>
      </c>
      <c r="CD157" s="81">
        <v>1</v>
      </c>
      <c r="CE157" s="81">
        <v>2</v>
      </c>
      <c r="CF157" s="81">
        <v>1</v>
      </c>
      <c r="CG157" s="81">
        <v>1</v>
      </c>
      <c r="CH157" s="81">
        <v>0</v>
      </c>
      <c r="CI157" s="81">
        <v>1</v>
      </c>
      <c r="CJ157" s="81">
        <v>1</v>
      </c>
      <c r="CK157" s="81">
        <v>1</v>
      </c>
      <c r="CL157" s="81">
        <v>1</v>
      </c>
      <c r="CM157" s="81">
        <v>1</v>
      </c>
      <c r="CN157" s="81">
        <v>1</v>
      </c>
      <c r="CO157" s="81" t="s">
        <v>751</v>
      </c>
    </row>
    <row r="158" spans="1:93" ht="11.55" customHeight="1" x14ac:dyDescent="0.3">
      <c r="A158" s="81" t="s">
        <v>828</v>
      </c>
      <c r="B158" s="81" t="s">
        <v>829</v>
      </c>
      <c r="C158" s="81" t="s">
        <v>398</v>
      </c>
      <c r="D158" s="94">
        <v>17</v>
      </c>
      <c r="E158" s="81">
        <v>0</v>
      </c>
      <c r="F158" s="81">
        <v>0</v>
      </c>
      <c r="G158" s="81">
        <v>0</v>
      </c>
      <c r="H158" s="81">
        <v>1</v>
      </c>
      <c r="I158" s="81">
        <v>0</v>
      </c>
      <c r="J158" s="81">
        <v>1</v>
      </c>
      <c r="K158" s="81">
        <v>0</v>
      </c>
      <c r="L158" s="81">
        <v>0</v>
      </c>
      <c r="M158" s="81">
        <v>0</v>
      </c>
      <c r="N158" s="81">
        <v>1</v>
      </c>
      <c r="O158" s="81">
        <v>0</v>
      </c>
      <c r="P158" s="81">
        <v>0</v>
      </c>
      <c r="Q158" s="81">
        <v>0</v>
      </c>
      <c r="R158" s="81">
        <v>0</v>
      </c>
      <c r="S158" s="81">
        <v>0</v>
      </c>
      <c r="T158" s="81">
        <v>1</v>
      </c>
      <c r="U158" s="81">
        <v>0</v>
      </c>
      <c r="V158" s="81">
        <v>0</v>
      </c>
      <c r="W158" s="81">
        <v>0</v>
      </c>
      <c r="X158" s="81">
        <v>0</v>
      </c>
      <c r="Y158" s="81">
        <v>0</v>
      </c>
      <c r="Z158" s="81">
        <v>1</v>
      </c>
      <c r="AA158" s="81">
        <v>0</v>
      </c>
      <c r="AB158" s="81">
        <v>0</v>
      </c>
      <c r="AC158" s="81">
        <v>0</v>
      </c>
      <c r="AD158" s="81">
        <v>0</v>
      </c>
      <c r="AE158" s="81">
        <v>0</v>
      </c>
      <c r="AF158" s="81">
        <v>0</v>
      </c>
      <c r="AG158" s="81">
        <v>0</v>
      </c>
      <c r="AH158" s="81">
        <v>0</v>
      </c>
      <c r="AI158" s="81">
        <v>0</v>
      </c>
      <c r="AJ158" s="81">
        <v>0</v>
      </c>
      <c r="AK158" s="81">
        <v>0</v>
      </c>
      <c r="AL158" s="81">
        <v>0</v>
      </c>
      <c r="AM158" s="81">
        <v>0</v>
      </c>
      <c r="AN158" s="81">
        <v>0</v>
      </c>
      <c r="AO158" s="81">
        <v>1</v>
      </c>
      <c r="AP158" s="81">
        <v>0</v>
      </c>
      <c r="AQ158" s="81">
        <v>0</v>
      </c>
      <c r="AR158" s="81">
        <v>0</v>
      </c>
      <c r="AS158" s="81">
        <v>0</v>
      </c>
      <c r="AT158" s="81">
        <v>1</v>
      </c>
      <c r="AU158" s="81">
        <v>0</v>
      </c>
      <c r="AV158" s="81">
        <v>0</v>
      </c>
      <c r="AW158" s="81">
        <v>0</v>
      </c>
      <c r="AX158" s="81">
        <v>0</v>
      </c>
      <c r="AY158" s="81">
        <v>0</v>
      </c>
      <c r="AZ158" s="81">
        <v>0</v>
      </c>
      <c r="BA158" s="81">
        <v>0</v>
      </c>
      <c r="BB158" s="81">
        <v>1</v>
      </c>
      <c r="BC158" s="81">
        <v>1</v>
      </c>
      <c r="BD158" s="81">
        <v>1</v>
      </c>
      <c r="BE158" s="81">
        <v>1</v>
      </c>
      <c r="BF158" s="81">
        <v>1</v>
      </c>
      <c r="BG158" s="81">
        <v>1</v>
      </c>
      <c r="BH158" s="81">
        <v>1</v>
      </c>
      <c r="BI158" s="81">
        <v>1</v>
      </c>
      <c r="BJ158" s="81">
        <v>1</v>
      </c>
      <c r="BK158" s="81">
        <v>1</v>
      </c>
      <c r="BL158" s="81">
        <v>1</v>
      </c>
      <c r="BM158" s="81">
        <v>1</v>
      </c>
      <c r="BN158" s="81">
        <v>1</v>
      </c>
      <c r="BO158" s="81">
        <v>1</v>
      </c>
      <c r="BP158" s="81">
        <v>1</v>
      </c>
      <c r="BQ158" s="81">
        <v>1</v>
      </c>
      <c r="BR158" s="81">
        <v>1</v>
      </c>
      <c r="BS158" s="81">
        <v>1</v>
      </c>
      <c r="BT158" s="81">
        <v>1</v>
      </c>
      <c r="BU158" s="81">
        <v>0</v>
      </c>
      <c r="BV158" s="81">
        <v>0</v>
      </c>
      <c r="BW158" s="81">
        <v>0</v>
      </c>
      <c r="BX158" s="81">
        <v>0</v>
      </c>
      <c r="BY158" s="81">
        <v>0</v>
      </c>
      <c r="BZ158" s="81">
        <v>0</v>
      </c>
      <c r="CA158" s="81">
        <v>0</v>
      </c>
      <c r="CB158" s="81">
        <v>2</v>
      </c>
      <c r="CC158" s="81">
        <v>2</v>
      </c>
      <c r="CD158" s="81">
        <v>1</v>
      </c>
      <c r="CE158" s="81">
        <v>2</v>
      </c>
      <c r="CF158" s="81">
        <v>1</v>
      </c>
      <c r="CG158" s="81">
        <v>1</v>
      </c>
      <c r="CH158" s="81">
        <v>0</v>
      </c>
      <c r="CI158" s="81">
        <v>1</v>
      </c>
      <c r="CJ158" s="81">
        <v>1</v>
      </c>
      <c r="CK158" s="81">
        <v>1</v>
      </c>
      <c r="CL158" s="81">
        <v>1</v>
      </c>
      <c r="CM158" s="81">
        <v>1</v>
      </c>
      <c r="CN158" s="81">
        <v>1</v>
      </c>
      <c r="CO158" s="81" t="s">
        <v>751</v>
      </c>
    </row>
    <row r="159" spans="1:93" ht="11.55" customHeight="1" x14ac:dyDescent="0.3">
      <c r="A159" s="81" t="s">
        <v>830</v>
      </c>
      <c r="B159" s="81" t="s">
        <v>831</v>
      </c>
      <c r="C159" s="81" t="s">
        <v>398</v>
      </c>
      <c r="D159" s="94">
        <v>17</v>
      </c>
      <c r="E159" s="81">
        <v>0</v>
      </c>
      <c r="F159" s="81">
        <v>0</v>
      </c>
      <c r="G159" s="81">
        <v>0</v>
      </c>
      <c r="H159" s="81">
        <v>1</v>
      </c>
      <c r="I159" s="81">
        <v>0</v>
      </c>
      <c r="J159" s="81">
        <v>1</v>
      </c>
      <c r="K159" s="81">
        <v>0</v>
      </c>
      <c r="L159" s="81">
        <v>0</v>
      </c>
      <c r="M159" s="81">
        <v>0</v>
      </c>
      <c r="N159" s="81">
        <v>1</v>
      </c>
      <c r="O159" s="81">
        <v>0</v>
      </c>
      <c r="P159" s="81">
        <v>0</v>
      </c>
      <c r="Q159" s="81">
        <v>0</v>
      </c>
      <c r="R159" s="81">
        <v>0</v>
      </c>
      <c r="S159" s="81">
        <v>0</v>
      </c>
      <c r="T159" s="81">
        <v>1</v>
      </c>
      <c r="U159" s="81">
        <v>0</v>
      </c>
      <c r="V159" s="81">
        <v>0</v>
      </c>
      <c r="W159" s="81">
        <v>0</v>
      </c>
      <c r="X159" s="81">
        <v>0</v>
      </c>
      <c r="Y159" s="81">
        <v>0</v>
      </c>
      <c r="Z159" s="81">
        <v>1</v>
      </c>
      <c r="AA159" s="81">
        <v>0</v>
      </c>
      <c r="AB159" s="81">
        <v>0</v>
      </c>
      <c r="AC159" s="81">
        <v>0</v>
      </c>
      <c r="AD159" s="81">
        <v>0</v>
      </c>
      <c r="AE159" s="81">
        <v>0</v>
      </c>
      <c r="AF159" s="81">
        <v>0</v>
      </c>
      <c r="AG159" s="81">
        <v>0</v>
      </c>
      <c r="AH159" s="81">
        <v>0</v>
      </c>
      <c r="AI159" s="81">
        <v>0</v>
      </c>
      <c r="AJ159" s="81">
        <v>0</v>
      </c>
      <c r="AK159" s="81">
        <v>0</v>
      </c>
      <c r="AL159" s="81">
        <v>0</v>
      </c>
      <c r="AM159" s="81">
        <v>0</v>
      </c>
      <c r="AN159" s="81">
        <v>0</v>
      </c>
      <c r="AO159" s="81">
        <v>1</v>
      </c>
      <c r="AP159" s="81">
        <v>0</v>
      </c>
      <c r="AQ159" s="81">
        <v>0</v>
      </c>
      <c r="AR159" s="81">
        <v>0</v>
      </c>
      <c r="AS159" s="81">
        <v>0</v>
      </c>
      <c r="AT159" s="81">
        <v>1</v>
      </c>
      <c r="AU159" s="81">
        <v>0</v>
      </c>
      <c r="AV159" s="81">
        <v>0</v>
      </c>
      <c r="AW159" s="81">
        <v>0</v>
      </c>
      <c r="AX159" s="81">
        <v>0</v>
      </c>
      <c r="AY159" s="81">
        <v>0</v>
      </c>
      <c r="AZ159" s="81">
        <v>0</v>
      </c>
      <c r="BA159" s="81">
        <v>0</v>
      </c>
      <c r="BB159" s="81">
        <v>1</v>
      </c>
      <c r="BC159" s="81">
        <v>1</v>
      </c>
      <c r="BD159" s="81">
        <v>1</v>
      </c>
      <c r="BE159" s="81">
        <v>1</v>
      </c>
      <c r="BF159" s="81">
        <v>1</v>
      </c>
      <c r="BG159" s="81">
        <v>1</v>
      </c>
      <c r="BH159" s="81">
        <v>1</v>
      </c>
      <c r="BI159" s="81">
        <v>1</v>
      </c>
      <c r="BJ159" s="81">
        <v>1</v>
      </c>
      <c r="BK159" s="81">
        <v>1</v>
      </c>
      <c r="BL159" s="81">
        <v>1</v>
      </c>
      <c r="BM159" s="81">
        <v>1</v>
      </c>
      <c r="BN159" s="81">
        <v>1</v>
      </c>
      <c r="BO159" s="81">
        <v>1</v>
      </c>
      <c r="BP159" s="81">
        <v>1</v>
      </c>
      <c r="BQ159" s="81">
        <v>1</v>
      </c>
      <c r="BR159" s="81">
        <v>1</v>
      </c>
      <c r="BS159" s="81">
        <v>1</v>
      </c>
      <c r="BT159" s="81">
        <v>1</v>
      </c>
      <c r="BU159" s="81">
        <v>0</v>
      </c>
      <c r="BV159" s="81">
        <v>0</v>
      </c>
      <c r="BW159" s="81">
        <v>0</v>
      </c>
      <c r="BX159" s="81">
        <v>0</v>
      </c>
      <c r="BY159" s="81">
        <v>0</v>
      </c>
      <c r="BZ159" s="81">
        <v>0</v>
      </c>
      <c r="CA159" s="81">
        <v>0</v>
      </c>
      <c r="CB159" s="81">
        <v>2</v>
      </c>
      <c r="CC159" s="81">
        <v>2</v>
      </c>
      <c r="CD159" s="81">
        <v>1</v>
      </c>
      <c r="CE159" s="81">
        <v>2</v>
      </c>
      <c r="CF159" s="81">
        <v>1</v>
      </c>
      <c r="CG159" s="81">
        <v>1</v>
      </c>
      <c r="CH159" s="81">
        <v>0</v>
      </c>
      <c r="CI159" s="81">
        <v>1</v>
      </c>
      <c r="CJ159" s="81">
        <v>1</v>
      </c>
      <c r="CK159" s="81">
        <v>1</v>
      </c>
      <c r="CL159" s="81">
        <v>1</v>
      </c>
      <c r="CM159" s="81">
        <v>1</v>
      </c>
      <c r="CN159" s="81">
        <v>1</v>
      </c>
      <c r="CO159" s="81" t="s">
        <v>751</v>
      </c>
    </row>
    <row r="160" spans="1:93" ht="11.55" customHeight="1" x14ac:dyDescent="0.3">
      <c r="A160" s="81" t="s">
        <v>832</v>
      </c>
      <c r="B160" s="81" t="s">
        <v>833</v>
      </c>
      <c r="C160" s="81" t="s">
        <v>398</v>
      </c>
      <c r="D160" s="94">
        <v>17</v>
      </c>
      <c r="E160" s="81">
        <v>0</v>
      </c>
      <c r="F160" s="81">
        <v>0</v>
      </c>
      <c r="G160" s="81">
        <v>0</v>
      </c>
      <c r="H160" s="81">
        <v>1</v>
      </c>
      <c r="I160" s="81">
        <v>0</v>
      </c>
      <c r="J160" s="81">
        <v>1</v>
      </c>
      <c r="K160" s="81">
        <v>0</v>
      </c>
      <c r="L160" s="81">
        <v>0</v>
      </c>
      <c r="M160" s="81">
        <v>0</v>
      </c>
      <c r="N160" s="81">
        <v>1</v>
      </c>
      <c r="O160" s="81">
        <v>0</v>
      </c>
      <c r="P160" s="81">
        <v>0</v>
      </c>
      <c r="Q160" s="81">
        <v>0</v>
      </c>
      <c r="R160" s="81">
        <v>0</v>
      </c>
      <c r="S160" s="81">
        <v>0</v>
      </c>
      <c r="T160" s="81">
        <v>1</v>
      </c>
      <c r="U160" s="81">
        <v>0</v>
      </c>
      <c r="V160" s="81">
        <v>0</v>
      </c>
      <c r="W160" s="81">
        <v>0</v>
      </c>
      <c r="X160" s="81">
        <v>0</v>
      </c>
      <c r="Y160" s="81">
        <v>0</v>
      </c>
      <c r="Z160" s="81">
        <v>1</v>
      </c>
      <c r="AA160" s="81">
        <v>0</v>
      </c>
      <c r="AB160" s="81">
        <v>0</v>
      </c>
      <c r="AC160" s="81">
        <v>0</v>
      </c>
      <c r="AD160" s="81">
        <v>0</v>
      </c>
      <c r="AE160" s="81">
        <v>0</v>
      </c>
      <c r="AF160" s="81">
        <v>0</v>
      </c>
      <c r="AG160" s="81">
        <v>0</v>
      </c>
      <c r="AH160" s="81">
        <v>0</v>
      </c>
      <c r="AI160" s="81">
        <v>0</v>
      </c>
      <c r="AJ160" s="81">
        <v>0</v>
      </c>
      <c r="AK160" s="81">
        <v>0</v>
      </c>
      <c r="AL160" s="81">
        <v>0</v>
      </c>
      <c r="AM160" s="81">
        <v>0</v>
      </c>
      <c r="AN160" s="81">
        <v>0</v>
      </c>
      <c r="AO160" s="81">
        <v>1</v>
      </c>
      <c r="AP160" s="81">
        <v>0</v>
      </c>
      <c r="AQ160" s="81">
        <v>0</v>
      </c>
      <c r="AR160" s="81">
        <v>0</v>
      </c>
      <c r="AS160" s="81">
        <v>0</v>
      </c>
      <c r="AT160" s="81">
        <v>1</v>
      </c>
      <c r="AU160" s="81">
        <v>0</v>
      </c>
      <c r="AV160" s="81">
        <v>0</v>
      </c>
      <c r="AW160" s="81">
        <v>0</v>
      </c>
      <c r="AX160" s="81">
        <v>0</v>
      </c>
      <c r="AY160" s="81">
        <v>0</v>
      </c>
      <c r="AZ160" s="81">
        <v>0</v>
      </c>
      <c r="BA160" s="81">
        <v>0</v>
      </c>
      <c r="BB160" s="81">
        <v>1</v>
      </c>
      <c r="BC160" s="81">
        <v>1</v>
      </c>
      <c r="BD160" s="81">
        <v>1</v>
      </c>
      <c r="BE160" s="81">
        <v>1</v>
      </c>
      <c r="BF160" s="81">
        <v>1</v>
      </c>
      <c r="BG160" s="81">
        <v>1</v>
      </c>
      <c r="BH160" s="81">
        <v>1</v>
      </c>
      <c r="BI160" s="81">
        <v>1</v>
      </c>
      <c r="BJ160" s="81">
        <v>1</v>
      </c>
      <c r="BK160" s="81">
        <v>1</v>
      </c>
      <c r="BL160" s="81">
        <v>1</v>
      </c>
      <c r="BM160" s="81">
        <v>1</v>
      </c>
      <c r="BN160" s="81">
        <v>1</v>
      </c>
      <c r="BO160" s="81">
        <v>1</v>
      </c>
      <c r="BP160" s="81">
        <v>1</v>
      </c>
      <c r="BQ160" s="81">
        <v>1</v>
      </c>
      <c r="BR160" s="81">
        <v>1</v>
      </c>
      <c r="BS160" s="81">
        <v>1</v>
      </c>
      <c r="BT160" s="81">
        <v>1</v>
      </c>
      <c r="BU160" s="81">
        <v>0</v>
      </c>
      <c r="BV160" s="81">
        <v>0</v>
      </c>
      <c r="BW160" s="81">
        <v>0</v>
      </c>
      <c r="BX160" s="81">
        <v>0</v>
      </c>
      <c r="BY160" s="81">
        <v>0</v>
      </c>
      <c r="BZ160" s="81">
        <v>0</v>
      </c>
      <c r="CA160" s="81">
        <v>0</v>
      </c>
      <c r="CB160" s="81">
        <v>2</v>
      </c>
      <c r="CC160" s="81">
        <v>2</v>
      </c>
      <c r="CD160" s="81">
        <v>1</v>
      </c>
      <c r="CE160" s="81">
        <v>2</v>
      </c>
      <c r="CF160" s="81">
        <v>1</v>
      </c>
      <c r="CG160" s="81">
        <v>1</v>
      </c>
      <c r="CH160" s="81">
        <v>0</v>
      </c>
      <c r="CI160" s="81">
        <v>1</v>
      </c>
      <c r="CJ160" s="81">
        <v>1</v>
      </c>
      <c r="CK160" s="81">
        <v>1</v>
      </c>
      <c r="CL160" s="81">
        <v>1</v>
      </c>
      <c r="CM160" s="81">
        <v>1</v>
      </c>
      <c r="CN160" s="81">
        <v>1</v>
      </c>
      <c r="CO160" s="81" t="s">
        <v>751</v>
      </c>
    </row>
    <row r="161" spans="1:93" ht="11.55" customHeight="1" x14ac:dyDescent="0.3">
      <c r="A161" s="81" t="s">
        <v>834</v>
      </c>
      <c r="B161" s="81" t="s">
        <v>835</v>
      </c>
      <c r="C161" s="81" t="s">
        <v>398</v>
      </c>
      <c r="D161" s="94">
        <v>17</v>
      </c>
      <c r="E161" s="81">
        <v>0</v>
      </c>
      <c r="F161" s="81">
        <v>0</v>
      </c>
      <c r="G161" s="81">
        <v>0</v>
      </c>
      <c r="H161" s="81">
        <v>1</v>
      </c>
      <c r="I161" s="81">
        <v>0</v>
      </c>
      <c r="J161" s="81">
        <v>1</v>
      </c>
      <c r="K161" s="81">
        <v>0</v>
      </c>
      <c r="L161" s="81">
        <v>0</v>
      </c>
      <c r="M161" s="81">
        <v>0</v>
      </c>
      <c r="N161" s="81">
        <v>1</v>
      </c>
      <c r="O161" s="81">
        <v>0</v>
      </c>
      <c r="P161" s="81">
        <v>0</v>
      </c>
      <c r="Q161" s="81">
        <v>0</v>
      </c>
      <c r="R161" s="81">
        <v>0</v>
      </c>
      <c r="S161" s="81">
        <v>0</v>
      </c>
      <c r="T161" s="81">
        <v>1</v>
      </c>
      <c r="U161" s="81">
        <v>0</v>
      </c>
      <c r="V161" s="81">
        <v>0</v>
      </c>
      <c r="W161" s="81">
        <v>0</v>
      </c>
      <c r="X161" s="81">
        <v>0</v>
      </c>
      <c r="Y161" s="81">
        <v>0</v>
      </c>
      <c r="Z161" s="81">
        <v>1</v>
      </c>
      <c r="AA161" s="81">
        <v>0</v>
      </c>
      <c r="AB161" s="81">
        <v>0</v>
      </c>
      <c r="AC161" s="81">
        <v>0</v>
      </c>
      <c r="AD161" s="81">
        <v>0</v>
      </c>
      <c r="AE161" s="81">
        <v>0</v>
      </c>
      <c r="AF161" s="81">
        <v>0</v>
      </c>
      <c r="AG161" s="81">
        <v>0</v>
      </c>
      <c r="AH161" s="81">
        <v>0</v>
      </c>
      <c r="AI161" s="81">
        <v>0</v>
      </c>
      <c r="AJ161" s="81">
        <v>0</v>
      </c>
      <c r="AK161" s="81">
        <v>0</v>
      </c>
      <c r="AL161" s="81">
        <v>0</v>
      </c>
      <c r="AM161" s="81">
        <v>0</v>
      </c>
      <c r="AN161" s="81">
        <v>0</v>
      </c>
      <c r="AO161" s="81">
        <v>1</v>
      </c>
      <c r="AP161" s="81">
        <v>0</v>
      </c>
      <c r="AQ161" s="81">
        <v>0</v>
      </c>
      <c r="AR161" s="81">
        <v>0</v>
      </c>
      <c r="AS161" s="81">
        <v>0</v>
      </c>
      <c r="AT161" s="81">
        <v>1</v>
      </c>
      <c r="AU161" s="81">
        <v>0</v>
      </c>
      <c r="AV161" s="81">
        <v>0</v>
      </c>
      <c r="AW161" s="81">
        <v>0</v>
      </c>
      <c r="AX161" s="81">
        <v>0</v>
      </c>
      <c r="AY161" s="81">
        <v>0</v>
      </c>
      <c r="AZ161" s="81">
        <v>0</v>
      </c>
      <c r="BA161" s="81">
        <v>0</v>
      </c>
      <c r="BB161" s="81">
        <v>1</v>
      </c>
      <c r="BC161" s="81">
        <v>1</v>
      </c>
      <c r="BD161" s="81">
        <v>1</v>
      </c>
      <c r="BE161" s="81">
        <v>1</v>
      </c>
      <c r="BF161" s="81">
        <v>1</v>
      </c>
      <c r="BG161" s="81">
        <v>1</v>
      </c>
      <c r="BH161" s="81">
        <v>1</v>
      </c>
      <c r="BI161" s="81">
        <v>1</v>
      </c>
      <c r="BJ161" s="81">
        <v>1</v>
      </c>
      <c r="BK161" s="81">
        <v>1</v>
      </c>
      <c r="BL161" s="81">
        <v>1</v>
      </c>
      <c r="BM161" s="81">
        <v>1</v>
      </c>
      <c r="BN161" s="81">
        <v>1</v>
      </c>
      <c r="BO161" s="81">
        <v>1</v>
      </c>
      <c r="BP161" s="81">
        <v>1</v>
      </c>
      <c r="BQ161" s="81">
        <v>1</v>
      </c>
      <c r="BR161" s="81">
        <v>1</v>
      </c>
      <c r="BS161" s="81">
        <v>1</v>
      </c>
      <c r="BT161" s="81">
        <v>1</v>
      </c>
      <c r="BU161" s="81">
        <v>0</v>
      </c>
      <c r="BV161" s="81">
        <v>0</v>
      </c>
      <c r="BW161" s="81">
        <v>0</v>
      </c>
      <c r="BX161" s="81">
        <v>0</v>
      </c>
      <c r="BY161" s="81">
        <v>0</v>
      </c>
      <c r="BZ161" s="81">
        <v>0</v>
      </c>
      <c r="CA161" s="81">
        <v>0</v>
      </c>
      <c r="CB161" s="81">
        <v>2</v>
      </c>
      <c r="CC161" s="81">
        <v>2</v>
      </c>
      <c r="CD161" s="81">
        <v>1</v>
      </c>
      <c r="CE161" s="81">
        <v>2</v>
      </c>
      <c r="CF161" s="81">
        <v>1</v>
      </c>
      <c r="CG161" s="81">
        <v>1</v>
      </c>
      <c r="CH161" s="81">
        <v>0</v>
      </c>
      <c r="CI161" s="81">
        <v>1</v>
      </c>
      <c r="CJ161" s="81">
        <v>1</v>
      </c>
      <c r="CK161" s="81">
        <v>1</v>
      </c>
      <c r="CL161" s="81">
        <v>1</v>
      </c>
      <c r="CM161" s="81">
        <v>1</v>
      </c>
      <c r="CN161" s="81">
        <v>1</v>
      </c>
      <c r="CO161" s="81" t="s">
        <v>751</v>
      </c>
    </row>
    <row r="162" spans="1:93" ht="11.55" customHeight="1" x14ac:dyDescent="0.3">
      <c r="A162" s="81" t="s">
        <v>836</v>
      </c>
      <c r="B162" s="81" t="s">
        <v>837</v>
      </c>
      <c r="C162" s="81" t="s">
        <v>398</v>
      </c>
      <c r="D162" s="94">
        <v>17</v>
      </c>
      <c r="E162" s="81">
        <v>0</v>
      </c>
      <c r="F162" s="81">
        <v>0</v>
      </c>
      <c r="G162" s="81">
        <v>0</v>
      </c>
      <c r="H162" s="81">
        <v>1</v>
      </c>
      <c r="I162" s="81">
        <v>0</v>
      </c>
      <c r="J162" s="81">
        <v>1</v>
      </c>
      <c r="K162" s="81">
        <v>0</v>
      </c>
      <c r="L162" s="81">
        <v>0</v>
      </c>
      <c r="M162" s="81">
        <v>0</v>
      </c>
      <c r="N162" s="81">
        <v>1</v>
      </c>
      <c r="O162" s="81">
        <v>0</v>
      </c>
      <c r="P162" s="81">
        <v>0</v>
      </c>
      <c r="Q162" s="81">
        <v>0</v>
      </c>
      <c r="R162" s="81">
        <v>0</v>
      </c>
      <c r="S162" s="81">
        <v>0</v>
      </c>
      <c r="T162" s="81">
        <v>1</v>
      </c>
      <c r="U162" s="81">
        <v>0</v>
      </c>
      <c r="V162" s="81">
        <v>0</v>
      </c>
      <c r="W162" s="81">
        <v>0</v>
      </c>
      <c r="X162" s="81">
        <v>0</v>
      </c>
      <c r="Y162" s="81">
        <v>0</v>
      </c>
      <c r="Z162" s="81">
        <v>1</v>
      </c>
      <c r="AA162" s="81">
        <v>0</v>
      </c>
      <c r="AB162" s="81">
        <v>0</v>
      </c>
      <c r="AC162" s="81">
        <v>0</v>
      </c>
      <c r="AD162" s="81">
        <v>0</v>
      </c>
      <c r="AE162" s="81">
        <v>0</v>
      </c>
      <c r="AF162" s="81">
        <v>0</v>
      </c>
      <c r="AG162" s="81">
        <v>0</v>
      </c>
      <c r="AH162" s="81">
        <v>0</v>
      </c>
      <c r="AI162" s="81">
        <v>0</v>
      </c>
      <c r="AJ162" s="81">
        <v>0</v>
      </c>
      <c r="AK162" s="81">
        <v>0</v>
      </c>
      <c r="AL162" s="81">
        <v>0</v>
      </c>
      <c r="AM162" s="81">
        <v>0</v>
      </c>
      <c r="AN162" s="81">
        <v>0</v>
      </c>
      <c r="AO162" s="81">
        <v>1</v>
      </c>
      <c r="AP162" s="81">
        <v>0</v>
      </c>
      <c r="AQ162" s="81">
        <v>0</v>
      </c>
      <c r="AR162" s="81">
        <v>0</v>
      </c>
      <c r="AS162" s="81">
        <v>0</v>
      </c>
      <c r="AT162" s="81">
        <v>1</v>
      </c>
      <c r="AU162" s="81">
        <v>0</v>
      </c>
      <c r="AV162" s="81">
        <v>0</v>
      </c>
      <c r="AW162" s="81">
        <v>0</v>
      </c>
      <c r="AX162" s="81">
        <v>0</v>
      </c>
      <c r="AY162" s="81">
        <v>0</v>
      </c>
      <c r="AZ162" s="81">
        <v>0</v>
      </c>
      <c r="BA162" s="81">
        <v>0</v>
      </c>
      <c r="BB162" s="81">
        <v>1</v>
      </c>
      <c r="BC162" s="81">
        <v>1</v>
      </c>
      <c r="BD162" s="81">
        <v>1</v>
      </c>
      <c r="BE162" s="81">
        <v>1</v>
      </c>
      <c r="BF162" s="81">
        <v>1</v>
      </c>
      <c r="BG162" s="81">
        <v>1</v>
      </c>
      <c r="BH162" s="81">
        <v>1</v>
      </c>
      <c r="BI162" s="81">
        <v>1</v>
      </c>
      <c r="BJ162" s="81">
        <v>1</v>
      </c>
      <c r="BK162" s="81">
        <v>1</v>
      </c>
      <c r="BL162" s="81">
        <v>1</v>
      </c>
      <c r="BM162" s="81">
        <v>1</v>
      </c>
      <c r="BN162" s="81">
        <v>1</v>
      </c>
      <c r="BO162" s="81">
        <v>1</v>
      </c>
      <c r="BP162" s="81">
        <v>1</v>
      </c>
      <c r="BQ162" s="81">
        <v>1</v>
      </c>
      <c r="BR162" s="81">
        <v>1</v>
      </c>
      <c r="BS162" s="81">
        <v>1</v>
      </c>
      <c r="BT162" s="81">
        <v>1</v>
      </c>
      <c r="BU162" s="81">
        <v>0</v>
      </c>
      <c r="BV162" s="81">
        <v>0</v>
      </c>
      <c r="BW162" s="81">
        <v>0</v>
      </c>
      <c r="BX162" s="81">
        <v>0</v>
      </c>
      <c r="BY162" s="81">
        <v>0</v>
      </c>
      <c r="BZ162" s="81">
        <v>0</v>
      </c>
      <c r="CA162" s="81">
        <v>0</v>
      </c>
      <c r="CB162" s="81">
        <v>2</v>
      </c>
      <c r="CC162" s="81">
        <v>2</v>
      </c>
      <c r="CD162" s="81">
        <v>1</v>
      </c>
      <c r="CE162" s="81">
        <v>2</v>
      </c>
      <c r="CF162" s="81">
        <v>1</v>
      </c>
      <c r="CG162" s="81">
        <v>1</v>
      </c>
      <c r="CH162" s="81">
        <v>0</v>
      </c>
      <c r="CI162" s="81">
        <v>1</v>
      </c>
      <c r="CJ162" s="81">
        <v>1</v>
      </c>
      <c r="CK162" s="81">
        <v>1</v>
      </c>
      <c r="CL162" s="81">
        <v>1</v>
      </c>
      <c r="CM162" s="81">
        <v>1</v>
      </c>
      <c r="CN162" s="81">
        <v>1</v>
      </c>
      <c r="CO162" s="81" t="s">
        <v>751</v>
      </c>
    </row>
    <row r="163" spans="1:93" ht="11.55" customHeight="1" x14ac:dyDescent="0.3">
      <c r="A163" s="81" t="s">
        <v>838</v>
      </c>
      <c r="B163" s="81" t="s">
        <v>839</v>
      </c>
      <c r="C163" s="81" t="s">
        <v>398</v>
      </c>
      <c r="D163" s="94">
        <v>17</v>
      </c>
      <c r="E163" s="81">
        <v>0</v>
      </c>
      <c r="F163" s="81">
        <v>0</v>
      </c>
      <c r="G163" s="81">
        <v>0</v>
      </c>
      <c r="H163" s="81">
        <v>1</v>
      </c>
      <c r="I163" s="81">
        <v>0</v>
      </c>
      <c r="J163" s="81">
        <v>1</v>
      </c>
      <c r="K163" s="81">
        <v>0</v>
      </c>
      <c r="L163" s="81">
        <v>0</v>
      </c>
      <c r="M163" s="81">
        <v>0</v>
      </c>
      <c r="N163" s="81">
        <v>1</v>
      </c>
      <c r="O163" s="81">
        <v>0</v>
      </c>
      <c r="P163" s="81">
        <v>0</v>
      </c>
      <c r="Q163" s="81">
        <v>0</v>
      </c>
      <c r="R163" s="81">
        <v>0</v>
      </c>
      <c r="S163" s="81">
        <v>0</v>
      </c>
      <c r="T163" s="81">
        <v>1</v>
      </c>
      <c r="U163" s="81">
        <v>0</v>
      </c>
      <c r="V163" s="81">
        <v>0</v>
      </c>
      <c r="W163" s="81">
        <v>0</v>
      </c>
      <c r="X163" s="81">
        <v>0</v>
      </c>
      <c r="Y163" s="81">
        <v>0</v>
      </c>
      <c r="Z163" s="81">
        <v>1</v>
      </c>
      <c r="AA163" s="81">
        <v>0</v>
      </c>
      <c r="AB163" s="81">
        <v>0</v>
      </c>
      <c r="AC163" s="81">
        <v>0</v>
      </c>
      <c r="AD163" s="81">
        <v>0</v>
      </c>
      <c r="AE163" s="81">
        <v>0</v>
      </c>
      <c r="AF163" s="81">
        <v>0</v>
      </c>
      <c r="AG163" s="81">
        <v>0</v>
      </c>
      <c r="AH163" s="81">
        <v>0</v>
      </c>
      <c r="AI163" s="81">
        <v>0</v>
      </c>
      <c r="AJ163" s="81">
        <v>0</v>
      </c>
      <c r="AK163" s="81">
        <v>0</v>
      </c>
      <c r="AL163" s="81">
        <v>0</v>
      </c>
      <c r="AM163" s="81">
        <v>0</v>
      </c>
      <c r="AN163" s="81">
        <v>0</v>
      </c>
      <c r="AO163" s="81">
        <v>1</v>
      </c>
      <c r="AP163" s="81">
        <v>0</v>
      </c>
      <c r="AQ163" s="81">
        <v>0</v>
      </c>
      <c r="AR163" s="81">
        <v>0</v>
      </c>
      <c r="AS163" s="81">
        <v>0</v>
      </c>
      <c r="AT163" s="81">
        <v>1</v>
      </c>
      <c r="AU163" s="81">
        <v>0</v>
      </c>
      <c r="AV163" s="81">
        <v>0</v>
      </c>
      <c r="AW163" s="81">
        <v>0</v>
      </c>
      <c r="AX163" s="81">
        <v>0</v>
      </c>
      <c r="AY163" s="81">
        <v>0</v>
      </c>
      <c r="AZ163" s="81">
        <v>0</v>
      </c>
      <c r="BA163" s="81">
        <v>0</v>
      </c>
      <c r="BB163" s="81">
        <v>1</v>
      </c>
      <c r="BC163" s="81">
        <v>1</v>
      </c>
      <c r="BD163" s="81">
        <v>1</v>
      </c>
      <c r="BE163" s="81">
        <v>1</v>
      </c>
      <c r="BF163" s="81">
        <v>1</v>
      </c>
      <c r="BG163" s="81">
        <v>1</v>
      </c>
      <c r="BH163" s="81">
        <v>1</v>
      </c>
      <c r="BI163" s="81">
        <v>1</v>
      </c>
      <c r="BJ163" s="81">
        <v>1</v>
      </c>
      <c r="BK163" s="81">
        <v>1</v>
      </c>
      <c r="BL163" s="81">
        <v>1</v>
      </c>
      <c r="BM163" s="81">
        <v>1</v>
      </c>
      <c r="BN163" s="81">
        <v>1</v>
      </c>
      <c r="BO163" s="81">
        <v>1</v>
      </c>
      <c r="BP163" s="81">
        <v>1</v>
      </c>
      <c r="BQ163" s="81">
        <v>1</v>
      </c>
      <c r="BR163" s="81">
        <v>1</v>
      </c>
      <c r="BS163" s="81">
        <v>1</v>
      </c>
      <c r="BT163" s="81">
        <v>1</v>
      </c>
      <c r="BU163" s="81">
        <v>0</v>
      </c>
      <c r="BV163" s="81">
        <v>0</v>
      </c>
      <c r="BW163" s="81">
        <v>0</v>
      </c>
      <c r="BX163" s="81">
        <v>0</v>
      </c>
      <c r="BY163" s="81">
        <v>0</v>
      </c>
      <c r="BZ163" s="81">
        <v>0</v>
      </c>
      <c r="CA163" s="81">
        <v>0</v>
      </c>
      <c r="CB163" s="81">
        <v>2</v>
      </c>
      <c r="CC163" s="81">
        <v>2</v>
      </c>
      <c r="CD163" s="81">
        <v>1</v>
      </c>
      <c r="CE163" s="81">
        <v>2</v>
      </c>
      <c r="CF163" s="81">
        <v>1</v>
      </c>
      <c r="CG163" s="81">
        <v>1</v>
      </c>
      <c r="CH163" s="81">
        <v>0</v>
      </c>
      <c r="CI163" s="81">
        <v>1</v>
      </c>
      <c r="CJ163" s="81">
        <v>1</v>
      </c>
      <c r="CK163" s="81">
        <v>1</v>
      </c>
      <c r="CL163" s="81">
        <v>1</v>
      </c>
      <c r="CM163" s="81">
        <v>1</v>
      </c>
      <c r="CN163" s="81">
        <v>1</v>
      </c>
      <c r="CO163" s="81" t="s">
        <v>751</v>
      </c>
    </row>
    <row r="164" spans="1:93" ht="11.55" customHeight="1" x14ac:dyDescent="0.3">
      <c r="A164" s="81" t="s">
        <v>840</v>
      </c>
      <c r="B164" s="81" t="s">
        <v>841</v>
      </c>
      <c r="C164" s="81" t="s">
        <v>409</v>
      </c>
      <c r="D164" s="94">
        <v>14</v>
      </c>
      <c r="E164" s="81">
        <v>0</v>
      </c>
      <c r="F164" s="81">
        <v>0</v>
      </c>
      <c r="G164" s="81">
        <v>0</v>
      </c>
      <c r="H164" s="81">
        <v>1</v>
      </c>
      <c r="I164" s="81">
        <v>0</v>
      </c>
      <c r="J164" s="81">
        <v>0</v>
      </c>
      <c r="K164" s="81">
        <v>0</v>
      </c>
      <c r="L164" s="81">
        <v>0</v>
      </c>
      <c r="M164" s="81">
        <v>0</v>
      </c>
      <c r="N164" s="81">
        <v>1</v>
      </c>
      <c r="O164" s="81">
        <v>0</v>
      </c>
      <c r="P164" s="81">
        <v>0</v>
      </c>
      <c r="Q164" s="81">
        <v>0</v>
      </c>
      <c r="R164" s="81">
        <v>0</v>
      </c>
      <c r="S164" s="81">
        <v>0</v>
      </c>
      <c r="T164" s="81">
        <v>1</v>
      </c>
      <c r="U164" s="81">
        <v>0</v>
      </c>
      <c r="V164" s="81">
        <v>0</v>
      </c>
      <c r="W164" s="81">
        <v>0</v>
      </c>
      <c r="X164" s="81">
        <v>0</v>
      </c>
      <c r="Y164" s="81">
        <v>0</v>
      </c>
      <c r="Z164" s="81">
        <v>1</v>
      </c>
      <c r="AA164" s="81">
        <v>0</v>
      </c>
      <c r="AB164" s="81">
        <v>0</v>
      </c>
      <c r="AC164" s="81">
        <v>0</v>
      </c>
      <c r="AD164" s="81">
        <v>0</v>
      </c>
      <c r="AE164" s="81">
        <v>0</v>
      </c>
      <c r="AF164" s="81">
        <v>0</v>
      </c>
      <c r="AG164" s="81">
        <v>0</v>
      </c>
      <c r="AH164" s="81">
        <v>0</v>
      </c>
      <c r="AI164" s="81">
        <v>0</v>
      </c>
      <c r="AJ164" s="81">
        <v>0</v>
      </c>
      <c r="AK164" s="81">
        <v>0</v>
      </c>
      <c r="AL164" s="81">
        <v>0</v>
      </c>
      <c r="AM164" s="81">
        <v>0</v>
      </c>
      <c r="AN164" s="81">
        <v>0</v>
      </c>
      <c r="AO164" s="81">
        <v>0</v>
      </c>
      <c r="AP164" s="81">
        <v>0</v>
      </c>
      <c r="AQ164" s="81">
        <v>0</v>
      </c>
      <c r="AR164" s="81">
        <v>0</v>
      </c>
      <c r="AS164" s="81">
        <v>0</v>
      </c>
      <c r="AT164" s="81">
        <v>0</v>
      </c>
      <c r="AU164" s="81">
        <v>0</v>
      </c>
      <c r="AV164" s="81">
        <v>0</v>
      </c>
      <c r="AW164" s="81">
        <v>0</v>
      </c>
      <c r="AX164" s="81">
        <v>0</v>
      </c>
      <c r="AY164" s="81">
        <v>0</v>
      </c>
      <c r="AZ164" s="81">
        <v>0</v>
      </c>
      <c r="BA164" s="81">
        <v>0</v>
      </c>
      <c r="BB164" s="81">
        <v>0</v>
      </c>
      <c r="BC164" s="81">
        <v>0</v>
      </c>
      <c r="BD164" s="81">
        <v>0</v>
      </c>
      <c r="BE164" s="81">
        <v>1</v>
      </c>
      <c r="BF164" s="81">
        <v>0</v>
      </c>
      <c r="BG164" s="81">
        <v>1</v>
      </c>
      <c r="BH164" s="81">
        <v>0</v>
      </c>
      <c r="BI164" s="81">
        <v>0</v>
      </c>
      <c r="BJ164" s="81">
        <v>1</v>
      </c>
      <c r="BK164" s="81">
        <v>0</v>
      </c>
      <c r="BL164" s="81">
        <v>0</v>
      </c>
      <c r="BM164" s="81">
        <v>1</v>
      </c>
      <c r="BN164" s="81">
        <v>0</v>
      </c>
      <c r="BO164" s="81">
        <v>1</v>
      </c>
      <c r="BP164" s="81">
        <v>0</v>
      </c>
      <c r="BQ164" s="81">
        <v>1</v>
      </c>
      <c r="BR164" s="81">
        <v>0</v>
      </c>
      <c r="BS164" s="81">
        <v>1</v>
      </c>
      <c r="BT164" s="81">
        <v>1</v>
      </c>
      <c r="BU164" s="81">
        <v>0</v>
      </c>
      <c r="BV164" s="81">
        <v>0</v>
      </c>
      <c r="BW164" s="81">
        <v>0</v>
      </c>
      <c r="BX164" s="81">
        <v>0</v>
      </c>
      <c r="BY164" s="81">
        <v>0</v>
      </c>
      <c r="BZ164" s="81">
        <v>0</v>
      </c>
      <c r="CA164" s="81">
        <v>0</v>
      </c>
      <c r="CB164" s="81">
        <v>1</v>
      </c>
      <c r="CC164" s="81">
        <v>1</v>
      </c>
      <c r="CD164" s="81">
        <v>0</v>
      </c>
      <c r="CE164" s="81">
        <v>1</v>
      </c>
      <c r="CF164" s="81">
        <v>1</v>
      </c>
      <c r="CG164" s="81">
        <v>0</v>
      </c>
      <c r="CH164" s="81">
        <v>0</v>
      </c>
      <c r="CI164" s="81">
        <v>1</v>
      </c>
      <c r="CJ164" s="81">
        <v>1</v>
      </c>
      <c r="CK164" s="81">
        <v>1</v>
      </c>
      <c r="CL164" s="81">
        <v>0</v>
      </c>
      <c r="CM164" s="81">
        <v>1</v>
      </c>
      <c r="CN164" s="81">
        <v>1</v>
      </c>
      <c r="CO164" s="81" t="s">
        <v>842</v>
      </c>
    </row>
    <row r="165" spans="1:93" ht="11.55" customHeight="1" x14ac:dyDescent="0.3">
      <c r="A165" s="81" t="s">
        <v>843</v>
      </c>
      <c r="B165" s="81" t="s">
        <v>844</v>
      </c>
      <c r="C165" s="81" t="s">
        <v>409</v>
      </c>
      <c r="D165" s="94">
        <v>14</v>
      </c>
      <c r="E165" s="81">
        <v>0</v>
      </c>
      <c r="F165" s="81">
        <v>0</v>
      </c>
      <c r="G165" s="81">
        <v>0</v>
      </c>
      <c r="H165" s="81">
        <v>1</v>
      </c>
      <c r="I165" s="81">
        <v>0</v>
      </c>
      <c r="J165" s="81">
        <v>0</v>
      </c>
      <c r="K165" s="81">
        <v>0</v>
      </c>
      <c r="L165" s="81">
        <v>0</v>
      </c>
      <c r="M165" s="81">
        <v>0</v>
      </c>
      <c r="N165" s="81">
        <v>1</v>
      </c>
      <c r="O165" s="81">
        <v>0</v>
      </c>
      <c r="P165" s="81">
        <v>0</v>
      </c>
      <c r="Q165" s="81">
        <v>0</v>
      </c>
      <c r="R165" s="81">
        <v>0</v>
      </c>
      <c r="S165" s="81">
        <v>0</v>
      </c>
      <c r="T165" s="81">
        <v>1</v>
      </c>
      <c r="U165" s="81">
        <v>0</v>
      </c>
      <c r="V165" s="81">
        <v>0</v>
      </c>
      <c r="W165" s="81">
        <v>0</v>
      </c>
      <c r="X165" s="81">
        <v>0</v>
      </c>
      <c r="Y165" s="81">
        <v>0</v>
      </c>
      <c r="Z165" s="81">
        <v>1</v>
      </c>
      <c r="AA165" s="81">
        <v>0</v>
      </c>
      <c r="AB165" s="81">
        <v>0</v>
      </c>
      <c r="AC165" s="81">
        <v>0</v>
      </c>
      <c r="AD165" s="81">
        <v>0</v>
      </c>
      <c r="AE165" s="81">
        <v>0</v>
      </c>
      <c r="AF165" s="81">
        <v>0</v>
      </c>
      <c r="AG165" s="81">
        <v>0</v>
      </c>
      <c r="AH165" s="81">
        <v>0</v>
      </c>
      <c r="AI165" s="81">
        <v>0</v>
      </c>
      <c r="AJ165" s="81">
        <v>0</v>
      </c>
      <c r="AK165" s="81">
        <v>0</v>
      </c>
      <c r="AL165" s="81">
        <v>0</v>
      </c>
      <c r="AM165" s="81">
        <v>0</v>
      </c>
      <c r="AN165" s="81">
        <v>0</v>
      </c>
      <c r="AO165" s="81">
        <v>0</v>
      </c>
      <c r="AP165" s="81">
        <v>0</v>
      </c>
      <c r="AQ165" s="81">
        <v>0</v>
      </c>
      <c r="AR165" s="81">
        <v>0</v>
      </c>
      <c r="AS165" s="81">
        <v>0</v>
      </c>
      <c r="AT165" s="81">
        <v>0</v>
      </c>
      <c r="AU165" s="81">
        <v>0</v>
      </c>
      <c r="AV165" s="81">
        <v>0</v>
      </c>
      <c r="AW165" s="81">
        <v>0</v>
      </c>
      <c r="AX165" s="81">
        <v>0</v>
      </c>
      <c r="AY165" s="81">
        <v>0</v>
      </c>
      <c r="AZ165" s="81">
        <v>0</v>
      </c>
      <c r="BA165" s="81">
        <v>0</v>
      </c>
      <c r="BB165" s="81">
        <v>0</v>
      </c>
      <c r="BC165" s="81">
        <v>0</v>
      </c>
      <c r="BD165" s="81">
        <v>0</v>
      </c>
      <c r="BE165" s="81">
        <v>1</v>
      </c>
      <c r="BF165" s="81">
        <v>0</v>
      </c>
      <c r="BG165" s="81">
        <v>1</v>
      </c>
      <c r="BH165" s="81">
        <v>0</v>
      </c>
      <c r="BI165" s="81">
        <v>0</v>
      </c>
      <c r="BJ165" s="81">
        <v>1</v>
      </c>
      <c r="BK165" s="81">
        <v>0</v>
      </c>
      <c r="BL165" s="81">
        <v>0</v>
      </c>
      <c r="BM165" s="81">
        <v>1</v>
      </c>
      <c r="BN165" s="81">
        <v>0</v>
      </c>
      <c r="BO165" s="81">
        <v>1</v>
      </c>
      <c r="BP165" s="81">
        <v>0</v>
      </c>
      <c r="BQ165" s="81">
        <v>1</v>
      </c>
      <c r="BR165" s="81">
        <v>0</v>
      </c>
      <c r="BS165" s="81">
        <v>1</v>
      </c>
      <c r="BT165" s="81">
        <v>1</v>
      </c>
      <c r="BU165" s="81">
        <v>0</v>
      </c>
      <c r="BV165" s="81">
        <v>0</v>
      </c>
      <c r="BW165" s="81">
        <v>0</v>
      </c>
      <c r="BX165" s="81">
        <v>0</v>
      </c>
      <c r="BY165" s="81">
        <v>0</v>
      </c>
      <c r="BZ165" s="81">
        <v>0</v>
      </c>
      <c r="CA165" s="81">
        <v>0</v>
      </c>
      <c r="CB165" s="81">
        <v>1</v>
      </c>
      <c r="CC165" s="81">
        <v>1</v>
      </c>
      <c r="CD165" s="81">
        <v>0</v>
      </c>
      <c r="CE165" s="81">
        <v>1</v>
      </c>
      <c r="CF165" s="81">
        <v>1</v>
      </c>
      <c r="CG165" s="81">
        <v>0</v>
      </c>
      <c r="CH165" s="81">
        <v>0</v>
      </c>
      <c r="CI165" s="81">
        <v>1</v>
      </c>
      <c r="CJ165" s="81">
        <v>1</v>
      </c>
      <c r="CK165" s="81">
        <v>1</v>
      </c>
      <c r="CL165" s="81">
        <v>0</v>
      </c>
      <c r="CM165" s="81">
        <v>1</v>
      </c>
      <c r="CN165" s="81">
        <v>1</v>
      </c>
      <c r="CO165" s="81" t="s">
        <v>786</v>
      </c>
    </row>
    <row r="166" spans="1:93" ht="11.55" customHeight="1" x14ac:dyDescent="0.3">
      <c r="A166" s="81" t="s">
        <v>845</v>
      </c>
      <c r="B166" s="81" t="s">
        <v>846</v>
      </c>
      <c r="C166" s="81" t="s">
        <v>409</v>
      </c>
      <c r="D166" s="94">
        <v>14</v>
      </c>
      <c r="E166" s="81">
        <v>0</v>
      </c>
      <c r="F166" s="81">
        <v>0</v>
      </c>
      <c r="G166" s="81">
        <v>0</v>
      </c>
      <c r="H166" s="81">
        <v>1</v>
      </c>
      <c r="I166" s="81">
        <v>0</v>
      </c>
      <c r="J166" s="81">
        <v>0</v>
      </c>
      <c r="K166" s="81">
        <v>0</v>
      </c>
      <c r="L166" s="81">
        <v>0</v>
      </c>
      <c r="M166" s="81">
        <v>0</v>
      </c>
      <c r="N166" s="81">
        <v>1</v>
      </c>
      <c r="O166" s="81">
        <v>0</v>
      </c>
      <c r="P166" s="81">
        <v>0</v>
      </c>
      <c r="Q166" s="81">
        <v>0</v>
      </c>
      <c r="R166" s="81">
        <v>0</v>
      </c>
      <c r="S166" s="81">
        <v>0</v>
      </c>
      <c r="T166" s="81">
        <v>1</v>
      </c>
      <c r="U166" s="81">
        <v>0</v>
      </c>
      <c r="V166" s="81">
        <v>0</v>
      </c>
      <c r="W166" s="81">
        <v>0</v>
      </c>
      <c r="X166" s="81">
        <v>0</v>
      </c>
      <c r="Y166" s="81">
        <v>0</v>
      </c>
      <c r="Z166" s="81">
        <v>1</v>
      </c>
      <c r="AA166" s="81">
        <v>0</v>
      </c>
      <c r="AB166" s="81">
        <v>0</v>
      </c>
      <c r="AC166" s="81">
        <v>0</v>
      </c>
      <c r="AD166" s="81">
        <v>0</v>
      </c>
      <c r="AE166" s="81">
        <v>0</v>
      </c>
      <c r="AF166" s="81">
        <v>0</v>
      </c>
      <c r="AG166" s="81">
        <v>0</v>
      </c>
      <c r="AH166" s="81">
        <v>0</v>
      </c>
      <c r="AI166" s="81">
        <v>0</v>
      </c>
      <c r="AJ166" s="81">
        <v>0</v>
      </c>
      <c r="AK166" s="81">
        <v>0</v>
      </c>
      <c r="AL166" s="81">
        <v>0</v>
      </c>
      <c r="AM166" s="81">
        <v>0</v>
      </c>
      <c r="AN166" s="81">
        <v>0</v>
      </c>
      <c r="AO166" s="81">
        <v>0</v>
      </c>
      <c r="AP166" s="81">
        <v>0</v>
      </c>
      <c r="AQ166" s="81">
        <v>0</v>
      </c>
      <c r="AR166" s="81">
        <v>0</v>
      </c>
      <c r="AS166" s="81">
        <v>0</v>
      </c>
      <c r="AT166" s="81">
        <v>0</v>
      </c>
      <c r="AU166" s="81">
        <v>0</v>
      </c>
      <c r="AV166" s="81">
        <v>0</v>
      </c>
      <c r="AW166" s="81">
        <v>0</v>
      </c>
      <c r="AX166" s="81">
        <v>0</v>
      </c>
      <c r="AY166" s="81">
        <v>0</v>
      </c>
      <c r="AZ166" s="81">
        <v>0</v>
      </c>
      <c r="BA166" s="81">
        <v>0</v>
      </c>
      <c r="BB166" s="81">
        <v>0</v>
      </c>
      <c r="BC166" s="81">
        <v>0</v>
      </c>
      <c r="BD166" s="81">
        <v>0</v>
      </c>
      <c r="BE166" s="81">
        <v>1</v>
      </c>
      <c r="BF166" s="81">
        <v>0</v>
      </c>
      <c r="BG166" s="81">
        <v>1</v>
      </c>
      <c r="BH166" s="81">
        <v>0</v>
      </c>
      <c r="BI166" s="81">
        <v>0</v>
      </c>
      <c r="BJ166" s="81">
        <v>1</v>
      </c>
      <c r="BK166" s="81">
        <v>0</v>
      </c>
      <c r="BL166" s="81">
        <v>0</v>
      </c>
      <c r="BM166" s="81">
        <v>1</v>
      </c>
      <c r="BN166" s="81">
        <v>0</v>
      </c>
      <c r="BO166" s="81">
        <v>1</v>
      </c>
      <c r="BP166" s="81">
        <v>0</v>
      </c>
      <c r="BQ166" s="81">
        <v>1</v>
      </c>
      <c r="BR166" s="81">
        <v>0</v>
      </c>
      <c r="BS166" s="81">
        <v>1</v>
      </c>
      <c r="BT166" s="81">
        <v>1</v>
      </c>
      <c r="BU166" s="81">
        <v>0</v>
      </c>
      <c r="BV166" s="81">
        <v>0</v>
      </c>
      <c r="BW166" s="81">
        <v>0</v>
      </c>
      <c r="BX166" s="81">
        <v>0</v>
      </c>
      <c r="BY166" s="81">
        <v>0</v>
      </c>
      <c r="BZ166" s="81">
        <v>0</v>
      </c>
      <c r="CA166" s="81">
        <v>0</v>
      </c>
      <c r="CB166" s="81">
        <v>1</v>
      </c>
      <c r="CC166" s="81">
        <v>1</v>
      </c>
      <c r="CD166" s="81">
        <v>0</v>
      </c>
      <c r="CE166" s="81">
        <v>1</v>
      </c>
      <c r="CF166" s="81">
        <v>1</v>
      </c>
      <c r="CG166" s="81">
        <v>0</v>
      </c>
      <c r="CH166" s="81">
        <v>0</v>
      </c>
      <c r="CI166" s="81">
        <v>1</v>
      </c>
      <c r="CJ166" s="81">
        <v>1</v>
      </c>
      <c r="CK166" s="81">
        <v>1</v>
      </c>
      <c r="CL166" s="81">
        <v>0</v>
      </c>
      <c r="CM166" s="81">
        <v>1</v>
      </c>
      <c r="CN166" s="81">
        <v>1</v>
      </c>
      <c r="CO166" s="81" t="s">
        <v>786</v>
      </c>
    </row>
    <row r="167" spans="1:93" ht="11.55" customHeight="1" x14ac:dyDescent="0.3">
      <c r="A167" s="81" t="s">
        <v>847</v>
      </c>
      <c r="B167" s="81" t="s">
        <v>848</v>
      </c>
      <c r="C167" s="81" t="s">
        <v>409</v>
      </c>
      <c r="D167" s="94">
        <v>14</v>
      </c>
      <c r="E167" s="81">
        <v>0</v>
      </c>
      <c r="F167" s="81">
        <v>0</v>
      </c>
      <c r="G167" s="81">
        <v>0</v>
      </c>
      <c r="H167" s="81">
        <v>1</v>
      </c>
      <c r="I167" s="81">
        <v>0</v>
      </c>
      <c r="J167" s="81">
        <v>0</v>
      </c>
      <c r="K167" s="81">
        <v>0</v>
      </c>
      <c r="L167" s="81">
        <v>0</v>
      </c>
      <c r="M167" s="81">
        <v>0</v>
      </c>
      <c r="N167" s="81">
        <v>1</v>
      </c>
      <c r="O167" s="81">
        <v>0</v>
      </c>
      <c r="P167" s="81">
        <v>0</v>
      </c>
      <c r="Q167" s="81">
        <v>0</v>
      </c>
      <c r="R167" s="81">
        <v>0</v>
      </c>
      <c r="S167" s="81">
        <v>0</v>
      </c>
      <c r="T167" s="81">
        <v>1</v>
      </c>
      <c r="U167" s="81">
        <v>0</v>
      </c>
      <c r="V167" s="81">
        <v>0</v>
      </c>
      <c r="W167" s="81">
        <v>0</v>
      </c>
      <c r="X167" s="81">
        <v>0</v>
      </c>
      <c r="Y167" s="81">
        <v>0</v>
      </c>
      <c r="Z167" s="81">
        <v>1</v>
      </c>
      <c r="AA167" s="81">
        <v>0</v>
      </c>
      <c r="AB167" s="81">
        <v>0</v>
      </c>
      <c r="AC167" s="81">
        <v>0</v>
      </c>
      <c r="AD167" s="81">
        <v>0</v>
      </c>
      <c r="AE167" s="81">
        <v>0</v>
      </c>
      <c r="AF167" s="81">
        <v>0</v>
      </c>
      <c r="AG167" s="81">
        <v>0</v>
      </c>
      <c r="AH167" s="81">
        <v>0</v>
      </c>
      <c r="AI167" s="81">
        <v>0</v>
      </c>
      <c r="AJ167" s="81">
        <v>0</v>
      </c>
      <c r="AK167" s="81">
        <v>0</v>
      </c>
      <c r="AL167" s="81">
        <v>0</v>
      </c>
      <c r="AM167" s="81">
        <v>0</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1</v>
      </c>
      <c r="BF167" s="81">
        <v>0</v>
      </c>
      <c r="BG167" s="81">
        <v>1</v>
      </c>
      <c r="BH167" s="81">
        <v>0</v>
      </c>
      <c r="BI167" s="81">
        <v>0</v>
      </c>
      <c r="BJ167" s="81">
        <v>1</v>
      </c>
      <c r="BK167" s="81">
        <v>0</v>
      </c>
      <c r="BL167" s="81">
        <v>0</v>
      </c>
      <c r="BM167" s="81">
        <v>1</v>
      </c>
      <c r="BN167" s="81">
        <v>0</v>
      </c>
      <c r="BO167" s="81">
        <v>1</v>
      </c>
      <c r="BP167" s="81">
        <v>0</v>
      </c>
      <c r="BQ167" s="81">
        <v>1</v>
      </c>
      <c r="BR167" s="81">
        <v>0</v>
      </c>
      <c r="BS167" s="81">
        <v>1</v>
      </c>
      <c r="BT167" s="81">
        <v>1</v>
      </c>
      <c r="BU167" s="81">
        <v>0</v>
      </c>
      <c r="BV167" s="81">
        <v>0</v>
      </c>
      <c r="BW167" s="81">
        <v>0</v>
      </c>
      <c r="BX167" s="81">
        <v>0</v>
      </c>
      <c r="BY167" s="81">
        <v>0</v>
      </c>
      <c r="BZ167" s="81">
        <v>0</v>
      </c>
      <c r="CA167" s="81">
        <v>0</v>
      </c>
      <c r="CB167" s="81">
        <v>1</v>
      </c>
      <c r="CC167" s="81">
        <v>1</v>
      </c>
      <c r="CD167" s="81">
        <v>0</v>
      </c>
      <c r="CE167" s="81">
        <v>1</v>
      </c>
      <c r="CF167" s="81">
        <v>1</v>
      </c>
      <c r="CG167" s="81">
        <v>0</v>
      </c>
      <c r="CH167" s="81">
        <v>0</v>
      </c>
      <c r="CI167" s="81">
        <v>1</v>
      </c>
      <c r="CJ167" s="81">
        <v>1</v>
      </c>
      <c r="CK167" s="81">
        <v>1</v>
      </c>
      <c r="CL167" s="81">
        <v>0</v>
      </c>
      <c r="CM167" s="81">
        <v>1</v>
      </c>
      <c r="CN167" s="81">
        <v>1</v>
      </c>
      <c r="CO167" s="81" t="s">
        <v>786</v>
      </c>
    </row>
  </sheetData>
  <dataValidations count="3">
    <dataValidation type="list" sqref="E2:BA500" xr:uid="{00000000-0002-0000-0400-000000000000}">
      <formula1>"0,1"</formula1>
    </dataValidation>
    <dataValidation type="list" sqref="BB2:CN51" xr:uid="{00000000-0002-0000-0400-000001000000}">
      <formula1>"1,2,3"</formula1>
    </dataValidation>
    <dataValidation type="list" sqref="BB2:CN500" xr:uid="{00000000-0002-0000-0400-000002000000}">
      <formula1>",1,2,3"</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9"/>
  <sheetViews>
    <sheetView workbookViewId="0"/>
  </sheetViews>
  <sheetFormatPr baseColWidth="10" defaultColWidth="8.88671875" defaultRowHeight="14.4" x14ac:dyDescent="0.3"/>
  <cols>
    <col min="1" max="2" width="16" customWidth="1"/>
    <col min="3" max="3" width="28" customWidth="1"/>
    <col min="4" max="4" width="36" customWidth="1"/>
    <col min="5" max="5" width="12" customWidth="1"/>
    <col min="6" max="6" width="10" customWidth="1"/>
    <col min="7" max="7" width="55" customWidth="1"/>
  </cols>
  <sheetData>
    <row r="1" spans="1:7" x14ac:dyDescent="0.3">
      <c r="A1" s="77" t="s">
        <v>230</v>
      </c>
      <c r="B1" s="77" t="s">
        <v>231</v>
      </c>
      <c r="C1" s="77" t="s">
        <v>232</v>
      </c>
      <c r="D1" s="77" t="s">
        <v>233</v>
      </c>
      <c r="E1" s="77" t="s">
        <v>234</v>
      </c>
      <c r="F1" s="77" t="s">
        <v>235</v>
      </c>
      <c r="G1" s="77" t="s">
        <v>236</v>
      </c>
    </row>
    <row r="2" spans="1:7" x14ac:dyDescent="0.3">
      <c r="A2" s="71" t="s">
        <v>27</v>
      </c>
      <c r="B2" s="71" t="s">
        <v>20</v>
      </c>
      <c r="C2" s="71"/>
      <c r="D2" s="71" t="s">
        <v>28</v>
      </c>
      <c r="E2" s="71" t="s">
        <v>237</v>
      </c>
      <c r="F2" s="71"/>
      <c r="G2" s="71" t="s">
        <v>238</v>
      </c>
    </row>
    <row r="3" spans="1:7" x14ac:dyDescent="0.3">
      <c r="A3" s="71" t="s">
        <v>104</v>
      </c>
      <c r="B3" s="71" t="s">
        <v>20</v>
      </c>
      <c r="C3" s="71"/>
      <c r="D3" s="71" t="s">
        <v>105</v>
      </c>
      <c r="E3" s="71" t="s">
        <v>237</v>
      </c>
      <c r="F3" s="71"/>
      <c r="G3" s="71" t="s">
        <v>238</v>
      </c>
    </row>
    <row r="4" spans="1:7" x14ac:dyDescent="0.3">
      <c r="A4" s="71" t="s">
        <v>32</v>
      </c>
      <c r="B4" s="71" t="s">
        <v>20</v>
      </c>
      <c r="C4" s="71"/>
      <c r="D4" s="71" t="s">
        <v>33</v>
      </c>
      <c r="E4" s="71" t="s">
        <v>237</v>
      </c>
      <c r="F4" s="71"/>
      <c r="G4" s="71" t="s">
        <v>238</v>
      </c>
    </row>
    <row r="5" spans="1:7" x14ac:dyDescent="0.3">
      <c r="A5" s="71" t="s">
        <v>167</v>
      </c>
      <c r="B5" s="71" t="s">
        <v>20</v>
      </c>
      <c r="C5" s="71"/>
      <c r="D5" s="71" t="s">
        <v>168</v>
      </c>
      <c r="E5" s="71" t="s">
        <v>237</v>
      </c>
      <c r="F5" s="71"/>
      <c r="G5" s="71" t="s">
        <v>238</v>
      </c>
    </row>
    <row r="6" spans="1:7" x14ac:dyDescent="0.3">
      <c r="A6" s="71" t="s">
        <v>146</v>
      </c>
      <c r="B6" s="71" t="s">
        <v>20</v>
      </c>
      <c r="C6" s="71"/>
      <c r="D6" s="71" t="s">
        <v>147</v>
      </c>
      <c r="E6" s="71" t="s">
        <v>237</v>
      </c>
      <c r="F6" s="71"/>
      <c r="G6" s="71" t="s">
        <v>238</v>
      </c>
    </row>
    <row r="7" spans="1:7" x14ac:dyDescent="0.3">
      <c r="A7" s="71" t="s">
        <v>170</v>
      </c>
      <c r="B7" s="71" t="s">
        <v>20</v>
      </c>
      <c r="C7" s="71"/>
      <c r="D7" s="71" t="s">
        <v>171</v>
      </c>
      <c r="E7" s="71" t="s">
        <v>237</v>
      </c>
      <c r="F7" s="71"/>
      <c r="G7" s="71" t="s">
        <v>238</v>
      </c>
    </row>
    <row r="8" spans="1:7" x14ac:dyDescent="0.3">
      <c r="A8" s="71" t="s">
        <v>43</v>
      </c>
      <c r="B8" s="71" t="s">
        <v>20</v>
      </c>
      <c r="C8" s="71"/>
      <c r="D8" s="71" t="s">
        <v>44</v>
      </c>
      <c r="E8" s="71" t="s">
        <v>237</v>
      </c>
      <c r="F8" s="71"/>
      <c r="G8" s="71" t="s">
        <v>238</v>
      </c>
    </row>
    <row r="9" spans="1:7" x14ac:dyDescent="0.3">
      <c r="A9" s="71" t="s">
        <v>107</v>
      </c>
      <c r="B9" s="71" t="s">
        <v>20</v>
      </c>
      <c r="C9" s="71"/>
      <c r="D9" s="71" t="s">
        <v>108</v>
      </c>
      <c r="E9" s="71" t="s">
        <v>237</v>
      </c>
      <c r="F9" s="71"/>
      <c r="G9" s="71" t="s">
        <v>238</v>
      </c>
    </row>
    <row r="10" spans="1:7" x14ac:dyDescent="0.3">
      <c r="A10" s="71" t="s">
        <v>149</v>
      </c>
      <c r="B10" s="71" t="s">
        <v>20</v>
      </c>
      <c r="C10" s="71"/>
      <c r="D10" s="71" t="s">
        <v>150</v>
      </c>
      <c r="E10" s="71" t="s">
        <v>237</v>
      </c>
      <c r="F10" s="71"/>
      <c r="G10" s="71" t="s">
        <v>238</v>
      </c>
    </row>
    <row r="11" spans="1:7" x14ac:dyDescent="0.3">
      <c r="A11" s="71" t="s">
        <v>173</v>
      </c>
      <c r="B11" s="71" t="s">
        <v>20</v>
      </c>
      <c r="C11" s="71"/>
      <c r="D11" s="71" t="s">
        <v>174</v>
      </c>
      <c r="E11" s="71" t="s">
        <v>237</v>
      </c>
      <c r="F11" s="71"/>
      <c r="G11" s="71" t="s">
        <v>238</v>
      </c>
    </row>
    <row r="12" spans="1:7" x14ac:dyDescent="0.3">
      <c r="A12" s="71" t="s">
        <v>176</v>
      </c>
      <c r="B12" s="71" t="s">
        <v>20</v>
      </c>
      <c r="C12" s="71"/>
      <c r="D12" s="71" t="s">
        <v>177</v>
      </c>
      <c r="E12" s="71" t="s">
        <v>237</v>
      </c>
      <c r="F12" s="71"/>
      <c r="G12" s="71" t="s">
        <v>238</v>
      </c>
    </row>
    <row r="13" spans="1:7" x14ac:dyDescent="0.3">
      <c r="A13" s="71" t="s">
        <v>80</v>
      </c>
      <c r="B13" s="71" t="s">
        <v>20</v>
      </c>
      <c r="C13" s="71"/>
      <c r="D13" s="71" t="s">
        <v>81</v>
      </c>
      <c r="E13" s="71" t="s">
        <v>237</v>
      </c>
      <c r="F13" s="71"/>
      <c r="G13" s="71" t="s">
        <v>238</v>
      </c>
    </row>
    <row r="14" spans="1:7" x14ac:dyDescent="0.3">
      <c r="A14" s="71" t="s">
        <v>63</v>
      </c>
      <c r="B14" s="71" t="s">
        <v>20</v>
      </c>
      <c r="C14" s="71"/>
      <c r="D14" s="71" t="s">
        <v>64</v>
      </c>
      <c r="E14" s="71" t="s">
        <v>237</v>
      </c>
      <c r="F14" s="71"/>
      <c r="G14" s="71" t="s">
        <v>238</v>
      </c>
    </row>
    <row r="15" spans="1:7" x14ac:dyDescent="0.3">
      <c r="A15" s="71" t="s">
        <v>83</v>
      </c>
      <c r="B15" s="71" t="s">
        <v>20</v>
      </c>
      <c r="C15" s="71"/>
      <c r="D15" s="71" t="s">
        <v>84</v>
      </c>
      <c r="E15" s="71" t="s">
        <v>237</v>
      </c>
      <c r="F15" s="71"/>
      <c r="G15" s="71" t="s">
        <v>238</v>
      </c>
    </row>
    <row r="16" spans="1:7" x14ac:dyDescent="0.3">
      <c r="A16" s="71" t="s">
        <v>46</v>
      </c>
      <c r="B16" s="71" t="s">
        <v>20</v>
      </c>
      <c r="C16" s="71"/>
      <c r="D16" s="71" t="s">
        <v>47</v>
      </c>
      <c r="E16" s="71" t="s">
        <v>237</v>
      </c>
      <c r="F16" s="71"/>
      <c r="G16" s="71" t="s">
        <v>238</v>
      </c>
    </row>
    <row r="17" spans="1:7" x14ac:dyDescent="0.3">
      <c r="A17" s="71" t="s">
        <v>179</v>
      </c>
      <c r="B17" s="71" t="s">
        <v>20</v>
      </c>
      <c r="C17" s="71"/>
      <c r="D17" s="71" t="s">
        <v>180</v>
      </c>
      <c r="E17" s="71" t="s">
        <v>237</v>
      </c>
      <c r="F17" s="71"/>
      <c r="G17" s="71" t="s">
        <v>238</v>
      </c>
    </row>
    <row r="18" spans="1:7" x14ac:dyDescent="0.3">
      <c r="A18" s="71" t="s">
        <v>50</v>
      </c>
      <c r="B18" s="71" t="s">
        <v>20</v>
      </c>
      <c r="C18" s="71"/>
      <c r="D18" s="71" t="s">
        <v>51</v>
      </c>
      <c r="E18" s="71" t="s">
        <v>237</v>
      </c>
      <c r="F18" s="71"/>
      <c r="G18" s="71" t="s">
        <v>238</v>
      </c>
    </row>
    <row r="19" spans="1:7" x14ac:dyDescent="0.3">
      <c r="A19" s="71" t="s">
        <v>40</v>
      </c>
      <c r="B19" s="71" t="s">
        <v>20</v>
      </c>
      <c r="C19" s="71"/>
      <c r="D19" s="71" t="s">
        <v>41</v>
      </c>
      <c r="E19" s="71" t="s">
        <v>237</v>
      </c>
      <c r="F19" s="71"/>
      <c r="G19" s="71" t="s">
        <v>238</v>
      </c>
    </row>
    <row r="20" spans="1:7" x14ac:dyDescent="0.3">
      <c r="A20" s="71" t="s">
        <v>89</v>
      </c>
      <c r="B20" s="71" t="s">
        <v>20</v>
      </c>
      <c r="C20" s="71"/>
      <c r="D20" s="71" t="s">
        <v>90</v>
      </c>
      <c r="E20" s="71" t="s">
        <v>237</v>
      </c>
      <c r="F20" s="71"/>
      <c r="G20" s="71" t="s">
        <v>238</v>
      </c>
    </row>
    <row r="21" spans="1:7" x14ac:dyDescent="0.3">
      <c r="A21" s="71" t="s">
        <v>70</v>
      </c>
      <c r="B21" s="71" t="s">
        <v>20</v>
      </c>
      <c r="C21" s="71"/>
      <c r="D21" s="71" t="s">
        <v>71</v>
      </c>
      <c r="E21" s="71" t="s">
        <v>237</v>
      </c>
      <c r="F21" s="71"/>
      <c r="G21" s="71" t="s">
        <v>238</v>
      </c>
    </row>
    <row r="22" spans="1:7" x14ac:dyDescent="0.3">
      <c r="A22" s="71" t="s">
        <v>110</v>
      </c>
      <c r="B22" s="71" t="s">
        <v>20</v>
      </c>
      <c r="C22" s="71"/>
      <c r="D22" s="71" t="s">
        <v>111</v>
      </c>
      <c r="E22" s="71" t="s">
        <v>237</v>
      </c>
      <c r="F22" s="71"/>
      <c r="G22" s="71" t="s">
        <v>238</v>
      </c>
    </row>
    <row r="23" spans="1:7" x14ac:dyDescent="0.3">
      <c r="A23" s="71" t="s">
        <v>158</v>
      </c>
      <c r="B23" s="71" t="s">
        <v>20</v>
      </c>
      <c r="C23" s="71"/>
      <c r="D23" s="71" t="s">
        <v>159</v>
      </c>
      <c r="E23" s="71" t="s">
        <v>237</v>
      </c>
      <c r="F23" s="71"/>
      <c r="G23" s="71" t="s">
        <v>238</v>
      </c>
    </row>
    <row r="24" spans="1:7" x14ac:dyDescent="0.3">
      <c r="A24" s="71" t="s">
        <v>113</v>
      </c>
      <c r="B24" s="71" t="s">
        <v>20</v>
      </c>
      <c r="C24" s="71"/>
      <c r="D24" s="71" t="s">
        <v>114</v>
      </c>
      <c r="E24" s="71" t="s">
        <v>237</v>
      </c>
      <c r="F24" s="71"/>
      <c r="G24" s="71" t="s">
        <v>238</v>
      </c>
    </row>
    <row r="25" spans="1:7" x14ac:dyDescent="0.3">
      <c r="A25" s="71" t="s">
        <v>53</v>
      </c>
      <c r="B25" s="71" t="s">
        <v>20</v>
      </c>
      <c r="C25" s="71"/>
      <c r="D25" s="71" t="s">
        <v>54</v>
      </c>
      <c r="E25" s="71" t="s">
        <v>237</v>
      </c>
      <c r="F25" s="71"/>
      <c r="G25" s="71" t="s">
        <v>238</v>
      </c>
    </row>
    <row r="26" spans="1:7" x14ac:dyDescent="0.3">
      <c r="A26" s="71" t="s">
        <v>116</v>
      </c>
      <c r="B26" s="71" t="s">
        <v>20</v>
      </c>
      <c r="C26" s="71"/>
      <c r="D26" s="71" t="s">
        <v>117</v>
      </c>
      <c r="E26" s="71" t="s">
        <v>237</v>
      </c>
      <c r="F26" s="71"/>
      <c r="G26" s="71" t="s">
        <v>238</v>
      </c>
    </row>
    <row r="27" spans="1:7" x14ac:dyDescent="0.3">
      <c r="A27" s="71" t="s">
        <v>56</v>
      </c>
      <c r="B27" s="71" t="s">
        <v>20</v>
      </c>
      <c r="C27" s="71"/>
      <c r="D27" s="71" t="s">
        <v>57</v>
      </c>
      <c r="E27" s="71" t="s">
        <v>237</v>
      </c>
      <c r="F27" s="71"/>
      <c r="G27" s="71" t="s">
        <v>238</v>
      </c>
    </row>
    <row r="28" spans="1:7" x14ac:dyDescent="0.3">
      <c r="A28" s="71" t="s">
        <v>140</v>
      </c>
      <c r="B28" s="71" t="s">
        <v>20</v>
      </c>
      <c r="C28" s="71"/>
      <c r="D28" s="71" t="s">
        <v>141</v>
      </c>
      <c r="E28" s="71" t="s">
        <v>237</v>
      </c>
      <c r="F28" s="71"/>
      <c r="G28" s="71" t="s">
        <v>238</v>
      </c>
    </row>
    <row r="29" spans="1:7" x14ac:dyDescent="0.3">
      <c r="A29" s="71" t="s">
        <v>60</v>
      </c>
      <c r="B29" s="71" t="s">
        <v>20</v>
      </c>
      <c r="C29" s="71"/>
      <c r="D29" s="71" t="s">
        <v>61</v>
      </c>
      <c r="E29" s="71" t="s">
        <v>237</v>
      </c>
      <c r="F29" s="71"/>
      <c r="G29" s="71" t="s">
        <v>238</v>
      </c>
    </row>
    <row r="30" spans="1:7" x14ac:dyDescent="0.3">
      <c r="A30" s="71" t="s">
        <v>119</v>
      </c>
      <c r="B30" s="71" t="s">
        <v>20</v>
      </c>
      <c r="C30" s="71"/>
      <c r="D30" s="71" t="s">
        <v>120</v>
      </c>
      <c r="E30" s="71" t="s">
        <v>237</v>
      </c>
      <c r="F30" s="71"/>
      <c r="G30" s="71" t="s">
        <v>238</v>
      </c>
    </row>
    <row r="31" spans="1:7" x14ac:dyDescent="0.3">
      <c r="A31" s="71" t="s">
        <v>137</v>
      </c>
      <c r="B31" s="71" t="s">
        <v>20</v>
      </c>
      <c r="C31" s="71"/>
      <c r="D31" s="71" t="s">
        <v>138</v>
      </c>
      <c r="E31" s="71" t="s">
        <v>237</v>
      </c>
      <c r="F31" s="71"/>
      <c r="G31" s="71" t="s">
        <v>238</v>
      </c>
    </row>
    <row r="32" spans="1:7" x14ac:dyDescent="0.3">
      <c r="A32" s="71" t="s">
        <v>125</v>
      </c>
      <c r="B32" s="71" t="s">
        <v>20</v>
      </c>
      <c r="C32" s="71"/>
      <c r="D32" s="71" t="s">
        <v>126</v>
      </c>
      <c r="E32" s="71" t="s">
        <v>237</v>
      </c>
      <c r="F32" s="71"/>
      <c r="G32" s="71" t="s">
        <v>238</v>
      </c>
    </row>
    <row r="33" spans="1:7" x14ac:dyDescent="0.3">
      <c r="A33" s="71" t="s">
        <v>122</v>
      </c>
      <c r="B33" s="71" t="s">
        <v>20</v>
      </c>
      <c r="C33" s="71"/>
      <c r="D33" s="71" t="s">
        <v>123</v>
      </c>
      <c r="E33" s="71" t="s">
        <v>237</v>
      </c>
      <c r="F33" s="71"/>
      <c r="G33" s="71" t="s">
        <v>238</v>
      </c>
    </row>
    <row r="34" spans="1:7" x14ac:dyDescent="0.3">
      <c r="A34" s="71" t="s">
        <v>73</v>
      </c>
      <c r="B34" s="71" t="s">
        <v>20</v>
      </c>
      <c r="C34" s="71"/>
      <c r="D34" s="71" t="s">
        <v>74</v>
      </c>
      <c r="E34" s="71" t="s">
        <v>237</v>
      </c>
      <c r="F34" s="71"/>
      <c r="G34" s="71" t="s">
        <v>238</v>
      </c>
    </row>
    <row r="35" spans="1:7" x14ac:dyDescent="0.3">
      <c r="A35" s="71" t="s">
        <v>155</v>
      </c>
      <c r="B35" s="71" t="s">
        <v>20</v>
      </c>
      <c r="C35" s="71"/>
      <c r="D35" s="71" t="s">
        <v>156</v>
      </c>
      <c r="E35" s="71" t="s">
        <v>237</v>
      </c>
      <c r="F35" s="71"/>
      <c r="G35" s="71" t="s">
        <v>238</v>
      </c>
    </row>
    <row r="36" spans="1:7" x14ac:dyDescent="0.3">
      <c r="A36" s="71" t="s">
        <v>131</v>
      </c>
      <c r="B36" s="71" t="s">
        <v>20</v>
      </c>
      <c r="C36" s="71"/>
      <c r="D36" s="71" t="s">
        <v>132</v>
      </c>
      <c r="E36" s="71" t="s">
        <v>237</v>
      </c>
      <c r="F36" s="71"/>
      <c r="G36" s="71" t="s">
        <v>238</v>
      </c>
    </row>
    <row r="37" spans="1:7" x14ac:dyDescent="0.3">
      <c r="A37" s="71" t="s">
        <v>98</v>
      </c>
      <c r="B37" s="71" t="s">
        <v>20</v>
      </c>
      <c r="C37" s="71"/>
      <c r="D37" s="71" t="s">
        <v>99</v>
      </c>
      <c r="E37" s="71" t="s">
        <v>237</v>
      </c>
      <c r="F37" s="71"/>
      <c r="G37" s="71" t="s">
        <v>238</v>
      </c>
    </row>
    <row r="38" spans="1:7" x14ac:dyDescent="0.3">
      <c r="A38" s="71" t="s">
        <v>164</v>
      </c>
      <c r="B38" s="71" t="s">
        <v>20</v>
      </c>
      <c r="C38" s="71"/>
      <c r="D38" s="71" t="s">
        <v>165</v>
      </c>
      <c r="E38" s="71" t="s">
        <v>237</v>
      </c>
      <c r="F38" s="71"/>
      <c r="G38" s="71" t="s">
        <v>238</v>
      </c>
    </row>
    <row r="39" spans="1:7" x14ac:dyDescent="0.3">
      <c r="A39" s="71" t="s">
        <v>67</v>
      </c>
      <c r="B39" s="71" t="s">
        <v>20</v>
      </c>
      <c r="C39" s="71"/>
      <c r="D39" s="71" t="s">
        <v>68</v>
      </c>
      <c r="E39" s="71" t="s">
        <v>237</v>
      </c>
      <c r="F39" s="71"/>
      <c r="G39" s="71" t="s">
        <v>238</v>
      </c>
    </row>
    <row r="40" spans="1:7" x14ac:dyDescent="0.3">
      <c r="A40" s="71" t="s">
        <v>92</v>
      </c>
      <c r="B40" s="71" t="s">
        <v>20</v>
      </c>
      <c r="C40" s="71"/>
      <c r="D40" s="71" t="s">
        <v>93</v>
      </c>
      <c r="E40" s="71" t="s">
        <v>237</v>
      </c>
      <c r="F40" s="71"/>
      <c r="G40" s="71" t="s">
        <v>238</v>
      </c>
    </row>
    <row r="41" spans="1:7" x14ac:dyDescent="0.3">
      <c r="A41" s="71" t="s">
        <v>143</v>
      </c>
      <c r="B41" s="71" t="s">
        <v>20</v>
      </c>
      <c r="C41" s="71"/>
      <c r="D41" s="71" t="s">
        <v>144</v>
      </c>
      <c r="E41" s="71" t="s">
        <v>237</v>
      </c>
      <c r="F41" s="71"/>
      <c r="G41" s="71" t="s">
        <v>238</v>
      </c>
    </row>
    <row r="42" spans="1:7" x14ac:dyDescent="0.3">
      <c r="A42" s="71" t="s">
        <v>101</v>
      </c>
      <c r="B42" s="71" t="s">
        <v>20</v>
      </c>
      <c r="C42" s="71"/>
      <c r="D42" s="71" t="s">
        <v>102</v>
      </c>
      <c r="E42" s="71" t="s">
        <v>237</v>
      </c>
      <c r="F42" s="71"/>
      <c r="G42" s="71" t="s">
        <v>238</v>
      </c>
    </row>
    <row r="43" spans="1:7" x14ac:dyDescent="0.3">
      <c r="A43" s="71" t="s">
        <v>161</v>
      </c>
      <c r="B43" s="71" t="s">
        <v>20</v>
      </c>
      <c r="C43" s="71"/>
      <c r="D43" s="71" t="s">
        <v>162</v>
      </c>
      <c r="E43" s="71" t="s">
        <v>237</v>
      </c>
      <c r="F43" s="71"/>
      <c r="G43" s="71" t="s">
        <v>238</v>
      </c>
    </row>
    <row r="44" spans="1:7" x14ac:dyDescent="0.3">
      <c r="A44" s="71" t="s">
        <v>36</v>
      </c>
      <c r="B44" s="71" t="s">
        <v>20</v>
      </c>
      <c r="C44" s="71"/>
      <c r="D44" s="71" t="s">
        <v>37</v>
      </c>
      <c r="E44" s="71" t="s">
        <v>237</v>
      </c>
      <c r="F44" s="71"/>
      <c r="G44" s="71" t="s">
        <v>238</v>
      </c>
    </row>
    <row r="45" spans="1:7" x14ac:dyDescent="0.3">
      <c r="A45" s="71" t="s">
        <v>86</v>
      </c>
      <c r="B45" s="71" t="s">
        <v>20</v>
      </c>
      <c r="C45" s="71"/>
      <c r="D45" s="71" t="s">
        <v>87</v>
      </c>
      <c r="E45" s="71" t="s">
        <v>237</v>
      </c>
      <c r="F45" s="71"/>
      <c r="G45" s="71" t="s">
        <v>238</v>
      </c>
    </row>
    <row r="46" spans="1:7" x14ac:dyDescent="0.3">
      <c r="A46" s="71" t="s">
        <v>152</v>
      </c>
      <c r="B46" s="71" t="s">
        <v>20</v>
      </c>
      <c r="C46" s="71"/>
      <c r="D46" s="71" t="s">
        <v>153</v>
      </c>
      <c r="E46" s="71" t="s">
        <v>237</v>
      </c>
      <c r="F46" s="71"/>
      <c r="G46" s="71" t="s">
        <v>238</v>
      </c>
    </row>
    <row r="47" spans="1:7" x14ac:dyDescent="0.3">
      <c r="A47" s="71" t="s">
        <v>128</v>
      </c>
      <c r="B47" s="71" t="s">
        <v>20</v>
      </c>
      <c r="C47" s="71"/>
      <c r="D47" s="71" t="s">
        <v>129</v>
      </c>
      <c r="E47" s="71" t="s">
        <v>237</v>
      </c>
      <c r="F47" s="71"/>
      <c r="G47" s="71" t="s">
        <v>238</v>
      </c>
    </row>
    <row r="48" spans="1:7" x14ac:dyDescent="0.3">
      <c r="A48" s="71" t="s">
        <v>134</v>
      </c>
      <c r="B48" s="71" t="s">
        <v>20</v>
      </c>
      <c r="C48" s="71"/>
      <c r="D48" s="71" t="s">
        <v>135</v>
      </c>
      <c r="E48" s="71" t="s">
        <v>237</v>
      </c>
      <c r="F48" s="71"/>
      <c r="G48" s="71" t="s">
        <v>238</v>
      </c>
    </row>
    <row r="49" spans="1:7" x14ac:dyDescent="0.3">
      <c r="A49" s="71" t="s">
        <v>76</v>
      </c>
      <c r="B49" s="71" t="s">
        <v>20</v>
      </c>
      <c r="C49" s="71"/>
      <c r="D49" s="71" t="s">
        <v>77</v>
      </c>
      <c r="E49" s="71" t="s">
        <v>237</v>
      </c>
      <c r="F49" s="71"/>
      <c r="G49" s="71" t="s">
        <v>238</v>
      </c>
    </row>
    <row r="50" spans="1:7" x14ac:dyDescent="0.3">
      <c r="A50" s="71" t="s">
        <v>95</v>
      </c>
      <c r="B50" s="71" t="s">
        <v>20</v>
      </c>
      <c r="C50" s="71"/>
      <c r="D50" s="71" t="s">
        <v>96</v>
      </c>
      <c r="E50" s="71" t="s">
        <v>237</v>
      </c>
      <c r="F50" s="71"/>
      <c r="G50" s="71" t="s">
        <v>238</v>
      </c>
    </row>
    <row r="51" spans="1:7" ht="43.2" x14ac:dyDescent="0.3">
      <c r="A51" s="71" t="s">
        <v>190</v>
      </c>
      <c r="B51" s="71" t="s">
        <v>239</v>
      </c>
      <c r="C51" s="71" t="s">
        <v>240</v>
      </c>
      <c r="D51" s="71" t="s">
        <v>241</v>
      </c>
      <c r="E51" s="71" t="s">
        <v>849</v>
      </c>
      <c r="F51" s="71">
        <v>0.35</v>
      </c>
      <c r="G51" s="71" t="s">
        <v>850</v>
      </c>
    </row>
    <row r="52" spans="1:7" ht="43.2" x14ac:dyDescent="0.3">
      <c r="A52" s="71" t="s">
        <v>191</v>
      </c>
      <c r="B52" s="71" t="s">
        <v>239</v>
      </c>
      <c r="C52" s="71" t="s">
        <v>240</v>
      </c>
      <c r="D52" s="71" t="s">
        <v>242</v>
      </c>
      <c r="E52" s="71" t="s">
        <v>849</v>
      </c>
      <c r="F52" s="71">
        <v>0.25</v>
      </c>
      <c r="G52" s="71" t="s">
        <v>851</v>
      </c>
    </row>
    <row r="53" spans="1:7" ht="43.2" x14ac:dyDescent="0.3">
      <c r="A53" s="71" t="s">
        <v>192</v>
      </c>
      <c r="B53" s="71" t="s">
        <v>239</v>
      </c>
      <c r="C53" s="71" t="s">
        <v>240</v>
      </c>
      <c r="D53" s="71" t="s">
        <v>243</v>
      </c>
      <c r="E53" s="71" t="s">
        <v>849</v>
      </c>
      <c r="F53" s="71">
        <v>0.2</v>
      </c>
      <c r="G53" s="71" t="s">
        <v>852</v>
      </c>
    </row>
    <row r="54" spans="1:7" ht="43.2" x14ac:dyDescent="0.3">
      <c r="A54" s="71" t="s">
        <v>193</v>
      </c>
      <c r="B54" s="71" t="s">
        <v>239</v>
      </c>
      <c r="C54" s="71" t="s">
        <v>240</v>
      </c>
      <c r="D54" s="71" t="s">
        <v>244</v>
      </c>
      <c r="E54" s="71" t="s">
        <v>849</v>
      </c>
      <c r="F54" s="71">
        <v>0.1</v>
      </c>
      <c r="G54" s="71" t="s">
        <v>853</v>
      </c>
    </row>
    <row r="55" spans="1:7" ht="43.2" x14ac:dyDescent="0.3">
      <c r="A55" s="71" t="s">
        <v>194</v>
      </c>
      <c r="B55" s="71" t="s">
        <v>239</v>
      </c>
      <c r="C55" s="71" t="s">
        <v>240</v>
      </c>
      <c r="D55" s="71" t="s">
        <v>245</v>
      </c>
      <c r="E55" s="71" t="s">
        <v>849</v>
      </c>
      <c r="F55" s="71">
        <v>0.1</v>
      </c>
      <c r="G55" s="71" t="s">
        <v>854</v>
      </c>
    </row>
    <row r="56" spans="1:7" ht="43.2" x14ac:dyDescent="0.3">
      <c r="A56" s="71" t="s">
        <v>195</v>
      </c>
      <c r="B56" s="71" t="s">
        <v>239</v>
      </c>
      <c r="C56" s="71" t="s">
        <v>246</v>
      </c>
      <c r="D56" s="71" t="s">
        <v>247</v>
      </c>
      <c r="E56" s="71" t="s">
        <v>849</v>
      </c>
      <c r="F56" s="71">
        <v>0.2</v>
      </c>
      <c r="G56" s="71" t="s">
        <v>855</v>
      </c>
    </row>
    <row r="57" spans="1:7" ht="43.2" x14ac:dyDescent="0.3">
      <c r="A57" s="71" t="s">
        <v>196</v>
      </c>
      <c r="B57" s="71" t="s">
        <v>239</v>
      </c>
      <c r="C57" s="71" t="s">
        <v>246</v>
      </c>
      <c r="D57" s="71" t="s">
        <v>248</v>
      </c>
      <c r="E57" s="71" t="s">
        <v>849</v>
      </c>
      <c r="F57" s="71">
        <v>0.2</v>
      </c>
      <c r="G57" s="71" t="s">
        <v>856</v>
      </c>
    </row>
    <row r="58" spans="1:7" ht="43.2" x14ac:dyDescent="0.3">
      <c r="A58" s="71" t="s">
        <v>197</v>
      </c>
      <c r="B58" s="71" t="s">
        <v>239</v>
      </c>
      <c r="C58" s="71" t="s">
        <v>246</v>
      </c>
      <c r="D58" s="71" t="s">
        <v>249</v>
      </c>
      <c r="E58" s="71" t="s">
        <v>849</v>
      </c>
      <c r="F58" s="71">
        <v>0.15</v>
      </c>
      <c r="G58" s="71" t="s">
        <v>857</v>
      </c>
    </row>
    <row r="59" spans="1:7" ht="43.2" x14ac:dyDescent="0.3">
      <c r="A59" s="71" t="s">
        <v>198</v>
      </c>
      <c r="B59" s="71" t="s">
        <v>239</v>
      </c>
      <c r="C59" s="71" t="s">
        <v>246</v>
      </c>
      <c r="D59" s="71" t="s">
        <v>250</v>
      </c>
      <c r="E59" s="71" t="s">
        <v>849</v>
      </c>
      <c r="F59" s="71">
        <v>0.1</v>
      </c>
      <c r="G59" s="71" t="s">
        <v>858</v>
      </c>
    </row>
    <row r="60" spans="1:7" ht="43.2" x14ac:dyDescent="0.3">
      <c r="A60" s="71" t="s">
        <v>199</v>
      </c>
      <c r="B60" s="71" t="s">
        <v>239</v>
      </c>
      <c r="C60" s="71" t="s">
        <v>246</v>
      </c>
      <c r="D60" s="71" t="s">
        <v>251</v>
      </c>
      <c r="E60" s="71" t="s">
        <v>849</v>
      </c>
      <c r="F60" s="71">
        <v>0.15</v>
      </c>
      <c r="G60" s="71" t="s">
        <v>859</v>
      </c>
    </row>
    <row r="61" spans="1:7" ht="43.2" x14ac:dyDescent="0.3">
      <c r="A61" s="71" t="s">
        <v>200</v>
      </c>
      <c r="B61" s="71" t="s">
        <v>239</v>
      </c>
      <c r="C61" s="71" t="s">
        <v>246</v>
      </c>
      <c r="D61" s="71" t="s">
        <v>252</v>
      </c>
      <c r="E61" s="71" t="s">
        <v>849</v>
      </c>
      <c r="F61" s="71">
        <v>0.15</v>
      </c>
      <c r="G61" s="71" t="s">
        <v>860</v>
      </c>
    </row>
    <row r="62" spans="1:7" ht="43.2" x14ac:dyDescent="0.3">
      <c r="A62" s="71" t="s">
        <v>201</v>
      </c>
      <c r="B62" s="71" t="s">
        <v>239</v>
      </c>
      <c r="C62" s="71" t="s">
        <v>246</v>
      </c>
      <c r="D62" s="71" t="s">
        <v>253</v>
      </c>
      <c r="E62" s="71" t="s">
        <v>849</v>
      </c>
      <c r="F62" s="71">
        <v>0.05</v>
      </c>
      <c r="G62" s="71" t="s">
        <v>861</v>
      </c>
    </row>
    <row r="63" spans="1:7" ht="28.8" x14ac:dyDescent="0.3">
      <c r="A63" s="71" t="s">
        <v>202</v>
      </c>
      <c r="B63" s="71" t="s">
        <v>239</v>
      </c>
      <c r="C63" s="71" t="s">
        <v>254</v>
      </c>
      <c r="D63" s="71" t="s">
        <v>255</v>
      </c>
      <c r="E63" s="71" t="s">
        <v>849</v>
      </c>
      <c r="F63" s="71">
        <v>0.25</v>
      </c>
      <c r="G63" s="71" t="s">
        <v>862</v>
      </c>
    </row>
    <row r="64" spans="1:7" ht="43.2" x14ac:dyDescent="0.3">
      <c r="A64" s="71" t="s">
        <v>203</v>
      </c>
      <c r="B64" s="71" t="s">
        <v>239</v>
      </c>
      <c r="C64" s="71" t="s">
        <v>254</v>
      </c>
      <c r="D64" s="71" t="s">
        <v>256</v>
      </c>
      <c r="E64" s="71" t="s">
        <v>849</v>
      </c>
      <c r="F64" s="71">
        <v>0.2</v>
      </c>
      <c r="G64" s="71" t="s">
        <v>863</v>
      </c>
    </row>
    <row r="65" spans="1:7" ht="43.2" x14ac:dyDescent="0.3">
      <c r="A65" s="71" t="s">
        <v>204</v>
      </c>
      <c r="B65" s="71" t="s">
        <v>239</v>
      </c>
      <c r="C65" s="71" t="s">
        <v>254</v>
      </c>
      <c r="D65" s="71" t="s">
        <v>257</v>
      </c>
      <c r="E65" s="71" t="s">
        <v>849</v>
      </c>
      <c r="F65" s="71">
        <v>0.2</v>
      </c>
      <c r="G65" s="71" t="s">
        <v>864</v>
      </c>
    </row>
    <row r="66" spans="1:7" ht="43.2" x14ac:dyDescent="0.3">
      <c r="A66" s="71" t="s">
        <v>205</v>
      </c>
      <c r="B66" s="71" t="s">
        <v>239</v>
      </c>
      <c r="C66" s="71" t="s">
        <v>254</v>
      </c>
      <c r="D66" s="71" t="s">
        <v>258</v>
      </c>
      <c r="E66" s="71" t="s">
        <v>849</v>
      </c>
      <c r="F66" s="71">
        <v>0.15</v>
      </c>
      <c r="G66" s="71" t="s">
        <v>865</v>
      </c>
    </row>
    <row r="67" spans="1:7" ht="43.2" x14ac:dyDescent="0.3">
      <c r="A67" s="71" t="s">
        <v>206</v>
      </c>
      <c r="B67" s="71" t="s">
        <v>239</v>
      </c>
      <c r="C67" s="71" t="s">
        <v>254</v>
      </c>
      <c r="D67" s="71" t="s">
        <v>259</v>
      </c>
      <c r="E67" s="71" t="s">
        <v>849</v>
      </c>
      <c r="F67" s="71">
        <v>0.1</v>
      </c>
      <c r="G67" s="71" t="s">
        <v>866</v>
      </c>
    </row>
    <row r="68" spans="1:7" ht="43.2" x14ac:dyDescent="0.3">
      <c r="A68" s="71" t="s">
        <v>207</v>
      </c>
      <c r="B68" s="71" t="s">
        <v>239</v>
      </c>
      <c r="C68" s="71" t="s">
        <v>254</v>
      </c>
      <c r="D68" s="71" t="s">
        <v>260</v>
      </c>
      <c r="E68" s="71" t="s">
        <v>849</v>
      </c>
      <c r="F68" s="71">
        <v>0.05</v>
      </c>
      <c r="G68" s="71" t="s">
        <v>867</v>
      </c>
    </row>
    <row r="69" spans="1:7" ht="43.2" x14ac:dyDescent="0.3">
      <c r="A69" s="71" t="s">
        <v>208</v>
      </c>
      <c r="B69" s="71" t="s">
        <v>239</v>
      </c>
      <c r="C69" s="71" t="s">
        <v>254</v>
      </c>
      <c r="D69" s="71" t="s">
        <v>261</v>
      </c>
      <c r="E69" s="71" t="s">
        <v>849</v>
      </c>
      <c r="F69" s="71">
        <v>0.05</v>
      </c>
      <c r="G69" s="71" t="s">
        <v>868</v>
      </c>
    </row>
    <row r="70" spans="1:7" ht="43.2" x14ac:dyDescent="0.3">
      <c r="A70" s="71" t="s">
        <v>209</v>
      </c>
      <c r="B70" s="71" t="s">
        <v>239</v>
      </c>
      <c r="C70" s="71" t="s">
        <v>48</v>
      </c>
      <c r="D70" s="71" t="s">
        <v>262</v>
      </c>
      <c r="E70" s="71" t="s">
        <v>849</v>
      </c>
      <c r="F70" s="71">
        <v>0.25</v>
      </c>
      <c r="G70" s="71" t="s">
        <v>869</v>
      </c>
    </row>
    <row r="71" spans="1:7" ht="43.2" x14ac:dyDescent="0.3">
      <c r="A71" s="71" t="s">
        <v>210</v>
      </c>
      <c r="B71" s="71" t="s">
        <v>239</v>
      </c>
      <c r="C71" s="71" t="s">
        <v>48</v>
      </c>
      <c r="D71" s="71" t="s">
        <v>263</v>
      </c>
      <c r="E71" s="71" t="s">
        <v>849</v>
      </c>
      <c r="F71" s="71">
        <v>0.2</v>
      </c>
      <c r="G71" s="71" t="s">
        <v>870</v>
      </c>
    </row>
    <row r="72" spans="1:7" ht="43.2" x14ac:dyDescent="0.3">
      <c r="A72" s="71" t="s">
        <v>211</v>
      </c>
      <c r="B72" s="71" t="s">
        <v>239</v>
      </c>
      <c r="C72" s="71" t="s">
        <v>48</v>
      </c>
      <c r="D72" s="71" t="s">
        <v>264</v>
      </c>
      <c r="E72" s="71" t="s">
        <v>849</v>
      </c>
      <c r="F72" s="71">
        <v>0.15</v>
      </c>
      <c r="G72" s="71" t="s">
        <v>871</v>
      </c>
    </row>
    <row r="73" spans="1:7" ht="43.2" x14ac:dyDescent="0.3">
      <c r="A73" s="71" t="s">
        <v>212</v>
      </c>
      <c r="B73" s="71" t="s">
        <v>239</v>
      </c>
      <c r="C73" s="71" t="s">
        <v>48</v>
      </c>
      <c r="D73" s="71" t="s">
        <v>265</v>
      </c>
      <c r="E73" s="71" t="s">
        <v>849</v>
      </c>
      <c r="F73" s="71">
        <v>0.15</v>
      </c>
      <c r="G73" s="71" t="s">
        <v>872</v>
      </c>
    </row>
    <row r="74" spans="1:7" ht="43.2" x14ac:dyDescent="0.3">
      <c r="A74" s="71" t="s">
        <v>213</v>
      </c>
      <c r="B74" s="71" t="s">
        <v>239</v>
      </c>
      <c r="C74" s="71" t="s">
        <v>48</v>
      </c>
      <c r="D74" s="71" t="s">
        <v>266</v>
      </c>
      <c r="E74" s="71" t="s">
        <v>849</v>
      </c>
      <c r="F74" s="71">
        <v>0.15</v>
      </c>
      <c r="G74" s="71" t="s">
        <v>873</v>
      </c>
    </row>
    <row r="75" spans="1:7" ht="43.2" x14ac:dyDescent="0.3">
      <c r="A75" s="71" t="s">
        <v>214</v>
      </c>
      <c r="B75" s="71" t="s">
        <v>239</v>
      </c>
      <c r="C75" s="71" t="s">
        <v>48</v>
      </c>
      <c r="D75" s="71" t="s">
        <v>267</v>
      </c>
      <c r="E75" s="71" t="s">
        <v>849</v>
      </c>
      <c r="F75" s="71">
        <v>0.05</v>
      </c>
      <c r="G75" s="71" t="s">
        <v>874</v>
      </c>
    </row>
    <row r="76" spans="1:7" ht="28.8" x14ac:dyDescent="0.3">
      <c r="A76" s="71" t="s">
        <v>215</v>
      </c>
      <c r="B76" s="71" t="s">
        <v>239</v>
      </c>
      <c r="C76" s="71" t="s">
        <v>48</v>
      </c>
      <c r="D76" s="71" t="s">
        <v>268</v>
      </c>
      <c r="E76" s="71" t="s">
        <v>849</v>
      </c>
      <c r="F76" s="71">
        <v>0.05</v>
      </c>
      <c r="G76" s="71" t="s">
        <v>875</v>
      </c>
    </row>
    <row r="77" spans="1:7" ht="43.2" x14ac:dyDescent="0.3">
      <c r="A77" s="71" t="s">
        <v>216</v>
      </c>
      <c r="B77" s="71" t="s">
        <v>239</v>
      </c>
      <c r="C77" s="71" t="s">
        <v>269</v>
      </c>
      <c r="D77" s="71" t="s">
        <v>270</v>
      </c>
      <c r="E77" s="71" t="s">
        <v>849</v>
      </c>
      <c r="F77" s="71">
        <v>0.15</v>
      </c>
      <c r="G77" s="71" t="s">
        <v>876</v>
      </c>
    </row>
    <row r="78" spans="1:7" ht="28.8" x14ac:dyDescent="0.3">
      <c r="A78" s="71" t="s">
        <v>217</v>
      </c>
      <c r="B78" s="71" t="s">
        <v>239</v>
      </c>
      <c r="C78" s="71" t="s">
        <v>269</v>
      </c>
      <c r="D78" s="71" t="s">
        <v>271</v>
      </c>
      <c r="E78" s="71" t="s">
        <v>849</v>
      </c>
      <c r="F78" s="71">
        <v>0.2</v>
      </c>
      <c r="G78" s="71" t="s">
        <v>877</v>
      </c>
    </row>
    <row r="79" spans="1:7" ht="43.2" x14ac:dyDescent="0.3">
      <c r="A79" s="71" t="s">
        <v>218</v>
      </c>
      <c r="B79" s="71" t="s">
        <v>239</v>
      </c>
      <c r="C79" s="71" t="s">
        <v>269</v>
      </c>
      <c r="D79" s="71" t="s">
        <v>272</v>
      </c>
      <c r="E79" s="71" t="s">
        <v>849</v>
      </c>
      <c r="F79" s="71">
        <v>0.15</v>
      </c>
      <c r="G79" s="71" t="s">
        <v>878</v>
      </c>
    </row>
    <row r="80" spans="1:7" ht="43.2" x14ac:dyDescent="0.3">
      <c r="A80" s="71" t="s">
        <v>219</v>
      </c>
      <c r="B80" s="71" t="s">
        <v>239</v>
      </c>
      <c r="C80" s="71" t="s">
        <v>269</v>
      </c>
      <c r="D80" s="71" t="s">
        <v>273</v>
      </c>
      <c r="E80" s="71" t="s">
        <v>849</v>
      </c>
      <c r="F80" s="71">
        <v>0.15</v>
      </c>
      <c r="G80" s="71" t="s">
        <v>879</v>
      </c>
    </row>
    <row r="81" spans="1:7" ht="43.2" x14ac:dyDescent="0.3">
      <c r="A81" s="71" t="s">
        <v>220</v>
      </c>
      <c r="B81" s="71" t="s">
        <v>239</v>
      </c>
      <c r="C81" s="71" t="s">
        <v>269</v>
      </c>
      <c r="D81" s="71" t="s">
        <v>274</v>
      </c>
      <c r="E81" s="71" t="s">
        <v>849</v>
      </c>
      <c r="F81" s="71">
        <v>0.2</v>
      </c>
      <c r="G81" s="71" t="s">
        <v>880</v>
      </c>
    </row>
    <row r="82" spans="1:7" ht="43.2" x14ac:dyDescent="0.3">
      <c r="A82" s="71" t="s">
        <v>221</v>
      </c>
      <c r="B82" s="71" t="s">
        <v>239</v>
      </c>
      <c r="C82" s="71" t="s">
        <v>269</v>
      </c>
      <c r="D82" s="71" t="s">
        <v>275</v>
      </c>
      <c r="E82" s="71" t="s">
        <v>849</v>
      </c>
      <c r="F82" s="71">
        <v>0.1</v>
      </c>
      <c r="G82" s="71" t="s">
        <v>881</v>
      </c>
    </row>
    <row r="83" spans="1:7" ht="43.2" x14ac:dyDescent="0.3">
      <c r="A83" s="71" t="s">
        <v>222</v>
      </c>
      <c r="B83" s="71" t="s">
        <v>239</v>
      </c>
      <c r="C83" s="71" t="s">
        <v>269</v>
      </c>
      <c r="D83" s="71" t="s">
        <v>276</v>
      </c>
      <c r="E83" s="71" t="s">
        <v>849</v>
      </c>
      <c r="F83" s="71">
        <v>0.05</v>
      </c>
      <c r="G83" s="71" t="s">
        <v>882</v>
      </c>
    </row>
    <row r="84" spans="1:7" ht="43.2" x14ac:dyDescent="0.3">
      <c r="A84" s="71" t="s">
        <v>223</v>
      </c>
      <c r="B84" s="71" t="s">
        <v>239</v>
      </c>
      <c r="C84" s="71" t="s">
        <v>277</v>
      </c>
      <c r="D84" s="71" t="s">
        <v>278</v>
      </c>
      <c r="E84" s="71" t="s">
        <v>849</v>
      </c>
      <c r="F84" s="71">
        <v>0.2</v>
      </c>
      <c r="G84" s="71" t="s">
        <v>883</v>
      </c>
    </row>
    <row r="85" spans="1:7" ht="43.2" x14ac:dyDescent="0.3">
      <c r="A85" s="71" t="s">
        <v>224</v>
      </c>
      <c r="B85" s="71" t="s">
        <v>239</v>
      </c>
      <c r="C85" s="71" t="s">
        <v>277</v>
      </c>
      <c r="D85" s="71" t="s">
        <v>279</v>
      </c>
      <c r="E85" s="71" t="s">
        <v>849</v>
      </c>
      <c r="F85" s="71">
        <v>0.2</v>
      </c>
      <c r="G85" s="71" t="s">
        <v>884</v>
      </c>
    </row>
    <row r="86" spans="1:7" ht="43.2" x14ac:dyDescent="0.3">
      <c r="A86" s="71" t="s">
        <v>225</v>
      </c>
      <c r="B86" s="71" t="s">
        <v>239</v>
      </c>
      <c r="C86" s="71" t="s">
        <v>277</v>
      </c>
      <c r="D86" s="71" t="s">
        <v>280</v>
      </c>
      <c r="E86" s="71" t="s">
        <v>849</v>
      </c>
      <c r="F86" s="71">
        <v>0.15</v>
      </c>
      <c r="G86" s="71" t="s">
        <v>885</v>
      </c>
    </row>
    <row r="87" spans="1:7" ht="43.2" x14ac:dyDescent="0.3">
      <c r="A87" s="71" t="s">
        <v>226</v>
      </c>
      <c r="B87" s="71" t="s">
        <v>239</v>
      </c>
      <c r="C87" s="71" t="s">
        <v>277</v>
      </c>
      <c r="D87" s="71" t="s">
        <v>281</v>
      </c>
      <c r="E87" s="71" t="s">
        <v>849</v>
      </c>
      <c r="F87" s="71">
        <v>0.2</v>
      </c>
      <c r="G87" s="71" t="s">
        <v>886</v>
      </c>
    </row>
    <row r="88" spans="1:7" ht="43.2" x14ac:dyDescent="0.3">
      <c r="A88" s="71" t="s">
        <v>227</v>
      </c>
      <c r="B88" s="71" t="s">
        <v>239</v>
      </c>
      <c r="C88" s="71" t="s">
        <v>277</v>
      </c>
      <c r="D88" s="71" t="s">
        <v>282</v>
      </c>
      <c r="E88" s="71" t="s">
        <v>849</v>
      </c>
      <c r="F88" s="71">
        <v>0.15</v>
      </c>
      <c r="G88" s="71" t="s">
        <v>887</v>
      </c>
    </row>
    <row r="89" spans="1:7" ht="43.2" x14ac:dyDescent="0.3">
      <c r="A89" s="71" t="s">
        <v>228</v>
      </c>
      <c r="B89" s="71" t="s">
        <v>239</v>
      </c>
      <c r="C89" s="71" t="s">
        <v>277</v>
      </c>
      <c r="D89" s="71" t="s">
        <v>283</v>
      </c>
      <c r="E89" s="71" t="s">
        <v>849</v>
      </c>
      <c r="F89" s="71">
        <v>0.1</v>
      </c>
      <c r="G89" s="71" t="s">
        <v>888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
  <sheetViews>
    <sheetView workbookViewId="0"/>
  </sheetViews>
  <sheetFormatPr baseColWidth="10" defaultColWidth="8.88671875" defaultRowHeight="14.4" x14ac:dyDescent="0.3"/>
  <cols>
    <col min="1" max="1" width="5.109375" customWidth="1"/>
    <col min="2" max="2" width="22.77734375" customWidth="1"/>
    <col min="3" max="3" width="13.44140625" customWidth="1"/>
    <col min="4" max="4" width="8.77734375" customWidth="1"/>
    <col min="5" max="5" width="15.44140625" customWidth="1"/>
    <col min="6" max="6" width="15.77734375" customWidth="1"/>
    <col min="7" max="7" width="18.21875" customWidth="1"/>
    <col min="8" max="8" width="19" customWidth="1"/>
    <col min="9" max="9" width="21" customWidth="1"/>
    <col min="10" max="10" width="16.6640625" customWidth="1"/>
    <col min="11" max="11" width="11.44140625" customWidth="1"/>
    <col min="12" max="12" width="20.44140625" customWidth="1"/>
    <col min="13" max="13" width="22.21875" customWidth="1"/>
    <col min="14" max="14" width="20.44140625" customWidth="1"/>
    <col min="15" max="15" width="13.33203125" customWidth="1"/>
    <col min="16" max="16" width="12.21875" customWidth="1"/>
    <col min="17" max="17" width="18.5546875" customWidth="1"/>
    <col min="18" max="18" width="11" customWidth="1"/>
  </cols>
  <sheetData>
    <row r="1" spans="1:18" ht="20.55" customHeight="1" x14ac:dyDescent="0.3">
      <c r="A1" s="74" t="s">
        <v>284</v>
      </c>
      <c r="B1" s="74" t="s">
        <v>285</v>
      </c>
      <c r="C1" s="74" t="s">
        <v>286</v>
      </c>
      <c r="D1" s="74" t="s">
        <v>287</v>
      </c>
      <c r="E1" s="74" t="s">
        <v>288</v>
      </c>
      <c r="F1" s="74" t="s">
        <v>289</v>
      </c>
      <c r="G1" s="74" t="s">
        <v>290</v>
      </c>
      <c r="H1" s="74" t="s">
        <v>291</v>
      </c>
      <c r="I1" s="74" t="s">
        <v>292</v>
      </c>
      <c r="J1" s="74" t="s">
        <v>293</v>
      </c>
      <c r="K1" s="74" t="s">
        <v>294</v>
      </c>
      <c r="L1" s="74" t="s">
        <v>295</v>
      </c>
      <c r="M1" s="74" t="s">
        <v>296</v>
      </c>
      <c r="N1" s="74" t="s">
        <v>297</v>
      </c>
      <c r="O1" s="74" t="s">
        <v>298</v>
      </c>
      <c r="P1" s="74" t="s">
        <v>299</v>
      </c>
      <c r="Q1" s="74" t="s">
        <v>300</v>
      </c>
      <c r="R1" s="74" t="s">
        <v>301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
  <sheetViews>
    <sheetView workbookViewId="0"/>
  </sheetViews>
  <sheetFormatPr baseColWidth="10" defaultColWidth="8.88671875" defaultRowHeight="14.4" x14ac:dyDescent="0.3"/>
  <cols>
    <col min="1" max="1" width="12" customWidth="1"/>
    <col min="2" max="2" width="34" customWidth="1"/>
    <col min="3" max="3" width="30" customWidth="1"/>
    <col min="4" max="4" width="34" customWidth="1"/>
    <col min="5" max="5" width="14" customWidth="1"/>
    <col min="6" max="6" width="12" customWidth="1"/>
    <col min="7" max="7" width="14" customWidth="1"/>
    <col min="8" max="9" width="45" customWidth="1"/>
    <col min="10" max="10" width="12" customWidth="1"/>
  </cols>
  <sheetData>
    <row r="1" spans="1:10" ht="28.8" x14ac:dyDescent="0.3">
      <c r="A1" s="70" t="s">
        <v>284</v>
      </c>
      <c r="B1" s="70" t="s">
        <v>285</v>
      </c>
      <c r="C1" s="70" t="s">
        <v>302</v>
      </c>
      <c r="D1" s="70" t="s">
        <v>303</v>
      </c>
      <c r="E1" s="70" t="s">
        <v>286</v>
      </c>
      <c r="F1" s="70" t="s">
        <v>304</v>
      </c>
      <c r="G1" s="70" t="s">
        <v>305</v>
      </c>
      <c r="H1" s="70" t="s">
        <v>306</v>
      </c>
      <c r="I1" s="70" t="s">
        <v>229</v>
      </c>
      <c r="J1" s="70" t="s">
        <v>307</v>
      </c>
    </row>
  </sheetData>
  <dataValidations count="2">
    <dataValidation type="list" sqref="G2:G51" xr:uid="{00000000-0002-0000-0700-000000000000}">
      <formula1>"baja,media,alta"</formula1>
    </dataValidation>
    <dataValidation type="list" sqref="J2:J51" xr:uid="{00000000-0002-0000-0700-000001000000}">
      <formula1>"No"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00"/>
  <sheetViews>
    <sheetView workbookViewId="0"/>
  </sheetViews>
  <sheetFormatPr baseColWidth="10" defaultColWidth="8.88671875" defaultRowHeight="14.4" x14ac:dyDescent="0.3"/>
  <cols>
    <col min="1" max="1" width="124.77734375" customWidth="1"/>
    <col min="2" max="2" width="51" customWidth="1"/>
    <col min="3" max="3" width="16.109375" customWidth="1"/>
    <col min="4" max="4" width="11.44140625" customWidth="1"/>
    <col min="5" max="5" width="17.109375" customWidth="1"/>
    <col min="6" max="6" width="11.5546875" customWidth="1"/>
    <col min="7" max="7" width="13.88671875" customWidth="1"/>
    <col min="8" max="8" width="24.6640625" customWidth="1"/>
    <col min="9" max="9" width="22.21875" customWidth="1"/>
    <col min="10" max="10" width="24.88671875" customWidth="1"/>
    <col min="11" max="11" width="19.6640625" customWidth="1"/>
    <col min="12" max="12" width="16.6640625" customWidth="1"/>
    <col min="13" max="13" width="10.33203125" customWidth="1"/>
    <col min="14" max="14" width="48.5546875" customWidth="1"/>
  </cols>
  <sheetData>
    <row r="1" spans="1:14" ht="18" x14ac:dyDescent="0.35">
      <c r="A1" s="98" t="s">
        <v>889</v>
      </c>
      <c r="B1" s="98"/>
      <c r="C1" s="98"/>
      <c r="D1" s="98"/>
      <c r="E1" s="98"/>
      <c r="F1" s="98"/>
      <c r="G1" s="99"/>
      <c r="H1" s="99"/>
      <c r="I1" s="98"/>
      <c r="J1" s="100"/>
      <c r="K1" s="100"/>
      <c r="L1" s="100"/>
      <c r="M1" s="100"/>
      <c r="N1" s="100"/>
    </row>
    <row r="2" spans="1:14" x14ac:dyDescent="0.3">
      <c r="A2" s="101" t="s">
        <v>890</v>
      </c>
      <c r="B2" s="101"/>
      <c r="C2" s="101"/>
      <c r="D2" s="101"/>
      <c r="E2" s="101"/>
      <c r="F2" s="101"/>
      <c r="G2" s="101"/>
      <c r="H2" s="101"/>
      <c r="I2" s="101"/>
      <c r="J2" s="101"/>
      <c r="K2" s="101"/>
      <c r="L2" s="101"/>
      <c r="M2" s="101"/>
      <c r="N2" s="101"/>
    </row>
    <row r="4" spans="1:14" x14ac:dyDescent="0.3">
      <c r="A4" s="92" t="s">
        <v>284</v>
      </c>
      <c r="B4" s="92" t="s">
        <v>285</v>
      </c>
      <c r="C4" s="92" t="s">
        <v>286</v>
      </c>
      <c r="D4" s="92" t="s">
        <v>287</v>
      </c>
      <c r="E4" s="92" t="s">
        <v>891</v>
      </c>
      <c r="F4" s="92" t="s">
        <v>892</v>
      </c>
      <c r="G4" s="92" t="s">
        <v>893</v>
      </c>
      <c r="H4" s="92" t="s">
        <v>894</v>
      </c>
      <c r="I4" s="92" t="s">
        <v>895</v>
      </c>
      <c r="J4" s="92" t="s">
        <v>896</v>
      </c>
      <c r="K4" s="92" t="s">
        <v>897</v>
      </c>
      <c r="L4" s="92" t="s">
        <v>898</v>
      </c>
      <c r="M4" s="92" t="s">
        <v>899</v>
      </c>
      <c r="N4" s="92" t="s">
        <v>229</v>
      </c>
    </row>
    <row r="5" spans="1:14" ht="28.8" x14ac:dyDescent="0.3">
      <c r="A5" s="71" t="s">
        <v>494</v>
      </c>
      <c r="B5" s="71" t="s">
        <v>495</v>
      </c>
      <c r="C5" s="71" t="s">
        <v>393</v>
      </c>
      <c r="D5" s="95">
        <v>30</v>
      </c>
      <c r="E5" s="71"/>
      <c r="F5" s="95">
        <v>1</v>
      </c>
      <c r="G5" s="95">
        <v>12</v>
      </c>
      <c r="H5" s="96">
        <v>16964.78</v>
      </c>
      <c r="I5" s="96"/>
      <c r="J5" s="96"/>
      <c r="K5" s="96"/>
      <c r="L5" s="96"/>
      <c r="M5" s="71" t="s">
        <v>900</v>
      </c>
      <c r="N5" s="71" t="s">
        <v>901</v>
      </c>
    </row>
    <row r="6" spans="1:14" ht="28.8" x14ac:dyDescent="0.3">
      <c r="A6" s="71" t="s">
        <v>497</v>
      </c>
      <c r="B6" s="71" t="s">
        <v>498</v>
      </c>
      <c r="C6" s="71" t="s">
        <v>393</v>
      </c>
      <c r="D6" s="95">
        <v>30</v>
      </c>
      <c r="E6" s="71"/>
      <c r="F6" s="95">
        <v>1</v>
      </c>
      <c r="G6" s="95">
        <v>12</v>
      </c>
      <c r="H6" s="96">
        <v>16964.78</v>
      </c>
      <c r="I6" s="96"/>
      <c r="J6" s="96"/>
      <c r="K6" s="96"/>
      <c r="L6" s="96"/>
      <c r="M6" s="71" t="s">
        <v>900</v>
      </c>
      <c r="N6" s="71" t="s">
        <v>901</v>
      </c>
    </row>
    <row r="7" spans="1:14" ht="28.8" x14ac:dyDescent="0.3">
      <c r="A7" s="71" t="s">
        <v>500</v>
      </c>
      <c r="B7" s="71" t="s">
        <v>501</v>
      </c>
      <c r="C7" s="71" t="s">
        <v>393</v>
      </c>
      <c r="D7" s="95">
        <v>29</v>
      </c>
      <c r="E7" s="71"/>
      <c r="F7" s="95">
        <v>1</v>
      </c>
      <c r="G7" s="95">
        <v>12</v>
      </c>
      <c r="H7" s="96">
        <v>15216.46</v>
      </c>
      <c r="I7" s="96"/>
      <c r="J7" s="96"/>
      <c r="K7" s="96"/>
      <c r="L7" s="96"/>
      <c r="M7" s="71" t="s">
        <v>900</v>
      </c>
      <c r="N7" s="71" t="s">
        <v>901</v>
      </c>
    </row>
    <row r="8" spans="1:14" ht="28.8" x14ac:dyDescent="0.3">
      <c r="A8" s="71" t="s">
        <v>503</v>
      </c>
      <c r="B8" s="71" t="s">
        <v>504</v>
      </c>
      <c r="C8" s="71" t="s">
        <v>393</v>
      </c>
      <c r="D8" s="95">
        <v>28</v>
      </c>
      <c r="E8" s="71"/>
      <c r="F8" s="95">
        <v>1</v>
      </c>
      <c r="G8" s="95">
        <v>12</v>
      </c>
      <c r="H8" s="96">
        <v>14577.08</v>
      </c>
      <c r="I8" s="96"/>
      <c r="J8" s="96"/>
      <c r="K8" s="96"/>
      <c r="L8" s="96"/>
      <c r="M8" s="71" t="s">
        <v>900</v>
      </c>
      <c r="N8" s="71" t="s">
        <v>901</v>
      </c>
    </row>
    <row r="9" spans="1:14" ht="28.8" x14ac:dyDescent="0.3">
      <c r="A9" s="71" t="s">
        <v>506</v>
      </c>
      <c r="B9" s="71" t="s">
        <v>504</v>
      </c>
      <c r="C9" s="71" t="s">
        <v>393</v>
      </c>
      <c r="D9" s="95">
        <v>28</v>
      </c>
      <c r="E9" s="71"/>
      <c r="F9" s="95">
        <v>1</v>
      </c>
      <c r="G9" s="95">
        <v>12</v>
      </c>
      <c r="H9" s="96">
        <v>14577.08</v>
      </c>
      <c r="I9" s="96"/>
      <c r="J9" s="96"/>
      <c r="K9" s="96"/>
      <c r="L9" s="96"/>
      <c r="M9" s="71" t="s">
        <v>900</v>
      </c>
      <c r="N9" s="71" t="s">
        <v>901</v>
      </c>
    </row>
    <row r="10" spans="1:14" ht="28.8" x14ac:dyDescent="0.3">
      <c r="A10" s="71" t="s">
        <v>507</v>
      </c>
      <c r="B10" s="71" t="s">
        <v>508</v>
      </c>
      <c r="C10" s="71" t="s">
        <v>393</v>
      </c>
      <c r="D10" s="95">
        <v>28</v>
      </c>
      <c r="E10" s="71"/>
      <c r="F10" s="95">
        <v>1</v>
      </c>
      <c r="G10" s="95">
        <v>12</v>
      </c>
      <c r="H10" s="96">
        <v>14577.08</v>
      </c>
      <c r="I10" s="96"/>
      <c r="J10" s="96"/>
      <c r="K10" s="96"/>
      <c r="L10" s="96"/>
      <c r="M10" s="71" t="s">
        <v>900</v>
      </c>
      <c r="N10" s="71" t="s">
        <v>901</v>
      </c>
    </row>
    <row r="11" spans="1:14" ht="28.8" x14ac:dyDescent="0.3">
      <c r="A11" s="71" t="s">
        <v>510</v>
      </c>
      <c r="B11" s="71" t="s">
        <v>511</v>
      </c>
      <c r="C11" s="71" t="s">
        <v>393</v>
      </c>
      <c r="D11" s="95">
        <v>27</v>
      </c>
      <c r="E11" s="71"/>
      <c r="F11" s="95">
        <v>1</v>
      </c>
      <c r="G11" s="95">
        <v>12</v>
      </c>
      <c r="H11" s="96">
        <v>13936.58</v>
      </c>
      <c r="I11" s="96"/>
      <c r="J11" s="96"/>
      <c r="K11" s="96"/>
      <c r="L11" s="96"/>
      <c r="M11" s="71" t="s">
        <v>900</v>
      </c>
      <c r="N11" s="71" t="s">
        <v>901</v>
      </c>
    </row>
    <row r="12" spans="1:14" ht="28.8" x14ac:dyDescent="0.3">
      <c r="A12" s="71" t="s">
        <v>513</v>
      </c>
      <c r="B12" s="71" t="s">
        <v>511</v>
      </c>
      <c r="C12" s="71" t="s">
        <v>393</v>
      </c>
      <c r="D12" s="95">
        <v>26</v>
      </c>
      <c r="E12" s="71"/>
      <c r="F12" s="95">
        <v>1</v>
      </c>
      <c r="G12" s="95">
        <v>12</v>
      </c>
      <c r="H12" s="96">
        <v>12227.32</v>
      </c>
      <c r="I12" s="96"/>
      <c r="J12" s="96"/>
      <c r="K12" s="96"/>
      <c r="L12" s="96"/>
      <c r="M12" s="71" t="s">
        <v>900</v>
      </c>
      <c r="N12" s="71" t="s">
        <v>901</v>
      </c>
    </row>
    <row r="13" spans="1:14" ht="28.8" x14ac:dyDescent="0.3">
      <c r="A13" s="71" t="s">
        <v>515</v>
      </c>
      <c r="B13" s="71" t="s">
        <v>516</v>
      </c>
      <c r="C13" s="71" t="s">
        <v>393</v>
      </c>
      <c r="D13" s="95">
        <v>27</v>
      </c>
      <c r="E13" s="71"/>
      <c r="F13" s="95">
        <v>1</v>
      </c>
      <c r="G13" s="95">
        <v>12</v>
      </c>
      <c r="H13" s="96">
        <v>13936.58</v>
      </c>
      <c r="I13" s="96"/>
      <c r="J13" s="96"/>
      <c r="K13" s="96"/>
      <c r="L13" s="96"/>
      <c r="M13" s="71" t="s">
        <v>900</v>
      </c>
      <c r="N13" s="71" t="s">
        <v>901</v>
      </c>
    </row>
    <row r="14" spans="1:14" ht="28.8" x14ac:dyDescent="0.3">
      <c r="A14" s="71" t="s">
        <v>517</v>
      </c>
      <c r="B14" s="71" t="s">
        <v>518</v>
      </c>
      <c r="C14" s="71" t="s">
        <v>393</v>
      </c>
      <c r="D14" s="95">
        <v>27</v>
      </c>
      <c r="E14" s="71"/>
      <c r="F14" s="95">
        <v>1</v>
      </c>
      <c r="G14" s="95">
        <v>12</v>
      </c>
      <c r="H14" s="96">
        <v>13936.58</v>
      </c>
      <c r="I14" s="96"/>
      <c r="J14" s="96"/>
      <c r="K14" s="96"/>
      <c r="L14" s="96"/>
      <c r="M14" s="71" t="s">
        <v>900</v>
      </c>
      <c r="N14" s="71" t="s">
        <v>901</v>
      </c>
    </row>
    <row r="15" spans="1:14" ht="28.8" x14ac:dyDescent="0.3">
      <c r="A15" s="71" t="s">
        <v>519</v>
      </c>
      <c r="B15" s="71" t="s">
        <v>520</v>
      </c>
      <c r="C15" s="71" t="s">
        <v>393</v>
      </c>
      <c r="D15" s="95">
        <v>27</v>
      </c>
      <c r="E15" s="71"/>
      <c r="F15" s="95">
        <v>1</v>
      </c>
      <c r="G15" s="95">
        <v>12</v>
      </c>
      <c r="H15" s="96">
        <v>13936.58</v>
      </c>
      <c r="I15" s="96"/>
      <c r="J15" s="96"/>
      <c r="K15" s="96"/>
      <c r="L15" s="96"/>
      <c r="M15" s="71" t="s">
        <v>900</v>
      </c>
      <c r="N15" s="71" t="s">
        <v>901</v>
      </c>
    </row>
    <row r="16" spans="1:14" ht="28.8" x14ac:dyDescent="0.3">
      <c r="A16" s="71" t="s">
        <v>521</v>
      </c>
      <c r="B16" s="71" t="s">
        <v>522</v>
      </c>
      <c r="C16" s="71" t="s">
        <v>393</v>
      </c>
      <c r="D16" s="95">
        <v>27</v>
      </c>
      <c r="E16" s="71"/>
      <c r="F16" s="95">
        <v>1</v>
      </c>
      <c r="G16" s="95">
        <v>12</v>
      </c>
      <c r="H16" s="96">
        <v>13936.58</v>
      </c>
      <c r="I16" s="96"/>
      <c r="J16" s="96"/>
      <c r="K16" s="96"/>
      <c r="L16" s="96"/>
      <c r="M16" s="71" t="s">
        <v>900</v>
      </c>
      <c r="N16" s="71" t="s">
        <v>901</v>
      </c>
    </row>
    <row r="17" spans="1:14" ht="28.8" x14ac:dyDescent="0.3">
      <c r="A17" s="71" t="s">
        <v>523</v>
      </c>
      <c r="B17" s="71" t="s">
        <v>524</v>
      </c>
      <c r="C17" s="71" t="s">
        <v>393</v>
      </c>
      <c r="D17" s="95">
        <v>26</v>
      </c>
      <c r="E17" s="71"/>
      <c r="F17" s="95">
        <v>1</v>
      </c>
      <c r="G17" s="95">
        <v>12</v>
      </c>
      <c r="H17" s="96">
        <v>12227.32</v>
      </c>
      <c r="I17" s="96"/>
      <c r="J17" s="96"/>
      <c r="K17" s="96"/>
      <c r="L17" s="96"/>
      <c r="M17" s="71" t="s">
        <v>900</v>
      </c>
      <c r="N17" s="71" t="s">
        <v>901</v>
      </c>
    </row>
    <row r="18" spans="1:14" ht="28.8" x14ac:dyDescent="0.3">
      <c r="A18" s="71" t="s">
        <v>526</v>
      </c>
      <c r="B18" s="71" t="s">
        <v>527</v>
      </c>
      <c r="C18" s="71" t="s">
        <v>395</v>
      </c>
      <c r="D18" s="95">
        <v>26</v>
      </c>
      <c r="E18" s="71"/>
      <c r="F18" s="95">
        <v>1</v>
      </c>
      <c r="G18" s="95">
        <v>12</v>
      </c>
      <c r="H18" s="96">
        <v>30586.3</v>
      </c>
      <c r="I18" s="96"/>
      <c r="J18" s="96"/>
      <c r="K18" s="96"/>
      <c r="L18" s="96"/>
      <c r="M18" s="71" t="s">
        <v>900</v>
      </c>
      <c r="N18" s="71" t="s">
        <v>901</v>
      </c>
    </row>
    <row r="19" spans="1:14" ht="28.8" x14ac:dyDescent="0.3">
      <c r="A19" s="71" t="s">
        <v>529</v>
      </c>
      <c r="B19" s="71" t="s">
        <v>530</v>
      </c>
      <c r="C19" s="71" t="s">
        <v>393</v>
      </c>
      <c r="D19" s="95">
        <v>25</v>
      </c>
      <c r="E19" s="71"/>
      <c r="F19" s="95">
        <v>1</v>
      </c>
      <c r="G19" s="95">
        <v>12</v>
      </c>
      <c r="H19" s="96">
        <v>10848.04</v>
      </c>
      <c r="I19" s="96"/>
      <c r="J19" s="96"/>
      <c r="K19" s="96"/>
      <c r="L19" s="96"/>
      <c r="M19" s="71" t="s">
        <v>900</v>
      </c>
      <c r="N19" s="71" t="s">
        <v>901</v>
      </c>
    </row>
    <row r="20" spans="1:14" ht="28.8" x14ac:dyDescent="0.3">
      <c r="A20" s="71" t="s">
        <v>532</v>
      </c>
      <c r="B20" s="71" t="s">
        <v>533</v>
      </c>
      <c r="C20" s="71" t="s">
        <v>393</v>
      </c>
      <c r="D20" s="95">
        <v>25</v>
      </c>
      <c r="E20" s="71"/>
      <c r="F20" s="95">
        <v>1</v>
      </c>
      <c r="G20" s="95">
        <v>12</v>
      </c>
      <c r="H20" s="96">
        <v>10848.04</v>
      </c>
      <c r="I20" s="96"/>
      <c r="J20" s="96"/>
      <c r="K20" s="96"/>
      <c r="L20" s="96"/>
      <c r="M20" s="71" t="s">
        <v>900</v>
      </c>
      <c r="N20" s="71" t="s">
        <v>901</v>
      </c>
    </row>
    <row r="21" spans="1:14" ht="28.8" x14ac:dyDescent="0.3">
      <c r="A21" s="71" t="s">
        <v>534</v>
      </c>
      <c r="B21" s="71" t="s">
        <v>535</v>
      </c>
      <c r="C21" s="71" t="s">
        <v>393</v>
      </c>
      <c r="D21" s="95">
        <v>25</v>
      </c>
      <c r="E21" s="71"/>
      <c r="F21" s="95">
        <v>1</v>
      </c>
      <c r="G21" s="95">
        <v>12</v>
      </c>
      <c r="H21" s="96">
        <v>10848.04</v>
      </c>
      <c r="I21" s="96"/>
      <c r="J21" s="96"/>
      <c r="K21" s="96"/>
      <c r="L21" s="96"/>
      <c r="M21" s="71" t="s">
        <v>900</v>
      </c>
      <c r="N21" s="71" t="s">
        <v>901</v>
      </c>
    </row>
    <row r="22" spans="1:14" ht="28.8" x14ac:dyDescent="0.3">
      <c r="A22" s="71" t="s">
        <v>536</v>
      </c>
      <c r="B22" s="71" t="s">
        <v>537</v>
      </c>
      <c r="C22" s="71" t="s">
        <v>393</v>
      </c>
      <c r="D22" s="95">
        <v>25</v>
      </c>
      <c r="E22" s="71"/>
      <c r="F22" s="95">
        <v>1</v>
      </c>
      <c r="G22" s="95">
        <v>12</v>
      </c>
      <c r="H22" s="96">
        <v>10848.04</v>
      </c>
      <c r="I22" s="96"/>
      <c r="J22" s="96"/>
      <c r="K22" s="96"/>
      <c r="L22" s="96"/>
      <c r="M22" s="71" t="s">
        <v>900</v>
      </c>
      <c r="N22" s="71" t="s">
        <v>901</v>
      </c>
    </row>
    <row r="23" spans="1:14" ht="28.8" x14ac:dyDescent="0.3">
      <c r="A23" s="71" t="s">
        <v>538</v>
      </c>
      <c r="B23" s="71" t="s">
        <v>539</v>
      </c>
      <c r="C23" s="71" t="s">
        <v>393</v>
      </c>
      <c r="D23" s="95">
        <v>25</v>
      </c>
      <c r="E23" s="71"/>
      <c r="F23" s="95">
        <v>1</v>
      </c>
      <c r="G23" s="95">
        <v>12</v>
      </c>
      <c r="H23" s="96">
        <v>10848.04</v>
      </c>
      <c r="I23" s="96"/>
      <c r="J23" s="96"/>
      <c r="K23" s="96"/>
      <c r="L23" s="96"/>
      <c r="M23" s="71" t="s">
        <v>900</v>
      </c>
      <c r="N23" s="71" t="s">
        <v>901</v>
      </c>
    </row>
    <row r="24" spans="1:14" ht="28.8" x14ac:dyDescent="0.3">
      <c r="A24" s="71" t="s">
        <v>540</v>
      </c>
      <c r="B24" s="71" t="s">
        <v>541</v>
      </c>
      <c r="C24" s="71" t="s">
        <v>393</v>
      </c>
      <c r="D24" s="95">
        <v>25</v>
      </c>
      <c r="E24" s="71"/>
      <c r="F24" s="95">
        <v>1</v>
      </c>
      <c r="G24" s="95">
        <v>12</v>
      </c>
      <c r="H24" s="96">
        <v>10848.04</v>
      </c>
      <c r="I24" s="96"/>
      <c r="J24" s="96"/>
      <c r="K24" s="96"/>
      <c r="L24" s="96"/>
      <c r="M24" s="71" t="s">
        <v>900</v>
      </c>
      <c r="N24" s="71" t="s">
        <v>901</v>
      </c>
    </row>
    <row r="25" spans="1:14" ht="28.8" x14ac:dyDescent="0.3">
      <c r="A25" s="71" t="s">
        <v>542</v>
      </c>
      <c r="B25" s="71" t="s">
        <v>543</v>
      </c>
      <c r="C25" s="71" t="s">
        <v>393</v>
      </c>
      <c r="D25" s="95">
        <v>25</v>
      </c>
      <c r="E25" s="71"/>
      <c r="F25" s="95">
        <v>1</v>
      </c>
      <c r="G25" s="95">
        <v>12</v>
      </c>
      <c r="H25" s="96">
        <v>10848.04</v>
      </c>
      <c r="I25" s="96"/>
      <c r="J25" s="96"/>
      <c r="K25" s="96"/>
      <c r="L25" s="96"/>
      <c r="M25" s="71" t="s">
        <v>900</v>
      </c>
      <c r="N25" s="71" t="s">
        <v>901</v>
      </c>
    </row>
    <row r="26" spans="1:14" ht="28.8" x14ac:dyDescent="0.3">
      <c r="A26" s="71" t="s">
        <v>544</v>
      </c>
      <c r="B26" s="71" t="s">
        <v>545</v>
      </c>
      <c r="C26" s="71" t="s">
        <v>393</v>
      </c>
      <c r="D26" s="95">
        <v>25</v>
      </c>
      <c r="E26" s="71"/>
      <c r="F26" s="95">
        <v>1</v>
      </c>
      <c r="G26" s="95">
        <v>12</v>
      </c>
      <c r="H26" s="96">
        <v>10848.04</v>
      </c>
      <c r="I26" s="96"/>
      <c r="J26" s="96"/>
      <c r="K26" s="96"/>
      <c r="L26" s="96"/>
      <c r="M26" s="71" t="s">
        <v>900</v>
      </c>
      <c r="N26" s="71" t="s">
        <v>901</v>
      </c>
    </row>
    <row r="27" spans="1:14" ht="28.8" x14ac:dyDescent="0.3">
      <c r="A27" s="71" t="s">
        <v>546</v>
      </c>
      <c r="B27" s="71" t="s">
        <v>547</v>
      </c>
      <c r="C27" s="71" t="s">
        <v>393</v>
      </c>
      <c r="D27" s="95">
        <v>25</v>
      </c>
      <c r="E27" s="71"/>
      <c r="F27" s="95">
        <v>1</v>
      </c>
      <c r="G27" s="95">
        <v>12</v>
      </c>
      <c r="H27" s="96">
        <v>10848.04</v>
      </c>
      <c r="I27" s="96"/>
      <c r="J27" s="96"/>
      <c r="K27" s="96"/>
      <c r="L27" s="96"/>
      <c r="M27" s="71" t="s">
        <v>900</v>
      </c>
      <c r="N27" s="71" t="s">
        <v>901</v>
      </c>
    </row>
    <row r="28" spans="1:14" ht="28.8" x14ac:dyDescent="0.3">
      <c r="A28" s="71" t="s">
        <v>548</v>
      </c>
      <c r="B28" s="71" t="s">
        <v>549</v>
      </c>
      <c r="C28" s="71" t="s">
        <v>393</v>
      </c>
      <c r="D28" s="95">
        <v>25</v>
      </c>
      <c r="E28" s="71"/>
      <c r="F28" s="95">
        <v>1</v>
      </c>
      <c r="G28" s="95">
        <v>12</v>
      </c>
      <c r="H28" s="96">
        <v>10848.04</v>
      </c>
      <c r="I28" s="96"/>
      <c r="J28" s="96"/>
      <c r="K28" s="96"/>
      <c r="L28" s="96"/>
      <c r="M28" s="71" t="s">
        <v>900</v>
      </c>
      <c r="N28" s="71" t="s">
        <v>901</v>
      </c>
    </row>
    <row r="29" spans="1:14" ht="28.8" x14ac:dyDescent="0.3">
      <c r="A29" s="71" t="s">
        <v>550</v>
      </c>
      <c r="B29" s="71" t="s">
        <v>551</v>
      </c>
      <c r="C29" s="71" t="s">
        <v>393</v>
      </c>
      <c r="D29" s="95">
        <v>25</v>
      </c>
      <c r="E29" s="71"/>
      <c r="F29" s="95">
        <v>1</v>
      </c>
      <c r="G29" s="95">
        <v>12</v>
      </c>
      <c r="H29" s="96">
        <v>10848.04</v>
      </c>
      <c r="I29" s="96"/>
      <c r="J29" s="96"/>
      <c r="K29" s="96"/>
      <c r="L29" s="96"/>
      <c r="M29" s="71" t="s">
        <v>900</v>
      </c>
      <c r="N29" s="71" t="s">
        <v>901</v>
      </c>
    </row>
    <row r="30" spans="1:14" ht="28.8" x14ac:dyDescent="0.3">
      <c r="A30" s="71" t="s">
        <v>552</v>
      </c>
      <c r="B30" s="71" t="s">
        <v>553</v>
      </c>
      <c r="C30" s="71" t="s">
        <v>393</v>
      </c>
      <c r="D30" s="95">
        <v>25</v>
      </c>
      <c r="E30" s="71"/>
      <c r="F30" s="95">
        <v>1</v>
      </c>
      <c r="G30" s="95">
        <v>12</v>
      </c>
      <c r="H30" s="96">
        <v>10848.04</v>
      </c>
      <c r="I30" s="96"/>
      <c r="J30" s="96"/>
      <c r="K30" s="96"/>
      <c r="L30" s="96"/>
      <c r="M30" s="71" t="s">
        <v>900</v>
      </c>
      <c r="N30" s="71" t="s">
        <v>901</v>
      </c>
    </row>
    <row r="31" spans="1:14" ht="28.8" x14ac:dyDescent="0.3">
      <c r="A31" s="71" t="s">
        <v>554</v>
      </c>
      <c r="B31" s="71" t="s">
        <v>555</v>
      </c>
      <c r="C31" s="71" t="s">
        <v>393</v>
      </c>
      <c r="D31" s="95">
        <v>25</v>
      </c>
      <c r="E31" s="71"/>
      <c r="F31" s="95">
        <v>1</v>
      </c>
      <c r="G31" s="95">
        <v>12</v>
      </c>
      <c r="H31" s="96">
        <v>10848.04</v>
      </c>
      <c r="I31" s="96"/>
      <c r="J31" s="96"/>
      <c r="K31" s="96"/>
      <c r="L31" s="96"/>
      <c r="M31" s="71" t="s">
        <v>900</v>
      </c>
      <c r="N31" s="71" t="s">
        <v>901</v>
      </c>
    </row>
    <row r="32" spans="1:14" ht="28.8" x14ac:dyDescent="0.3">
      <c r="A32" s="71" t="s">
        <v>556</v>
      </c>
      <c r="B32" s="71" t="s">
        <v>557</v>
      </c>
      <c r="C32" s="71" t="s">
        <v>393</v>
      </c>
      <c r="D32" s="95">
        <v>25</v>
      </c>
      <c r="E32" s="71"/>
      <c r="F32" s="95">
        <v>1</v>
      </c>
      <c r="G32" s="95">
        <v>12</v>
      </c>
      <c r="H32" s="96">
        <v>10848.04</v>
      </c>
      <c r="I32" s="96"/>
      <c r="J32" s="96"/>
      <c r="K32" s="96"/>
      <c r="L32" s="96"/>
      <c r="M32" s="71" t="s">
        <v>900</v>
      </c>
      <c r="N32" s="71" t="s">
        <v>901</v>
      </c>
    </row>
    <row r="33" spans="1:14" ht="28.8" x14ac:dyDescent="0.3">
      <c r="A33" s="71" t="s">
        <v>558</v>
      </c>
      <c r="B33" s="71" t="s">
        <v>559</v>
      </c>
      <c r="C33" s="71" t="s">
        <v>393</v>
      </c>
      <c r="D33" s="95">
        <v>25</v>
      </c>
      <c r="E33" s="71"/>
      <c r="F33" s="95">
        <v>1</v>
      </c>
      <c r="G33" s="95">
        <v>12</v>
      </c>
      <c r="H33" s="96">
        <v>10848.04</v>
      </c>
      <c r="I33" s="96"/>
      <c r="J33" s="96"/>
      <c r="K33" s="96"/>
      <c r="L33" s="96"/>
      <c r="M33" s="71" t="s">
        <v>900</v>
      </c>
      <c r="N33" s="71" t="s">
        <v>901</v>
      </c>
    </row>
    <row r="34" spans="1:14" ht="28.8" x14ac:dyDescent="0.3">
      <c r="A34" s="71" t="s">
        <v>560</v>
      </c>
      <c r="B34" s="71" t="s">
        <v>561</v>
      </c>
      <c r="C34" s="71" t="s">
        <v>393</v>
      </c>
      <c r="D34" s="95">
        <v>25</v>
      </c>
      <c r="E34" s="71"/>
      <c r="F34" s="95">
        <v>1</v>
      </c>
      <c r="G34" s="95">
        <v>12</v>
      </c>
      <c r="H34" s="96">
        <v>10848.04</v>
      </c>
      <c r="I34" s="96"/>
      <c r="J34" s="96"/>
      <c r="K34" s="96"/>
      <c r="L34" s="96"/>
      <c r="M34" s="71" t="s">
        <v>900</v>
      </c>
      <c r="N34" s="71" t="s">
        <v>901</v>
      </c>
    </row>
    <row r="35" spans="1:14" ht="28.8" x14ac:dyDescent="0.3">
      <c r="A35" s="71" t="s">
        <v>562</v>
      </c>
      <c r="B35" s="71" t="s">
        <v>563</v>
      </c>
      <c r="C35" s="71" t="s">
        <v>393</v>
      </c>
      <c r="D35" s="95">
        <v>25</v>
      </c>
      <c r="E35" s="71"/>
      <c r="F35" s="95">
        <v>1</v>
      </c>
      <c r="G35" s="95">
        <v>12</v>
      </c>
      <c r="H35" s="96">
        <v>10848.04</v>
      </c>
      <c r="I35" s="96"/>
      <c r="J35" s="96"/>
      <c r="K35" s="96"/>
      <c r="L35" s="96"/>
      <c r="M35" s="71" t="s">
        <v>900</v>
      </c>
      <c r="N35" s="71" t="s">
        <v>901</v>
      </c>
    </row>
    <row r="36" spans="1:14" ht="28.8" x14ac:dyDescent="0.3">
      <c r="A36" s="71" t="s">
        <v>564</v>
      </c>
      <c r="B36" s="71" t="s">
        <v>565</v>
      </c>
      <c r="C36" s="71" t="s">
        <v>393</v>
      </c>
      <c r="D36" s="95">
        <v>25</v>
      </c>
      <c r="E36" s="71"/>
      <c r="F36" s="95">
        <v>1</v>
      </c>
      <c r="G36" s="95">
        <v>12</v>
      </c>
      <c r="H36" s="96">
        <v>10848.04</v>
      </c>
      <c r="I36" s="96"/>
      <c r="J36" s="96"/>
      <c r="K36" s="96"/>
      <c r="L36" s="96"/>
      <c r="M36" s="71" t="s">
        <v>900</v>
      </c>
      <c r="N36" s="71" t="s">
        <v>901</v>
      </c>
    </row>
    <row r="37" spans="1:14" ht="28.8" x14ac:dyDescent="0.3">
      <c r="A37" s="71" t="s">
        <v>566</v>
      </c>
      <c r="B37" s="71" t="s">
        <v>567</v>
      </c>
      <c r="C37" s="71" t="s">
        <v>393</v>
      </c>
      <c r="D37" s="95">
        <v>25</v>
      </c>
      <c r="E37" s="71"/>
      <c r="F37" s="95">
        <v>1</v>
      </c>
      <c r="G37" s="95">
        <v>12</v>
      </c>
      <c r="H37" s="96">
        <v>10848.04</v>
      </c>
      <c r="I37" s="96"/>
      <c r="J37" s="96"/>
      <c r="K37" s="96"/>
      <c r="L37" s="96"/>
      <c r="M37" s="71" t="s">
        <v>900</v>
      </c>
      <c r="N37" s="71" t="s">
        <v>901</v>
      </c>
    </row>
    <row r="38" spans="1:14" ht="28.8" x14ac:dyDescent="0.3">
      <c r="A38" s="71" t="s">
        <v>568</v>
      </c>
      <c r="B38" s="71" t="s">
        <v>569</v>
      </c>
      <c r="C38" s="71" t="s">
        <v>393</v>
      </c>
      <c r="D38" s="95">
        <v>25</v>
      </c>
      <c r="E38" s="71"/>
      <c r="F38" s="95">
        <v>1</v>
      </c>
      <c r="G38" s="95">
        <v>12</v>
      </c>
      <c r="H38" s="96">
        <v>10848.04</v>
      </c>
      <c r="I38" s="96"/>
      <c r="J38" s="96"/>
      <c r="K38" s="96"/>
      <c r="L38" s="96"/>
      <c r="M38" s="71" t="s">
        <v>900</v>
      </c>
      <c r="N38" s="71" t="s">
        <v>901</v>
      </c>
    </row>
    <row r="39" spans="1:14" ht="28.8" x14ac:dyDescent="0.3">
      <c r="A39" s="71" t="s">
        <v>570</v>
      </c>
      <c r="B39" s="71" t="s">
        <v>571</v>
      </c>
      <c r="C39" s="71" t="s">
        <v>393</v>
      </c>
      <c r="D39" s="95">
        <v>25</v>
      </c>
      <c r="E39" s="71"/>
      <c r="F39" s="95">
        <v>1</v>
      </c>
      <c r="G39" s="95">
        <v>12</v>
      </c>
      <c r="H39" s="96">
        <v>10848.04</v>
      </c>
      <c r="I39" s="96"/>
      <c r="J39" s="96"/>
      <c r="K39" s="96"/>
      <c r="L39" s="96"/>
      <c r="M39" s="71" t="s">
        <v>900</v>
      </c>
      <c r="N39" s="71" t="s">
        <v>901</v>
      </c>
    </row>
    <row r="40" spans="1:14" ht="28.8" x14ac:dyDescent="0.3">
      <c r="A40" s="71" t="s">
        <v>572</v>
      </c>
      <c r="B40" s="71" t="s">
        <v>573</v>
      </c>
      <c r="C40" s="71" t="s">
        <v>395</v>
      </c>
      <c r="D40" s="95">
        <v>24</v>
      </c>
      <c r="E40" s="71"/>
      <c r="F40" s="95">
        <v>1</v>
      </c>
      <c r="G40" s="95">
        <v>12</v>
      </c>
      <c r="H40" s="96">
        <v>28566.94</v>
      </c>
      <c r="I40" s="96"/>
      <c r="J40" s="96"/>
      <c r="K40" s="96"/>
      <c r="L40" s="96"/>
      <c r="M40" s="71" t="s">
        <v>900</v>
      </c>
      <c r="N40" s="71" t="s">
        <v>901</v>
      </c>
    </row>
    <row r="41" spans="1:14" ht="28.8" x14ac:dyDescent="0.3">
      <c r="A41" s="71" t="s">
        <v>575</v>
      </c>
      <c r="B41" s="71" t="s">
        <v>576</v>
      </c>
      <c r="C41" s="71" t="s">
        <v>395</v>
      </c>
      <c r="D41" s="95">
        <v>24</v>
      </c>
      <c r="E41" s="71"/>
      <c r="F41" s="95">
        <v>1</v>
      </c>
      <c r="G41" s="95">
        <v>12</v>
      </c>
      <c r="H41" s="96">
        <v>28566.94</v>
      </c>
      <c r="I41" s="96"/>
      <c r="J41" s="96"/>
      <c r="K41" s="96"/>
      <c r="L41" s="96"/>
      <c r="M41" s="71" t="s">
        <v>900</v>
      </c>
      <c r="N41" s="71" t="s">
        <v>901</v>
      </c>
    </row>
    <row r="42" spans="1:14" ht="28.8" x14ac:dyDescent="0.3">
      <c r="A42" s="71" t="s">
        <v>577</v>
      </c>
      <c r="B42" s="71" t="s">
        <v>578</v>
      </c>
      <c r="C42" s="71" t="s">
        <v>395</v>
      </c>
      <c r="D42" s="95">
        <v>24</v>
      </c>
      <c r="E42" s="71"/>
      <c r="F42" s="95">
        <v>1</v>
      </c>
      <c r="G42" s="95">
        <v>12</v>
      </c>
      <c r="H42" s="96">
        <v>28566.94</v>
      </c>
      <c r="I42" s="96"/>
      <c r="J42" s="96"/>
      <c r="K42" s="96"/>
      <c r="L42" s="96"/>
      <c r="M42" s="71" t="s">
        <v>900</v>
      </c>
      <c r="N42" s="71" t="s">
        <v>901</v>
      </c>
    </row>
    <row r="43" spans="1:14" ht="28.8" x14ac:dyDescent="0.3">
      <c r="A43" s="71" t="s">
        <v>579</v>
      </c>
      <c r="B43" s="71" t="s">
        <v>580</v>
      </c>
      <c r="C43" s="71" t="s">
        <v>395</v>
      </c>
      <c r="D43" s="95">
        <v>24</v>
      </c>
      <c r="E43" s="71"/>
      <c r="F43" s="95">
        <v>1</v>
      </c>
      <c r="G43" s="95">
        <v>12</v>
      </c>
      <c r="H43" s="96">
        <v>28566.94</v>
      </c>
      <c r="I43" s="96"/>
      <c r="J43" s="96"/>
      <c r="K43" s="96"/>
      <c r="L43" s="96"/>
      <c r="M43" s="71" t="s">
        <v>900</v>
      </c>
      <c r="N43" s="71" t="s">
        <v>901</v>
      </c>
    </row>
    <row r="44" spans="1:14" ht="28.8" x14ac:dyDescent="0.3">
      <c r="A44" s="71" t="s">
        <v>581</v>
      </c>
      <c r="B44" s="71" t="s">
        <v>582</v>
      </c>
      <c r="C44" s="71" t="s">
        <v>395</v>
      </c>
      <c r="D44" s="95">
        <v>24</v>
      </c>
      <c r="E44" s="71"/>
      <c r="F44" s="95">
        <v>1</v>
      </c>
      <c r="G44" s="95">
        <v>12</v>
      </c>
      <c r="H44" s="96">
        <v>28566.94</v>
      </c>
      <c r="I44" s="96"/>
      <c r="J44" s="96"/>
      <c r="K44" s="96"/>
      <c r="L44" s="96"/>
      <c r="M44" s="71" t="s">
        <v>900</v>
      </c>
      <c r="N44" s="71" t="s">
        <v>901</v>
      </c>
    </row>
    <row r="45" spans="1:14" ht="28.8" x14ac:dyDescent="0.3">
      <c r="A45" s="71" t="s">
        <v>583</v>
      </c>
      <c r="B45" s="71" t="s">
        <v>584</v>
      </c>
      <c r="C45" s="71" t="s">
        <v>395</v>
      </c>
      <c r="D45" s="95">
        <v>24</v>
      </c>
      <c r="E45" s="71"/>
      <c r="F45" s="95">
        <v>1</v>
      </c>
      <c r="G45" s="95">
        <v>12</v>
      </c>
      <c r="H45" s="96">
        <v>28566.94</v>
      </c>
      <c r="I45" s="96"/>
      <c r="J45" s="96"/>
      <c r="K45" s="96"/>
      <c r="L45" s="96"/>
      <c r="M45" s="71" t="s">
        <v>900</v>
      </c>
      <c r="N45" s="71" t="s">
        <v>901</v>
      </c>
    </row>
    <row r="46" spans="1:14" ht="28.8" x14ac:dyDescent="0.3">
      <c r="A46" s="71" t="s">
        <v>585</v>
      </c>
      <c r="B46" s="71" t="s">
        <v>586</v>
      </c>
      <c r="C46" s="71" t="s">
        <v>395</v>
      </c>
      <c r="D46" s="95">
        <v>24</v>
      </c>
      <c r="E46" s="71"/>
      <c r="F46" s="95">
        <v>1</v>
      </c>
      <c r="G46" s="95">
        <v>12</v>
      </c>
      <c r="H46" s="96">
        <v>28566.94</v>
      </c>
      <c r="I46" s="96"/>
      <c r="J46" s="96"/>
      <c r="K46" s="96"/>
      <c r="L46" s="96"/>
      <c r="M46" s="71" t="s">
        <v>900</v>
      </c>
      <c r="N46" s="71" t="s">
        <v>901</v>
      </c>
    </row>
    <row r="47" spans="1:14" ht="28.8" x14ac:dyDescent="0.3">
      <c r="A47" s="71" t="s">
        <v>587</v>
      </c>
      <c r="B47" s="71" t="s">
        <v>588</v>
      </c>
      <c r="C47" s="71" t="s">
        <v>395</v>
      </c>
      <c r="D47" s="95">
        <v>24</v>
      </c>
      <c r="E47" s="71"/>
      <c r="F47" s="95">
        <v>1</v>
      </c>
      <c r="G47" s="95">
        <v>12</v>
      </c>
      <c r="H47" s="96">
        <v>28566.94</v>
      </c>
      <c r="I47" s="96"/>
      <c r="J47" s="96"/>
      <c r="K47" s="96"/>
      <c r="L47" s="96"/>
      <c r="M47" s="71" t="s">
        <v>900</v>
      </c>
      <c r="N47" s="71" t="s">
        <v>901</v>
      </c>
    </row>
    <row r="48" spans="1:14" ht="28.8" x14ac:dyDescent="0.3">
      <c r="A48" s="71" t="s">
        <v>589</v>
      </c>
      <c r="B48" s="71" t="s">
        <v>590</v>
      </c>
      <c r="C48" s="71" t="s">
        <v>395</v>
      </c>
      <c r="D48" s="95">
        <v>24</v>
      </c>
      <c r="E48" s="71"/>
      <c r="F48" s="95">
        <v>1</v>
      </c>
      <c r="G48" s="95">
        <v>12</v>
      </c>
      <c r="H48" s="96">
        <v>28566.94</v>
      </c>
      <c r="I48" s="96"/>
      <c r="J48" s="96"/>
      <c r="K48" s="96"/>
      <c r="L48" s="96"/>
      <c r="M48" s="71" t="s">
        <v>900</v>
      </c>
      <c r="N48" s="71" t="s">
        <v>901</v>
      </c>
    </row>
    <row r="49" spans="1:14" ht="28.8" x14ac:dyDescent="0.3">
      <c r="A49" s="71" t="s">
        <v>591</v>
      </c>
      <c r="B49" s="71" t="s">
        <v>592</v>
      </c>
      <c r="C49" s="71" t="s">
        <v>395</v>
      </c>
      <c r="D49" s="95">
        <v>24</v>
      </c>
      <c r="E49" s="71"/>
      <c r="F49" s="95">
        <v>1</v>
      </c>
      <c r="G49" s="95">
        <v>12</v>
      </c>
      <c r="H49" s="96">
        <v>28566.94</v>
      </c>
      <c r="I49" s="96"/>
      <c r="J49" s="96"/>
      <c r="K49" s="96"/>
      <c r="L49" s="96"/>
      <c r="M49" s="71" t="s">
        <v>900</v>
      </c>
      <c r="N49" s="71" t="s">
        <v>901</v>
      </c>
    </row>
    <row r="50" spans="1:14" ht="28.8" x14ac:dyDescent="0.3">
      <c r="A50" s="71" t="s">
        <v>593</v>
      </c>
      <c r="B50" s="71" t="s">
        <v>594</v>
      </c>
      <c r="C50" s="71" t="s">
        <v>395</v>
      </c>
      <c r="D50" s="95">
        <v>24</v>
      </c>
      <c r="E50" s="71"/>
      <c r="F50" s="95">
        <v>1</v>
      </c>
      <c r="G50" s="95">
        <v>12</v>
      </c>
      <c r="H50" s="96">
        <v>28566.94</v>
      </c>
      <c r="I50" s="96"/>
      <c r="J50" s="96"/>
      <c r="K50" s="96"/>
      <c r="L50" s="96"/>
      <c r="M50" s="71" t="s">
        <v>900</v>
      </c>
      <c r="N50" s="71" t="s">
        <v>901</v>
      </c>
    </row>
    <row r="51" spans="1:14" ht="28.8" x14ac:dyDescent="0.3">
      <c r="A51" s="71" t="s">
        <v>595</v>
      </c>
      <c r="B51" s="71" t="s">
        <v>596</v>
      </c>
      <c r="C51" s="71" t="s">
        <v>395</v>
      </c>
      <c r="D51" s="95">
        <v>24</v>
      </c>
      <c r="E51" s="71"/>
      <c r="F51" s="95">
        <v>1</v>
      </c>
      <c r="G51" s="95">
        <v>12</v>
      </c>
      <c r="H51" s="96">
        <v>28566.94</v>
      </c>
      <c r="I51" s="96"/>
      <c r="J51" s="96"/>
      <c r="K51" s="96"/>
      <c r="L51" s="96"/>
      <c r="M51" s="71" t="s">
        <v>900</v>
      </c>
      <c r="N51" s="71" t="s">
        <v>901</v>
      </c>
    </row>
    <row r="52" spans="1:14" ht="28.8" x14ac:dyDescent="0.3">
      <c r="A52" s="71" t="s">
        <v>597</v>
      </c>
      <c r="B52" s="71" t="s">
        <v>598</v>
      </c>
      <c r="C52" s="71" t="s">
        <v>395</v>
      </c>
      <c r="D52" s="95">
        <v>24</v>
      </c>
      <c r="E52" s="71"/>
      <c r="F52" s="95">
        <v>1</v>
      </c>
      <c r="G52" s="95">
        <v>12</v>
      </c>
      <c r="H52" s="96">
        <v>28566.94</v>
      </c>
      <c r="I52" s="96"/>
      <c r="J52" s="96"/>
      <c r="K52" s="96"/>
      <c r="L52" s="96"/>
      <c r="M52" s="71" t="s">
        <v>900</v>
      </c>
      <c r="N52" s="71" t="s">
        <v>901</v>
      </c>
    </row>
    <row r="53" spans="1:14" ht="28.8" x14ac:dyDescent="0.3">
      <c r="A53" s="71" t="s">
        <v>599</v>
      </c>
      <c r="B53" s="71" t="s">
        <v>600</v>
      </c>
      <c r="C53" s="71" t="s">
        <v>395</v>
      </c>
      <c r="D53" s="95">
        <v>24</v>
      </c>
      <c r="E53" s="71"/>
      <c r="F53" s="95">
        <v>1</v>
      </c>
      <c r="G53" s="95">
        <v>12</v>
      </c>
      <c r="H53" s="96">
        <v>28566.94</v>
      </c>
      <c r="I53" s="96"/>
      <c r="J53" s="96"/>
      <c r="K53" s="96"/>
      <c r="L53" s="96"/>
      <c r="M53" s="71" t="s">
        <v>900</v>
      </c>
      <c r="N53" s="71" t="s">
        <v>901</v>
      </c>
    </row>
    <row r="54" spans="1:14" ht="28.8" x14ac:dyDescent="0.3">
      <c r="A54" s="71" t="s">
        <v>601</v>
      </c>
      <c r="B54" s="71" t="s">
        <v>602</v>
      </c>
      <c r="C54" s="71" t="s">
        <v>395</v>
      </c>
      <c r="D54" s="95">
        <v>24</v>
      </c>
      <c r="E54" s="71"/>
      <c r="F54" s="95">
        <v>1</v>
      </c>
      <c r="G54" s="95">
        <v>12</v>
      </c>
      <c r="H54" s="96">
        <v>28566.94</v>
      </c>
      <c r="I54" s="96"/>
      <c r="J54" s="96"/>
      <c r="K54" s="96"/>
      <c r="L54" s="96"/>
      <c r="M54" s="71" t="s">
        <v>900</v>
      </c>
      <c r="N54" s="71" t="s">
        <v>901</v>
      </c>
    </row>
    <row r="55" spans="1:14" ht="28.8" x14ac:dyDescent="0.3">
      <c r="A55" s="71" t="s">
        <v>603</v>
      </c>
      <c r="B55" s="71" t="s">
        <v>604</v>
      </c>
      <c r="C55" s="71" t="s">
        <v>395</v>
      </c>
      <c r="D55" s="95">
        <v>24</v>
      </c>
      <c r="E55" s="71"/>
      <c r="F55" s="95">
        <v>1</v>
      </c>
      <c r="G55" s="95">
        <v>12</v>
      </c>
      <c r="H55" s="96">
        <v>28566.94</v>
      </c>
      <c r="I55" s="96"/>
      <c r="J55" s="96"/>
      <c r="K55" s="96"/>
      <c r="L55" s="96"/>
      <c r="M55" s="71" t="s">
        <v>900</v>
      </c>
      <c r="N55" s="71" t="s">
        <v>901</v>
      </c>
    </row>
    <row r="56" spans="1:14" ht="28.8" x14ac:dyDescent="0.3">
      <c r="A56" s="71" t="s">
        <v>605</v>
      </c>
      <c r="B56" s="71" t="s">
        <v>606</v>
      </c>
      <c r="C56" s="71" t="s">
        <v>395</v>
      </c>
      <c r="D56" s="95">
        <v>24</v>
      </c>
      <c r="E56" s="71"/>
      <c r="F56" s="95">
        <v>1</v>
      </c>
      <c r="G56" s="95">
        <v>12</v>
      </c>
      <c r="H56" s="96">
        <v>28566.94</v>
      </c>
      <c r="I56" s="96"/>
      <c r="J56" s="96"/>
      <c r="K56" s="96"/>
      <c r="L56" s="96"/>
      <c r="M56" s="71" t="s">
        <v>900</v>
      </c>
      <c r="N56" s="71" t="s">
        <v>901</v>
      </c>
    </row>
    <row r="57" spans="1:14" ht="28.8" x14ac:dyDescent="0.3">
      <c r="A57" s="71" t="s">
        <v>607</v>
      </c>
      <c r="B57" s="71" t="s">
        <v>608</v>
      </c>
      <c r="C57" s="71" t="s">
        <v>395</v>
      </c>
      <c r="D57" s="95">
        <v>24</v>
      </c>
      <c r="E57" s="71"/>
      <c r="F57" s="95">
        <v>1</v>
      </c>
      <c r="G57" s="95">
        <v>12</v>
      </c>
      <c r="H57" s="96">
        <v>28566.94</v>
      </c>
      <c r="I57" s="96"/>
      <c r="J57" s="96"/>
      <c r="K57" s="96"/>
      <c r="L57" s="96"/>
      <c r="M57" s="71" t="s">
        <v>900</v>
      </c>
      <c r="N57" s="71" t="s">
        <v>901</v>
      </c>
    </row>
    <row r="58" spans="1:14" ht="28.8" x14ac:dyDescent="0.3">
      <c r="A58" s="71" t="s">
        <v>609</v>
      </c>
      <c r="B58" s="71" t="s">
        <v>610</v>
      </c>
      <c r="C58" s="71" t="s">
        <v>395</v>
      </c>
      <c r="D58" s="95">
        <v>24</v>
      </c>
      <c r="E58" s="71"/>
      <c r="F58" s="95">
        <v>1</v>
      </c>
      <c r="G58" s="95">
        <v>12</v>
      </c>
      <c r="H58" s="96">
        <v>28566.94</v>
      </c>
      <c r="I58" s="96"/>
      <c r="J58" s="96"/>
      <c r="K58" s="96"/>
      <c r="L58" s="96"/>
      <c r="M58" s="71" t="s">
        <v>900</v>
      </c>
      <c r="N58" s="71" t="s">
        <v>901</v>
      </c>
    </row>
    <row r="59" spans="1:14" ht="28.8" x14ac:dyDescent="0.3">
      <c r="A59" s="71" t="s">
        <v>611</v>
      </c>
      <c r="B59" s="71" t="s">
        <v>612</v>
      </c>
      <c r="C59" s="71" t="s">
        <v>395</v>
      </c>
      <c r="D59" s="95">
        <v>24</v>
      </c>
      <c r="E59" s="71"/>
      <c r="F59" s="95">
        <v>1</v>
      </c>
      <c r="G59" s="95">
        <v>12</v>
      </c>
      <c r="H59" s="96">
        <v>28566.94</v>
      </c>
      <c r="I59" s="96"/>
      <c r="J59" s="96"/>
      <c r="K59" s="96"/>
      <c r="L59" s="96"/>
      <c r="M59" s="71" t="s">
        <v>900</v>
      </c>
      <c r="N59" s="71" t="s">
        <v>901</v>
      </c>
    </row>
    <row r="60" spans="1:14" ht="28.8" x14ac:dyDescent="0.3">
      <c r="A60" s="71" t="s">
        <v>613</v>
      </c>
      <c r="B60" s="71" t="s">
        <v>614</v>
      </c>
      <c r="C60" s="71" t="s">
        <v>395</v>
      </c>
      <c r="D60" s="95">
        <v>24</v>
      </c>
      <c r="E60" s="71"/>
      <c r="F60" s="95">
        <v>1</v>
      </c>
      <c r="G60" s="95">
        <v>12</v>
      </c>
      <c r="H60" s="96">
        <v>28566.94</v>
      </c>
      <c r="I60" s="96"/>
      <c r="J60" s="96"/>
      <c r="K60" s="96"/>
      <c r="L60" s="96"/>
      <c r="M60" s="71" t="s">
        <v>900</v>
      </c>
      <c r="N60" s="71" t="s">
        <v>901</v>
      </c>
    </row>
    <row r="61" spans="1:14" ht="28.8" x14ac:dyDescent="0.3">
      <c r="A61" s="71" t="s">
        <v>615</v>
      </c>
      <c r="B61" s="71" t="s">
        <v>616</v>
      </c>
      <c r="C61" s="71" t="s">
        <v>395</v>
      </c>
      <c r="D61" s="95">
        <v>24</v>
      </c>
      <c r="E61" s="71"/>
      <c r="F61" s="95">
        <v>1</v>
      </c>
      <c r="G61" s="95">
        <v>12</v>
      </c>
      <c r="H61" s="96">
        <v>28566.94</v>
      </c>
      <c r="I61" s="96"/>
      <c r="J61" s="96"/>
      <c r="K61" s="96"/>
      <c r="L61" s="96"/>
      <c r="M61" s="71" t="s">
        <v>900</v>
      </c>
      <c r="N61" s="71" t="s">
        <v>901</v>
      </c>
    </row>
    <row r="62" spans="1:14" ht="28.8" x14ac:dyDescent="0.3">
      <c r="A62" s="71" t="s">
        <v>617</v>
      </c>
      <c r="B62" s="71" t="s">
        <v>618</v>
      </c>
      <c r="C62" s="71" t="s">
        <v>395</v>
      </c>
      <c r="D62" s="95">
        <v>24</v>
      </c>
      <c r="E62" s="71"/>
      <c r="F62" s="95">
        <v>1</v>
      </c>
      <c r="G62" s="95">
        <v>12</v>
      </c>
      <c r="H62" s="96">
        <v>28566.94</v>
      </c>
      <c r="I62" s="96"/>
      <c r="J62" s="96"/>
      <c r="K62" s="96"/>
      <c r="L62" s="96"/>
      <c r="M62" s="71" t="s">
        <v>900</v>
      </c>
      <c r="N62" s="71" t="s">
        <v>901</v>
      </c>
    </row>
    <row r="63" spans="1:14" ht="28.8" x14ac:dyDescent="0.3">
      <c r="A63" s="71" t="s">
        <v>619</v>
      </c>
      <c r="B63" s="71" t="s">
        <v>620</v>
      </c>
      <c r="C63" s="71" t="s">
        <v>395</v>
      </c>
      <c r="D63" s="95">
        <v>24</v>
      </c>
      <c r="E63" s="71"/>
      <c r="F63" s="95">
        <v>1</v>
      </c>
      <c r="G63" s="95">
        <v>12</v>
      </c>
      <c r="H63" s="96">
        <v>28566.94</v>
      </c>
      <c r="I63" s="96"/>
      <c r="J63" s="96"/>
      <c r="K63" s="96"/>
      <c r="L63" s="96"/>
      <c r="M63" s="71" t="s">
        <v>900</v>
      </c>
      <c r="N63" s="71" t="s">
        <v>901</v>
      </c>
    </row>
    <row r="64" spans="1:14" ht="28.8" x14ac:dyDescent="0.3">
      <c r="A64" s="71" t="s">
        <v>621</v>
      </c>
      <c r="B64" s="71" t="s">
        <v>622</v>
      </c>
      <c r="C64" s="71" t="s">
        <v>395</v>
      </c>
      <c r="D64" s="95">
        <v>24</v>
      </c>
      <c r="E64" s="71"/>
      <c r="F64" s="95">
        <v>1</v>
      </c>
      <c r="G64" s="95">
        <v>12</v>
      </c>
      <c r="H64" s="96">
        <v>28566.94</v>
      </c>
      <c r="I64" s="96"/>
      <c r="J64" s="96"/>
      <c r="K64" s="96"/>
      <c r="L64" s="96"/>
      <c r="M64" s="71" t="s">
        <v>900</v>
      </c>
      <c r="N64" s="71" t="s">
        <v>901</v>
      </c>
    </row>
    <row r="65" spans="1:14" ht="28.8" x14ac:dyDescent="0.3">
      <c r="A65" s="71" t="s">
        <v>623</v>
      </c>
      <c r="B65" s="71" t="s">
        <v>624</v>
      </c>
      <c r="C65" s="71" t="s">
        <v>395</v>
      </c>
      <c r="D65" s="95">
        <v>24</v>
      </c>
      <c r="E65" s="71"/>
      <c r="F65" s="95">
        <v>1</v>
      </c>
      <c r="G65" s="95">
        <v>12</v>
      </c>
      <c r="H65" s="96">
        <v>28566.94</v>
      </c>
      <c r="I65" s="96"/>
      <c r="J65" s="96"/>
      <c r="K65" s="96"/>
      <c r="L65" s="96"/>
      <c r="M65" s="71" t="s">
        <v>900</v>
      </c>
      <c r="N65" s="71" t="s">
        <v>901</v>
      </c>
    </row>
    <row r="66" spans="1:14" ht="28.8" x14ac:dyDescent="0.3">
      <c r="A66" s="71" t="s">
        <v>625</v>
      </c>
      <c r="B66" s="71" t="s">
        <v>626</v>
      </c>
      <c r="C66" s="71" t="s">
        <v>395</v>
      </c>
      <c r="D66" s="95">
        <v>24</v>
      </c>
      <c r="E66" s="71"/>
      <c r="F66" s="95">
        <v>1</v>
      </c>
      <c r="G66" s="95">
        <v>12</v>
      </c>
      <c r="H66" s="96">
        <v>28566.94</v>
      </c>
      <c r="I66" s="96"/>
      <c r="J66" s="96"/>
      <c r="K66" s="96"/>
      <c r="L66" s="96"/>
      <c r="M66" s="71" t="s">
        <v>900</v>
      </c>
      <c r="N66" s="71" t="s">
        <v>901</v>
      </c>
    </row>
    <row r="67" spans="1:14" ht="28.8" x14ac:dyDescent="0.3">
      <c r="A67" s="71" t="s">
        <v>627</v>
      </c>
      <c r="B67" s="71" t="s">
        <v>628</v>
      </c>
      <c r="C67" s="71" t="s">
        <v>395</v>
      </c>
      <c r="D67" s="95">
        <v>22</v>
      </c>
      <c r="E67" s="71"/>
      <c r="F67" s="95">
        <v>1</v>
      </c>
      <c r="G67" s="95">
        <v>12</v>
      </c>
      <c r="H67" s="96">
        <v>27287.200000000001</v>
      </c>
      <c r="I67" s="96"/>
      <c r="J67" s="96"/>
      <c r="K67" s="96"/>
      <c r="L67" s="96"/>
      <c r="M67" s="71" t="s">
        <v>900</v>
      </c>
      <c r="N67" s="71" t="s">
        <v>901</v>
      </c>
    </row>
    <row r="68" spans="1:14" ht="28.8" x14ac:dyDescent="0.3">
      <c r="A68" s="71" t="s">
        <v>629</v>
      </c>
      <c r="B68" s="71" t="s">
        <v>630</v>
      </c>
      <c r="C68" s="71" t="s">
        <v>395</v>
      </c>
      <c r="D68" s="95">
        <v>21</v>
      </c>
      <c r="E68" s="71"/>
      <c r="F68" s="95">
        <v>1</v>
      </c>
      <c r="G68" s="95">
        <v>12</v>
      </c>
      <c r="H68" s="96">
        <v>26648.52</v>
      </c>
      <c r="I68" s="96"/>
      <c r="J68" s="96"/>
      <c r="K68" s="96"/>
      <c r="L68" s="96"/>
      <c r="M68" s="71" t="s">
        <v>900</v>
      </c>
      <c r="N68" s="71" t="s">
        <v>901</v>
      </c>
    </row>
    <row r="69" spans="1:14" ht="28.8" x14ac:dyDescent="0.3">
      <c r="A69" s="71" t="s">
        <v>631</v>
      </c>
      <c r="B69" s="71" t="s">
        <v>632</v>
      </c>
      <c r="C69" s="71" t="s">
        <v>393</v>
      </c>
      <c r="D69" s="95">
        <v>26</v>
      </c>
      <c r="E69" s="71"/>
      <c r="F69" s="95">
        <v>1</v>
      </c>
      <c r="G69" s="95">
        <v>12</v>
      </c>
      <c r="H69" s="96">
        <v>12227.32</v>
      </c>
      <c r="I69" s="96"/>
      <c r="J69" s="96"/>
      <c r="K69" s="96"/>
      <c r="L69" s="96"/>
      <c r="M69" s="71" t="s">
        <v>900</v>
      </c>
      <c r="N69" s="71" t="s">
        <v>901</v>
      </c>
    </row>
    <row r="70" spans="1:14" ht="28.8" x14ac:dyDescent="0.3">
      <c r="A70" s="71" t="s">
        <v>634</v>
      </c>
      <c r="B70" s="71" t="s">
        <v>635</v>
      </c>
      <c r="C70" s="71" t="s">
        <v>395</v>
      </c>
      <c r="D70" s="95">
        <v>26</v>
      </c>
      <c r="E70" s="71"/>
      <c r="F70" s="95">
        <v>1</v>
      </c>
      <c r="G70" s="95">
        <v>12</v>
      </c>
      <c r="H70" s="96">
        <v>30586.3</v>
      </c>
      <c r="I70" s="96"/>
      <c r="J70" s="96"/>
      <c r="K70" s="96"/>
      <c r="L70" s="96"/>
      <c r="M70" s="71" t="s">
        <v>900</v>
      </c>
      <c r="N70" s="71" t="s">
        <v>901</v>
      </c>
    </row>
    <row r="71" spans="1:14" ht="28.8" x14ac:dyDescent="0.3">
      <c r="A71" s="71" t="s">
        <v>637</v>
      </c>
      <c r="B71" s="71" t="s">
        <v>638</v>
      </c>
      <c r="C71" s="71" t="s">
        <v>393</v>
      </c>
      <c r="D71" s="95">
        <v>26</v>
      </c>
      <c r="E71" s="71"/>
      <c r="F71" s="95">
        <v>1</v>
      </c>
      <c r="G71" s="95">
        <v>12</v>
      </c>
      <c r="H71" s="96">
        <v>12227.32</v>
      </c>
      <c r="I71" s="96"/>
      <c r="J71" s="96"/>
      <c r="K71" s="96"/>
      <c r="L71" s="96"/>
      <c r="M71" s="71" t="s">
        <v>900</v>
      </c>
      <c r="N71" s="71" t="s">
        <v>901</v>
      </c>
    </row>
    <row r="72" spans="1:14" ht="28.8" x14ac:dyDescent="0.3">
      <c r="A72" s="71" t="s">
        <v>639</v>
      </c>
      <c r="B72" s="71" t="s">
        <v>640</v>
      </c>
      <c r="C72" s="71" t="s">
        <v>395</v>
      </c>
      <c r="D72" s="95">
        <v>26</v>
      </c>
      <c r="E72" s="71"/>
      <c r="F72" s="95">
        <v>1</v>
      </c>
      <c r="G72" s="95">
        <v>12</v>
      </c>
      <c r="H72" s="96">
        <v>30586.3</v>
      </c>
      <c r="I72" s="96"/>
      <c r="J72" s="96"/>
      <c r="K72" s="96"/>
      <c r="L72" s="96"/>
      <c r="M72" s="71" t="s">
        <v>900</v>
      </c>
      <c r="N72" s="71" t="s">
        <v>901</v>
      </c>
    </row>
    <row r="73" spans="1:14" ht="28.8" x14ac:dyDescent="0.3">
      <c r="A73" s="71" t="s">
        <v>641</v>
      </c>
      <c r="B73" s="71" t="s">
        <v>642</v>
      </c>
      <c r="C73" s="71" t="s">
        <v>397</v>
      </c>
      <c r="D73" s="95">
        <v>21</v>
      </c>
      <c r="E73" s="71"/>
      <c r="F73" s="95">
        <v>1</v>
      </c>
      <c r="G73" s="95">
        <v>12</v>
      </c>
      <c r="H73" s="96">
        <v>22684.66</v>
      </c>
      <c r="I73" s="96"/>
      <c r="J73" s="96"/>
      <c r="K73" s="96"/>
      <c r="L73" s="96"/>
      <c r="M73" s="71" t="s">
        <v>900</v>
      </c>
      <c r="N73" s="71" t="s">
        <v>901</v>
      </c>
    </row>
    <row r="74" spans="1:14" ht="28.8" x14ac:dyDescent="0.3">
      <c r="A74" s="71" t="s">
        <v>644</v>
      </c>
      <c r="B74" s="71" t="s">
        <v>645</v>
      </c>
      <c r="C74" s="71" t="s">
        <v>397</v>
      </c>
      <c r="D74" s="95">
        <v>21</v>
      </c>
      <c r="E74" s="71"/>
      <c r="F74" s="95">
        <v>1</v>
      </c>
      <c r="G74" s="95">
        <v>12</v>
      </c>
      <c r="H74" s="96">
        <v>22684.66</v>
      </c>
      <c r="I74" s="96"/>
      <c r="J74" s="96"/>
      <c r="K74" s="96"/>
      <c r="L74" s="96"/>
      <c r="M74" s="71" t="s">
        <v>900</v>
      </c>
      <c r="N74" s="71" t="s">
        <v>901</v>
      </c>
    </row>
    <row r="75" spans="1:14" ht="28.8" x14ac:dyDescent="0.3">
      <c r="A75" s="71" t="s">
        <v>647</v>
      </c>
      <c r="B75" s="71" t="s">
        <v>648</v>
      </c>
      <c r="C75" s="71" t="s">
        <v>397</v>
      </c>
      <c r="D75" s="95">
        <v>21</v>
      </c>
      <c r="E75" s="71"/>
      <c r="F75" s="95">
        <v>1</v>
      </c>
      <c r="G75" s="95">
        <v>12</v>
      </c>
      <c r="H75" s="96">
        <v>22684.66</v>
      </c>
      <c r="I75" s="96"/>
      <c r="J75" s="96"/>
      <c r="K75" s="96"/>
      <c r="L75" s="96"/>
      <c r="M75" s="71" t="s">
        <v>900</v>
      </c>
      <c r="N75" s="71" t="s">
        <v>901</v>
      </c>
    </row>
    <row r="76" spans="1:14" ht="28.8" x14ac:dyDescent="0.3">
      <c r="A76" s="71" t="s">
        <v>649</v>
      </c>
      <c r="B76" s="71" t="s">
        <v>650</v>
      </c>
      <c r="C76" s="71" t="s">
        <v>397</v>
      </c>
      <c r="D76" s="95">
        <v>21</v>
      </c>
      <c r="E76" s="71"/>
      <c r="F76" s="95">
        <v>1</v>
      </c>
      <c r="G76" s="95">
        <v>12</v>
      </c>
      <c r="H76" s="96">
        <v>22684.66</v>
      </c>
      <c r="I76" s="96"/>
      <c r="J76" s="96"/>
      <c r="K76" s="96"/>
      <c r="L76" s="96"/>
      <c r="M76" s="71" t="s">
        <v>900</v>
      </c>
      <c r="N76" s="71" t="s">
        <v>901</v>
      </c>
    </row>
    <row r="77" spans="1:14" ht="28.8" x14ac:dyDescent="0.3">
      <c r="A77" s="71" t="s">
        <v>651</v>
      </c>
      <c r="B77" s="71" t="s">
        <v>652</v>
      </c>
      <c r="C77" s="71" t="s">
        <v>397</v>
      </c>
      <c r="D77" s="95">
        <v>21</v>
      </c>
      <c r="E77" s="71"/>
      <c r="F77" s="95">
        <v>1</v>
      </c>
      <c r="G77" s="95">
        <v>12</v>
      </c>
      <c r="H77" s="96">
        <v>22684.66</v>
      </c>
      <c r="I77" s="96"/>
      <c r="J77" s="96"/>
      <c r="K77" s="96"/>
      <c r="L77" s="96"/>
      <c r="M77" s="71" t="s">
        <v>900</v>
      </c>
      <c r="N77" s="71" t="s">
        <v>901</v>
      </c>
    </row>
    <row r="78" spans="1:14" ht="28.8" x14ac:dyDescent="0.3">
      <c r="A78" s="71" t="s">
        <v>653</v>
      </c>
      <c r="B78" s="71" t="s">
        <v>654</v>
      </c>
      <c r="C78" s="71" t="s">
        <v>397</v>
      </c>
      <c r="D78" s="95">
        <v>21</v>
      </c>
      <c r="E78" s="71"/>
      <c r="F78" s="95">
        <v>1</v>
      </c>
      <c r="G78" s="95">
        <v>12</v>
      </c>
      <c r="H78" s="96">
        <v>22684.66</v>
      </c>
      <c r="I78" s="96"/>
      <c r="J78" s="96"/>
      <c r="K78" s="96"/>
      <c r="L78" s="96"/>
      <c r="M78" s="71" t="s">
        <v>900</v>
      </c>
      <c r="N78" s="71" t="s">
        <v>901</v>
      </c>
    </row>
    <row r="79" spans="1:14" ht="28.8" x14ac:dyDescent="0.3">
      <c r="A79" s="71" t="s">
        <v>655</v>
      </c>
      <c r="B79" s="71" t="s">
        <v>656</v>
      </c>
      <c r="C79" s="71" t="s">
        <v>397</v>
      </c>
      <c r="D79" s="95">
        <v>21</v>
      </c>
      <c r="E79" s="71"/>
      <c r="F79" s="95">
        <v>1</v>
      </c>
      <c r="G79" s="95">
        <v>12</v>
      </c>
      <c r="H79" s="96">
        <v>22684.66</v>
      </c>
      <c r="I79" s="96"/>
      <c r="J79" s="96"/>
      <c r="K79" s="96"/>
      <c r="L79" s="96"/>
      <c r="M79" s="71" t="s">
        <v>900</v>
      </c>
      <c r="N79" s="71" t="s">
        <v>901</v>
      </c>
    </row>
    <row r="80" spans="1:14" ht="28.8" x14ac:dyDescent="0.3">
      <c r="A80" s="71" t="s">
        <v>657</v>
      </c>
      <c r="B80" s="71" t="s">
        <v>658</v>
      </c>
      <c r="C80" s="71" t="s">
        <v>397</v>
      </c>
      <c r="D80" s="95">
        <v>21</v>
      </c>
      <c r="E80" s="71"/>
      <c r="F80" s="95">
        <v>1</v>
      </c>
      <c r="G80" s="95">
        <v>12</v>
      </c>
      <c r="H80" s="96">
        <v>22684.66</v>
      </c>
      <c r="I80" s="96"/>
      <c r="J80" s="96"/>
      <c r="K80" s="96"/>
      <c r="L80" s="96"/>
      <c r="M80" s="71" t="s">
        <v>900</v>
      </c>
      <c r="N80" s="71" t="s">
        <v>901</v>
      </c>
    </row>
    <row r="81" spans="1:14" ht="28.8" x14ac:dyDescent="0.3">
      <c r="A81" s="71" t="s">
        <v>659</v>
      </c>
      <c r="B81" s="71" t="s">
        <v>660</v>
      </c>
      <c r="C81" s="71" t="s">
        <v>397</v>
      </c>
      <c r="D81" s="95">
        <v>21</v>
      </c>
      <c r="E81" s="71"/>
      <c r="F81" s="95">
        <v>1</v>
      </c>
      <c r="G81" s="95">
        <v>12</v>
      </c>
      <c r="H81" s="96">
        <v>22684.66</v>
      </c>
      <c r="I81" s="96"/>
      <c r="J81" s="96"/>
      <c r="K81" s="96"/>
      <c r="L81" s="96"/>
      <c r="M81" s="71" t="s">
        <v>900</v>
      </c>
      <c r="N81" s="71" t="s">
        <v>901</v>
      </c>
    </row>
    <row r="82" spans="1:14" ht="28.8" x14ac:dyDescent="0.3">
      <c r="A82" s="71" t="s">
        <v>661</v>
      </c>
      <c r="B82" s="71" t="s">
        <v>662</v>
      </c>
      <c r="C82" s="71" t="s">
        <v>397</v>
      </c>
      <c r="D82" s="95">
        <v>21</v>
      </c>
      <c r="E82" s="71"/>
      <c r="F82" s="95">
        <v>1</v>
      </c>
      <c r="G82" s="95">
        <v>12</v>
      </c>
      <c r="H82" s="96">
        <v>22684.66</v>
      </c>
      <c r="I82" s="96"/>
      <c r="J82" s="96"/>
      <c r="K82" s="96"/>
      <c r="L82" s="96"/>
      <c r="M82" s="71" t="s">
        <v>900</v>
      </c>
      <c r="N82" s="71" t="s">
        <v>901</v>
      </c>
    </row>
    <row r="83" spans="1:14" ht="28.8" x14ac:dyDescent="0.3">
      <c r="A83" s="71" t="s">
        <v>663</v>
      </c>
      <c r="B83" s="71" t="s">
        <v>664</v>
      </c>
      <c r="C83" s="71" t="s">
        <v>397</v>
      </c>
      <c r="D83" s="95">
        <v>21</v>
      </c>
      <c r="E83" s="71"/>
      <c r="F83" s="95">
        <v>1</v>
      </c>
      <c r="G83" s="95">
        <v>12</v>
      </c>
      <c r="H83" s="96">
        <v>22684.66</v>
      </c>
      <c r="I83" s="96"/>
      <c r="J83" s="96"/>
      <c r="K83" s="96"/>
      <c r="L83" s="96"/>
      <c r="M83" s="71" t="s">
        <v>900</v>
      </c>
      <c r="N83" s="71" t="s">
        <v>901</v>
      </c>
    </row>
    <row r="84" spans="1:14" ht="28.8" x14ac:dyDescent="0.3">
      <c r="A84" s="71" t="s">
        <v>665</v>
      </c>
      <c r="B84" s="71" t="s">
        <v>666</v>
      </c>
      <c r="C84" s="71" t="s">
        <v>397</v>
      </c>
      <c r="D84" s="95">
        <v>21</v>
      </c>
      <c r="E84" s="71"/>
      <c r="F84" s="95">
        <v>1</v>
      </c>
      <c r="G84" s="95">
        <v>12</v>
      </c>
      <c r="H84" s="96">
        <v>22684.66</v>
      </c>
      <c r="I84" s="96"/>
      <c r="J84" s="96"/>
      <c r="K84" s="96"/>
      <c r="L84" s="96"/>
      <c r="M84" s="71" t="s">
        <v>900</v>
      </c>
      <c r="N84" s="71" t="s">
        <v>901</v>
      </c>
    </row>
    <row r="85" spans="1:14" ht="28.8" x14ac:dyDescent="0.3">
      <c r="A85" s="71" t="s">
        <v>667</v>
      </c>
      <c r="B85" s="71" t="s">
        <v>668</v>
      </c>
      <c r="C85" s="71" t="s">
        <v>397</v>
      </c>
      <c r="D85" s="95">
        <v>21</v>
      </c>
      <c r="E85" s="71"/>
      <c r="F85" s="95">
        <v>1</v>
      </c>
      <c r="G85" s="95">
        <v>12</v>
      </c>
      <c r="H85" s="96">
        <v>22684.66</v>
      </c>
      <c r="I85" s="96"/>
      <c r="J85" s="96"/>
      <c r="K85" s="96"/>
      <c r="L85" s="96"/>
      <c r="M85" s="71" t="s">
        <v>900</v>
      </c>
      <c r="N85" s="71" t="s">
        <v>901</v>
      </c>
    </row>
    <row r="86" spans="1:14" ht="28.8" x14ac:dyDescent="0.3">
      <c r="A86" s="71" t="s">
        <v>670</v>
      </c>
      <c r="B86" s="71" t="s">
        <v>671</v>
      </c>
      <c r="C86" s="71" t="s">
        <v>397</v>
      </c>
      <c r="D86" s="95">
        <v>21</v>
      </c>
      <c r="E86" s="71"/>
      <c r="F86" s="95">
        <v>1</v>
      </c>
      <c r="G86" s="95">
        <v>12</v>
      </c>
      <c r="H86" s="96">
        <v>22684.66</v>
      </c>
      <c r="I86" s="96"/>
      <c r="J86" s="96"/>
      <c r="K86" s="96"/>
      <c r="L86" s="96"/>
      <c r="M86" s="71" t="s">
        <v>900</v>
      </c>
      <c r="N86" s="71" t="s">
        <v>901</v>
      </c>
    </row>
    <row r="87" spans="1:14" ht="28.8" x14ac:dyDescent="0.3">
      <c r="A87" s="71" t="s">
        <v>672</v>
      </c>
      <c r="B87" s="71" t="s">
        <v>673</v>
      </c>
      <c r="C87" s="71" t="s">
        <v>397</v>
      </c>
      <c r="D87" s="95">
        <v>21</v>
      </c>
      <c r="E87" s="71"/>
      <c r="F87" s="95">
        <v>1</v>
      </c>
      <c r="G87" s="95">
        <v>12</v>
      </c>
      <c r="H87" s="96">
        <v>22684.66</v>
      </c>
      <c r="I87" s="96"/>
      <c r="J87" s="96"/>
      <c r="K87" s="96"/>
      <c r="L87" s="96"/>
      <c r="M87" s="71" t="s">
        <v>900</v>
      </c>
      <c r="N87" s="71" t="s">
        <v>901</v>
      </c>
    </row>
    <row r="88" spans="1:14" ht="28.8" x14ac:dyDescent="0.3">
      <c r="A88" s="71" t="s">
        <v>674</v>
      </c>
      <c r="B88" s="71" t="s">
        <v>675</v>
      </c>
      <c r="C88" s="71" t="s">
        <v>397</v>
      </c>
      <c r="D88" s="95">
        <v>21</v>
      </c>
      <c r="E88" s="71"/>
      <c r="F88" s="95">
        <v>1</v>
      </c>
      <c r="G88" s="95">
        <v>12</v>
      </c>
      <c r="H88" s="96">
        <v>22684.66</v>
      </c>
      <c r="I88" s="96"/>
      <c r="J88" s="96"/>
      <c r="K88" s="96"/>
      <c r="L88" s="96"/>
      <c r="M88" s="71" t="s">
        <v>900</v>
      </c>
      <c r="N88" s="71" t="s">
        <v>901</v>
      </c>
    </row>
    <row r="89" spans="1:14" ht="28.8" x14ac:dyDescent="0.3">
      <c r="A89" s="71" t="s">
        <v>676</v>
      </c>
      <c r="B89" s="71" t="s">
        <v>677</v>
      </c>
      <c r="C89" s="71" t="s">
        <v>397</v>
      </c>
      <c r="D89" s="95">
        <v>21</v>
      </c>
      <c r="E89" s="71"/>
      <c r="F89" s="95">
        <v>1</v>
      </c>
      <c r="G89" s="95">
        <v>12</v>
      </c>
      <c r="H89" s="96">
        <v>22684.66</v>
      </c>
      <c r="I89" s="96"/>
      <c r="J89" s="96"/>
      <c r="K89" s="96"/>
      <c r="L89" s="96"/>
      <c r="M89" s="71" t="s">
        <v>900</v>
      </c>
      <c r="N89" s="71" t="s">
        <v>901</v>
      </c>
    </row>
    <row r="90" spans="1:14" ht="28.8" x14ac:dyDescent="0.3">
      <c r="A90" s="71" t="s">
        <v>678</v>
      </c>
      <c r="B90" s="71" t="s">
        <v>679</v>
      </c>
      <c r="C90" s="71" t="s">
        <v>397</v>
      </c>
      <c r="D90" s="95">
        <v>20</v>
      </c>
      <c r="E90" s="71"/>
      <c r="F90" s="95">
        <v>1</v>
      </c>
      <c r="G90" s="95">
        <v>12</v>
      </c>
      <c r="H90" s="96">
        <v>22095.26</v>
      </c>
      <c r="I90" s="96"/>
      <c r="J90" s="96"/>
      <c r="K90" s="96"/>
      <c r="L90" s="96"/>
      <c r="M90" s="71" t="s">
        <v>900</v>
      </c>
      <c r="N90" s="71" t="s">
        <v>901</v>
      </c>
    </row>
    <row r="91" spans="1:14" ht="28.8" x14ac:dyDescent="0.3">
      <c r="A91" s="71" t="s">
        <v>680</v>
      </c>
      <c r="B91" s="71" t="s">
        <v>681</v>
      </c>
      <c r="C91" s="71" t="s">
        <v>397</v>
      </c>
      <c r="D91" s="95">
        <v>20</v>
      </c>
      <c r="E91" s="71"/>
      <c r="F91" s="95">
        <v>1</v>
      </c>
      <c r="G91" s="95">
        <v>12</v>
      </c>
      <c r="H91" s="96">
        <v>22095.26</v>
      </c>
      <c r="I91" s="96"/>
      <c r="J91" s="96"/>
      <c r="K91" s="96"/>
      <c r="L91" s="96"/>
      <c r="M91" s="71" t="s">
        <v>900</v>
      </c>
      <c r="N91" s="71" t="s">
        <v>901</v>
      </c>
    </row>
    <row r="92" spans="1:14" ht="28.8" x14ac:dyDescent="0.3">
      <c r="A92" s="71" t="s">
        <v>682</v>
      </c>
      <c r="B92" s="71" t="s">
        <v>683</v>
      </c>
      <c r="C92" s="71" t="s">
        <v>397</v>
      </c>
      <c r="D92" s="95">
        <v>20</v>
      </c>
      <c r="E92" s="71"/>
      <c r="F92" s="95">
        <v>1</v>
      </c>
      <c r="G92" s="95">
        <v>12</v>
      </c>
      <c r="H92" s="96">
        <v>22095.26</v>
      </c>
      <c r="I92" s="96"/>
      <c r="J92" s="96"/>
      <c r="K92" s="96"/>
      <c r="L92" s="96"/>
      <c r="M92" s="71" t="s">
        <v>900</v>
      </c>
      <c r="N92" s="71" t="s">
        <v>901</v>
      </c>
    </row>
    <row r="93" spans="1:14" ht="28.8" x14ac:dyDescent="0.3">
      <c r="A93" s="71" t="s">
        <v>684</v>
      </c>
      <c r="B93" s="71" t="s">
        <v>685</v>
      </c>
      <c r="C93" s="71" t="s">
        <v>397</v>
      </c>
      <c r="D93" s="95">
        <v>20</v>
      </c>
      <c r="E93" s="71"/>
      <c r="F93" s="95">
        <v>1</v>
      </c>
      <c r="G93" s="95">
        <v>12</v>
      </c>
      <c r="H93" s="96">
        <v>22095.26</v>
      </c>
      <c r="I93" s="96"/>
      <c r="J93" s="96"/>
      <c r="K93" s="96"/>
      <c r="L93" s="96"/>
      <c r="M93" s="71" t="s">
        <v>900</v>
      </c>
      <c r="N93" s="71" t="s">
        <v>901</v>
      </c>
    </row>
    <row r="94" spans="1:14" ht="28.8" x14ac:dyDescent="0.3">
      <c r="A94" s="71" t="s">
        <v>686</v>
      </c>
      <c r="B94" s="71" t="s">
        <v>687</v>
      </c>
      <c r="C94" s="71" t="s">
        <v>397</v>
      </c>
      <c r="D94" s="95">
        <v>20</v>
      </c>
      <c r="E94" s="71"/>
      <c r="F94" s="95">
        <v>1</v>
      </c>
      <c r="G94" s="95">
        <v>12</v>
      </c>
      <c r="H94" s="96">
        <v>22095.26</v>
      </c>
      <c r="I94" s="96"/>
      <c r="J94" s="96"/>
      <c r="K94" s="96"/>
      <c r="L94" s="96"/>
      <c r="M94" s="71" t="s">
        <v>900</v>
      </c>
      <c r="N94" s="71" t="s">
        <v>901</v>
      </c>
    </row>
    <row r="95" spans="1:14" ht="28.8" x14ac:dyDescent="0.3">
      <c r="A95" s="71" t="s">
        <v>688</v>
      </c>
      <c r="B95" s="71" t="s">
        <v>689</v>
      </c>
      <c r="C95" s="71" t="s">
        <v>397</v>
      </c>
      <c r="D95" s="95">
        <v>20</v>
      </c>
      <c r="E95" s="71"/>
      <c r="F95" s="95">
        <v>1</v>
      </c>
      <c r="G95" s="95">
        <v>12</v>
      </c>
      <c r="H95" s="96">
        <v>22095.26</v>
      </c>
      <c r="I95" s="96"/>
      <c r="J95" s="96"/>
      <c r="K95" s="96"/>
      <c r="L95" s="96"/>
      <c r="M95" s="71" t="s">
        <v>900</v>
      </c>
      <c r="N95" s="71" t="s">
        <v>901</v>
      </c>
    </row>
    <row r="96" spans="1:14" ht="28.8" x14ac:dyDescent="0.3">
      <c r="A96" s="71" t="s">
        <v>691</v>
      </c>
      <c r="B96" s="71" t="s">
        <v>692</v>
      </c>
      <c r="C96" s="71" t="s">
        <v>397</v>
      </c>
      <c r="D96" s="95">
        <v>20</v>
      </c>
      <c r="E96" s="71"/>
      <c r="F96" s="95">
        <v>1</v>
      </c>
      <c r="G96" s="95">
        <v>12</v>
      </c>
      <c r="H96" s="96">
        <v>22095.26</v>
      </c>
      <c r="I96" s="96"/>
      <c r="J96" s="96"/>
      <c r="K96" s="96"/>
      <c r="L96" s="96"/>
      <c r="M96" s="71" t="s">
        <v>900</v>
      </c>
      <c r="N96" s="71" t="s">
        <v>901</v>
      </c>
    </row>
    <row r="97" spans="1:14" ht="28.8" x14ac:dyDescent="0.3">
      <c r="A97" s="71" t="s">
        <v>693</v>
      </c>
      <c r="B97" s="71" t="s">
        <v>694</v>
      </c>
      <c r="C97" s="71" t="s">
        <v>397</v>
      </c>
      <c r="D97" s="95">
        <v>20</v>
      </c>
      <c r="E97" s="71"/>
      <c r="F97" s="95">
        <v>1</v>
      </c>
      <c r="G97" s="95">
        <v>12</v>
      </c>
      <c r="H97" s="96">
        <v>22095.26</v>
      </c>
      <c r="I97" s="96"/>
      <c r="J97" s="96"/>
      <c r="K97" s="96"/>
      <c r="L97" s="96"/>
      <c r="M97" s="71" t="s">
        <v>900</v>
      </c>
      <c r="N97" s="71" t="s">
        <v>901</v>
      </c>
    </row>
    <row r="98" spans="1:14" ht="28.8" x14ac:dyDescent="0.3">
      <c r="A98" s="71" t="s">
        <v>695</v>
      </c>
      <c r="B98" s="71" t="s">
        <v>696</v>
      </c>
      <c r="C98" s="71" t="s">
        <v>397</v>
      </c>
      <c r="D98" s="95">
        <v>20</v>
      </c>
      <c r="E98" s="71"/>
      <c r="F98" s="95">
        <v>1</v>
      </c>
      <c r="G98" s="95">
        <v>12</v>
      </c>
      <c r="H98" s="96">
        <v>22095.26</v>
      </c>
      <c r="I98" s="96"/>
      <c r="J98" s="96"/>
      <c r="K98" s="96"/>
      <c r="L98" s="96"/>
      <c r="M98" s="71" t="s">
        <v>900</v>
      </c>
      <c r="N98" s="71" t="s">
        <v>901</v>
      </c>
    </row>
    <row r="99" spans="1:14" ht="28.8" x14ac:dyDescent="0.3">
      <c r="A99" s="71" t="s">
        <v>697</v>
      </c>
      <c r="B99" s="71" t="s">
        <v>698</v>
      </c>
      <c r="C99" s="71" t="s">
        <v>397</v>
      </c>
      <c r="D99" s="95">
        <v>20</v>
      </c>
      <c r="E99" s="71"/>
      <c r="F99" s="95">
        <v>1</v>
      </c>
      <c r="G99" s="95">
        <v>12</v>
      </c>
      <c r="H99" s="96">
        <v>22095.26</v>
      </c>
      <c r="I99" s="96"/>
      <c r="J99" s="96"/>
      <c r="K99" s="96"/>
      <c r="L99" s="96"/>
      <c r="M99" s="71" t="s">
        <v>900</v>
      </c>
      <c r="N99" s="71" t="s">
        <v>901</v>
      </c>
    </row>
    <row r="100" spans="1:14" ht="28.8" x14ac:dyDescent="0.3">
      <c r="A100" s="71" t="s">
        <v>699</v>
      </c>
      <c r="B100" s="71" t="s">
        <v>700</v>
      </c>
      <c r="C100" s="71" t="s">
        <v>397</v>
      </c>
      <c r="D100" s="95">
        <v>20</v>
      </c>
      <c r="E100" s="71"/>
      <c r="F100" s="95">
        <v>1</v>
      </c>
      <c r="G100" s="95">
        <v>12</v>
      </c>
      <c r="H100" s="96">
        <v>22095.26</v>
      </c>
      <c r="I100" s="96"/>
      <c r="J100" s="96"/>
      <c r="K100" s="96"/>
      <c r="L100" s="96"/>
      <c r="M100" s="71" t="s">
        <v>900</v>
      </c>
      <c r="N100" s="71" t="s">
        <v>901</v>
      </c>
    </row>
    <row r="101" spans="1:14" ht="28.8" x14ac:dyDescent="0.3">
      <c r="A101" s="71" t="s">
        <v>701</v>
      </c>
      <c r="B101" s="71" t="s">
        <v>702</v>
      </c>
      <c r="C101" s="71" t="s">
        <v>397</v>
      </c>
      <c r="D101" s="95">
        <v>20</v>
      </c>
      <c r="E101" s="71"/>
      <c r="F101" s="95">
        <v>1</v>
      </c>
      <c r="G101" s="95">
        <v>12</v>
      </c>
      <c r="H101" s="96">
        <v>22095.26</v>
      </c>
      <c r="I101" s="96"/>
      <c r="J101" s="96"/>
      <c r="K101" s="96"/>
      <c r="L101" s="96"/>
      <c r="M101" s="71" t="s">
        <v>900</v>
      </c>
      <c r="N101" s="71" t="s">
        <v>901</v>
      </c>
    </row>
    <row r="102" spans="1:14" ht="28.8" x14ac:dyDescent="0.3">
      <c r="A102" s="71" t="s">
        <v>704</v>
      </c>
      <c r="B102" s="71" t="s">
        <v>705</v>
      </c>
      <c r="C102" s="71" t="s">
        <v>397</v>
      </c>
      <c r="D102" s="95">
        <v>20</v>
      </c>
      <c r="E102" s="71"/>
      <c r="F102" s="95">
        <v>1</v>
      </c>
      <c r="G102" s="95">
        <v>12</v>
      </c>
      <c r="H102" s="96">
        <v>22095.26</v>
      </c>
      <c r="I102" s="96"/>
      <c r="J102" s="96"/>
      <c r="K102" s="96"/>
      <c r="L102" s="96"/>
      <c r="M102" s="71" t="s">
        <v>900</v>
      </c>
      <c r="N102" s="71" t="s">
        <v>901</v>
      </c>
    </row>
    <row r="103" spans="1:14" ht="28.8" x14ac:dyDescent="0.3">
      <c r="A103" s="71" t="s">
        <v>706</v>
      </c>
      <c r="B103" s="71" t="s">
        <v>707</v>
      </c>
      <c r="C103" s="71" t="s">
        <v>397</v>
      </c>
      <c r="D103" s="95">
        <v>20</v>
      </c>
      <c r="E103" s="71"/>
      <c r="F103" s="95">
        <v>1</v>
      </c>
      <c r="G103" s="95">
        <v>12</v>
      </c>
      <c r="H103" s="96">
        <v>22095.26</v>
      </c>
      <c r="I103" s="96"/>
      <c r="J103" s="96"/>
      <c r="K103" s="96"/>
      <c r="L103" s="96"/>
      <c r="M103" s="71" t="s">
        <v>900</v>
      </c>
      <c r="N103" s="71" t="s">
        <v>901</v>
      </c>
    </row>
    <row r="104" spans="1:14" ht="28.8" x14ac:dyDescent="0.3">
      <c r="A104" s="71" t="s">
        <v>708</v>
      </c>
      <c r="B104" s="71" t="s">
        <v>709</v>
      </c>
      <c r="C104" s="71" t="s">
        <v>397</v>
      </c>
      <c r="D104" s="95">
        <v>20</v>
      </c>
      <c r="E104" s="71"/>
      <c r="F104" s="95">
        <v>1</v>
      </c>
      <c r="G104" s="95">
        <v>12</v>
      </c>
      <c r="H104" s="96">
        <v>22095.26</v>
      </c>
      <c r="I104" s="96"/>
      <c r="J104" s="96"/>
      <c r="K104" s="96"/>
      <c r="L104" s="96"/>
      <c r="M104" s="71" t="s">
        <v>900</v>
      </c>
      <c r="N104" s="71" t="s">
        <v>901</v>
      </c>
    </row>
    <row r="105" spans="1:14" ht="28.8" x14ac:dyDescent="0.3">
      <c r="A105" s="71" t="s">
        <v>710</v>
      </c>
      <c r="B105" s="71" t="s">
        <v>711</v>
      </c>
      <c r="C105" s="71" t="s">
        <v>397</v>
      </c>
      <c r="D105" s="95">
        <v>20</v>
      </c>
      <c r="E105" s="71"/>
      <c r="F105" s="95">
        <v>1</v>
      </c>
      <c r="G105" s="95">
        <v>12</v>
      </c>
      <c r="H105" s="96">
        <v>22095.26</v>
      </c>
      <c r="I105" s="96"/>
      <c r="J105" s="96"/>
      <c r="K105" s="96"/>
      <c r="L105" s="96"/>
      <c r="M105" s="71" t="s">
        <v>900</v>
      </c>
      <c r="N105" s="71" t="s">
        <v>901</v>
      </c>
    </row>
    <row r="106" spans="1:14" ht="28.8" x14ac:dyDescent="0.3">
      <c r="A106" s="71" t="s">
        <v>712</v>
      </c>
      <c r="B106" s="71" t="s">
        <v>713</v>
      </c>
      <c r="C106" s="71" t="s">
        <v>397</v>
      </c>
      <c r="D106" s="95">
        <v>20</v>
      </c>
      <c r="E106" s="71"/>
      <c r="F106" s="95">
        <v>1</v>
      </c>
      <c r="G106" s="95">
        <v>12</v>
      </c>
      <c r="H106" s="96">
        <v>22095.26</v>
      </c>
      <c r="I106" s="96"/>
      <c r="J106" s="96"/>
      <c r="K106" s="96"/>
      <c r="L106" s="96"/>
      <c r="M106" s="71" t="s">
        <v>900</v>
      </c>
      <c r="N106" s="71" t="s">
        <v>901</v>
      </c>
    </row>
    <row r="107" spans="1:14" ht="28.8" x14ac:dyDescent="0.3">
      <c r="A107" s="71" t="s">
        <v>714</v>
      </c>
      <c r="B107" s="71" t="s">
        <v>715</v>
      </c>
      <c r="C107" s="71" t="s">
        <v>397</v>
      </c>
      <c r="D107" s="95">
        <v>20</v>
      </c>
      <c r="E107" s="71"/>
      <c r="F107" s="95">
        <v>1</v>
      </c>
      <c r="G107" s="95">
        <v>12</v>
      </c>
      <c r="H107" s="96">
        <v>22095.26</v>
      </c>
      <c r="I107" s="96"/>
      <c r="J107" s="96"/>
      <c r="K107" s="96"/>
      <c r="L107" s="96"/>
      <c r="M107" s="71" t="s">
        <v>900</v>
      </c>
      <c r="N107" s="71" t="s">
        <v>901</v>
      </c>
    </row>
    <row r="108" spans="1:14" ht="28.8" x14ac:dyDescent="0.3">
      <c r="A108" s="71" t="s">
        <v>716</v>
      </c>
      <c r="B108" s="71" t="s">
        <v>717</v>
      </c>
      <c r="C108" s="71" t="s">
        <v>397</v>
      </c>
      <c r="D108" s="95">
        <v>20</v>
      </c>
      <c r="E108" s="71"/>
      <c r="F108" s="95">
        <v>1</v>
      </c>
      <c r="G108" s="95">
        <v>12</v>
      </c>
      <c r="H108" s="96">
        <v>22095.26</v>
      </c>
      <c r="I108" s="96"/>
      <c r="J108" s="96"/>
      <c r="K108" s="96"/>
      <c r="L108" s="96"/>
      <c r="M108" s="71" t="s">
        <v>900</v>
      </c>
      <c r="N108" s="71" t="s">
        <v>901</v>
      </c>
    </row>
    <row r="109" spans="1:14" ht="28.8" x14ac:dyDescent="0.3">
      <c r="A109" s="71" t="s">
        <v>718</v>
      </c>
      <c r="B109" s="71" t="s">
        <v>719</v>
      </c>
      <c r="C109" s="71" t="s">
        <v>397</v>
      </c>
      <c r="D109" s="95">
        <v>21</v>
      </c>
      <c r="E109" s="71"/>
      <c r="F109" s="95">
        <v>1</v>
      </c>
      <c r="G109" s="95">
        <v>12</v>
      </c>
      <c r="H109" s="96">
        <v>22684.66</v>
      </c>
      <c r="I109" s="96"/>
      <c r="J109" s="96"/>
      <c r="K109" s="96"/>
      <c r="L109" s="96"/>
      <c r="M109" s="71" t="s">
        <v>900</v>
      </c>
      <c r="N109" s="71" t="s">
        <v>901</v>
      </c>
    </row>
    <row r="110" spans="1:14" ht="28.8" x14ac:dyDescent="0.3">
      <c r="A110" s="71" t="s">
        <v>721</v>
      </c>
      <c r="B110" s="71" t="s">
        <v>722</v>
      </c>
      <c r="C110" s="71" t="s">
        <v>397</v>
      </c>
      <c r="D110" s="95">
        <v>20</v>
      </c>
      <c r="E110" s="71"/>
      <c r="F110" s="95">
        <v>1</v>
      </c>
      <c r="G110" s="95">
        <v>12</v>
      </c>
      <c r="H110" s="96">
        <v>22095.26</v>
      </c>
      <c r="I110" s="96"/>
      <c r="J110" s="96"/>
      <c r="K110" s="96"/>
      <c r="L110" s="96"/>
      <c r="M110" s="71" t="s">
        <v>900</v>
      </c>
      <c r="N110" s="71" t="s">
        <v>901</v>
      </c>
    </row>
    <row r="111" spans="1:14" ht="28.8" x14ac:dyDescent="0.3">
      <c r="A111" s="71" t="s">
        <v>723</v>
      </c>
      <c r="B111" s="71" t="s">
        <v>724</v>
      </c>
      <c r="C111" s="71" t="s">
        <v>397</v>
      </c>
      <c r="D111" s="95">
        <v>20</v>
      </c>
      <c r="E111" s="71"/>
      <c r="F111" s="95">
        <v>1</v>
      </c>
      <c r="G111" s="95">
        <v>12</v>
      </c>
      <c r="H111" s="96">
        <v>22095.26</v>
      </c>
      <c r="I111" s="96"/>
      <c r="J111" s="96"/>
      <c r="K111" s="96"/>
      <c r="L111" s="96"/>
      <c r="M111" s="71" t="s">
        <v>900</v>
      </c>
      <c r="N111" s="71" t="s">
        <v>901</v>
      </c>
    </row>
    <row r="112" spans="1:14" ht="28.8" x14ac:dyDescent="0.3">
      <c r="A112" s="71" t="s">
        <v>725</v>
      </c>
      <c r="B112" s="71" t="s">
        <v>726</v>
      </c>
      <c r="C112" s="71" t="s">
        <v>397</v>
      </c>
      <c r="D112" s="95">
        <v>20</v>
      </c>
      <c r="E112" s="71"/>
      <c r="F112" s="95">
        <v>1</v>
      </c>
      <c r="G112" s="95">
        <v>12</v>
      </c>
      <c r="H112" s="96">
        <v>22095.26</v>
      </c>
      <c r="I112" s="96"/>
      <c r="J112" s="96"/>
      <c r="K112" s="96"/>
      <c r="L112" s="96"/>
      <c r="M112" s="71" t="s">
        <v>900</v>
      </c>
      <c r="N112" s="71" t="s">
        <v>901</v>
      </c>
    </row>
    <row r="113" spans="1:14" ht="28.8" x14ac:dyDescent="0.3">
      <c r="A113" s="71" t="s">
        <v>727</v>
      </c>
      <c r="B113" s="71" t="s">
        <v>728</v>
      </c>
      <c r="C113" s="71" t="s">
        <v>397</v>
      </c>
      <c r="D113" s="95">
        <v>20</v>
      </c>
      <c r="E113" s="71"/>
      <c r="F113" s="95">
        <v>1</v>
      </c>
      <c r="G113" s="95">
        <v>12</v>
      </c>
      <c r="H113" s="96">
        <v>22095.26</v>
      </c>
      <c r="I113" s="96"/>
      <c r="J113" s="96"/>
      <c r="K113" s="96"/>
      <c r="L113" s="96"/>
      <c r="M113" s="71" t="s">
        <v>900</v>
      </c>
      <c r="N113" s="71" t="s">
        <v>901</v>
      </c>
    </row>
    <row r="114" spans="1:14" ht="28.8" x14ac:dyDescent="0.3">
      <c r="A114" s="71" t="s">
        <v>729</v>
      </c>
      <c r="B114" s="71" t="s">
        <v>730</v>
      </c>
      <c r="C114" s="71" t="s">
        <v>398</v>
      </c>
      <c r="D114" s="95">
        <v>17</v>
      </c>
      <c r="E114" s="71"/>
      <c r="F114" s="95">
        <v>1</v>
      </c>
      <c r="G114" s="95">
        <v>12</v>
      </c>
      <c r="H114" s="96">
        <v>17000.96</v>
      </c>
      <c r="I114" s="96"/>
      <c r="J114" s="96"/>
      <c r="K114" s="96"/>
      <c r="L114" s="96"/>
      <c r="M114" s="71" t="s">
        <v>900</v>
      </c>
      <c r="N114" s="71" t="s">
        <v>901</v>
      </c>
    </row>
    <row r="115" spans="1:14" ht="28.8" x14ac:dyDescent="0.3">
      <c r="A115" s="71" t="s">
        <v>732</v>
      </c>
      <c r="B115" s="71" t="s">
        <v>733</v>
      </c>
      <c r="C115" s="71" t="s">
        <v>397</v>
      </c>
      <c r="D115" s="95">
        <v>20</v>
      </c>
      <c r="E115" s="71"/>
      <c r="F115" s="95">
        <v>1</v>
      </c>
      <c r="G115" s="95">
        <v>12</v>
      </c>
      <c r="H115" s="96">
        <v>22095.26</v>
      </c>
      <c r="I115" s="96"/>
      <c r="J115" s="96"/>
      <c r="K115" s="96"/>
      <c r="L115" s="96"/>
      <c r="M115" s="71" t="s">
        <v>900</v>
      </c>
      <c r="N115" s="71" t="s">
        <v>901</v>
      </c>
    </row>
    <row r="116" spans="1:14" ht="28.8" x14ac:dyDescent="0.3">
      <c r="A116" s="71" t="s">
        <v>734</v>
      </c>
      <c r="B116" s="71" t="s">
        <v>735</v>
      </c>
      <c r="C116" s="71" t="s">
        <v>397</v>
      </c>
      <c r="D116" s="95">
        <v>20</v>
      </c>
      <c r="E116" s="71"/>
      <c r="F116" s="95">
        <v>1</v>
      </c>
      <c r="G116" s="95">
        <v>12</v>
      </c>
      <c r="H116" s="96">
        <v>22095.26</v>
      </c>
      <c r="I116" s="96"/>
      <c r="J116" s="96"/>
      <c r="K116" s="96"/>
      <c r="L116" s="96"/>
      <c r="M116" s="71" t="s">
        <v>900</v>
      </c>
      <c r="N116" s="71" t="s">
        <v>901</v>
      </c>
    </row>
    <row r="117" spans="1:14" ht="28.8" x14ac:dyDescent="0.3">
      <c r="A117" s="71" t="s">
        <v>736</v>
      </c>
      <c r="B117" s="71" t="s">
        <v>737</v>
      </c>
      <c r="C117" s="71" t="s">
        <v>397</v>
      </c>
      <c r="D117" s="95">
        <v>20</v>
      </c>
      <c r="E117" s="71"/>
      <c r="F117" s="95">
        <v>1</v>
      </c>
      <c r="G117" s="95">
        <v>12</v>
      </c>
      <c r="H117" s="96">
        <v>22095.26</v>
      </c>
      <c r="I117" s="96"/>
      <c r="J117" s="96"/>
      <c r="K117" s="96"/>
      <c r="L117" s="96"/>
      <c r="M117" s="71" t="s">
        <v>900</v>
      </c>
      <c r="N117" s="71" t="s">
        <v>901</v>
      </c>
    </row>
    <row r="118" spans="1:14" ht="28.8" x14ac:dyDescent="0.3">
      <c r="A118" s="71" t="s">
        <v>738</v>
      </c>
      <c r="B118" s="71" t="s">
        <v>739</v>
      </c>
      <c r="C118" s="71" t="s">
        <v>397</v>
      </c>
      <c r="D118" s="95">
        <v>20</v>
      </c>
      <c r="E118" s="71"/>
      <c r="F118" s="95">
        <v>1</v>
      </c>
      <c r="G118" s="95">
        <v>12</v>
      </c>
      <c r="H118" s="96">
        <v>22095.26</v>
      </c>
      <c r="I118" s="96"/>
      <c r="J118" s="96"/>
      <c r="K118" s="96"/>
      <c r="L118" s="96"/>
      <c r="M118" s="71" t="s">
        <v>900</v>
      </c>
      <c r="N118" s="71" t="s">
        <v>901</v>
      </c>
    </row>
    <row r="119" spans="1:14" ht="28.8" x14ac:dyDescent="0.3">
      <c r="A119" s="71" t="s">
        <v>740</v>
      </c>
      <c r="B119" s="71" t="s">
        <v>741</v>
      </c>
      <c r="C119" s="71" t="s">
        <v>397</v>
      </c>
      <c r="D119" s="95">
        <v>20</v>
      </c>
      <c r="E119" s="71"/>
      <c r="F119" s="95">
        <v>1</v>
      </c>
      <c r="G119" s="95">
        <v>12</v>
      </c>
      <c r="H119" s="96">
        <v>22095.26</v>
      </c>
      <c r="I119" s="96"/>
      <c r="J119" s="96"/>
      <c r="K119" s="96"/>
      <c r="L119" s="96"/>
      <c r="M119" s="71" t="s">
        <v>900</v>
      </c>
      <c r="N119" s="71" t="s">
        <v>901</v>
      </c>
    </row>
    <row r="120" spans="1:14" ht="28.8" x14ac:dyDescent="0.3">
      <c r="A120" s="71" t="s">
        <v>742</v>
      </c>
      <c r="B120" s="71" t="s">
        <v>743</v>
      </c>
      <c r="C120" s="71" t="s">
        <v>398</v>
      </c>
      <c r="D120" s="95">
        <v>17</v>
      </c>
      <c r="E120" s="71"/>
      <c r="F120" s="95">
        <v>1</v>
      </c>
      <c r="G120" s="95">
        <v>12</v>
      </c>
      <c r="H120" s="96">
        <v>17000.96</v>
      </c>
      <c r="I120" s="96"/>
      <c r="J120" s="96"/>
      <c r="K120" s="96"/>
      <c r="L120" s="96"/>
      <c r="M120" s="71" t="s">
        <v>900</v>
      </c>
      <c r="N120" s="71" t="s">
        <v>901</v>
      </c>
    </row>
    <row r="121" spans="1:14" ht="28.8" x14ac:dyDescent="0.3">
      <c r="A121" s="71" t="s">
        <v>745</v>
      </c>
      <c r="B121" s="71" t="s">
        <v>746</v>
      </c>
      <c r="C121" s="71" t="s">
        <v>398</v>
      </c>
      <c r="D121" s="95">
        <v>17</v>
      </c>
      <c r="E121" s="71"/>
      <c r="F121" s="95">
        <v>1</v>
      </c>
      <c r="G121" s="95">
        <v>12</v>
      </c>
      <c r="H121" s="96">
        <v>17000.96</v>
      </c>
      <c r="I121" s="96"/>
      <c r="J121" s="96"/>
      <c r="K121" s="96"/>
      <c r="L121" s="96"/>
      <c r="M121" s="71" t="s">
        <v>900</v>
      </c>
      <c r="N121" s="71" t="s">
        <v>901</v>
      </c>
    </row>
    <row r="122" spans="1:14" ht="28.8" x14ac:dyDescent="0.3">
      <c r="A122" s="71" t="s">
        <v>747</v>
      </c>
      <c r="B122" s="71" t="s">
        <v>748</v>
      </c>
      <c r="C122" s="71" t="s">
        <v>398</v>
      </c>
      <c r="D122" s="95">
        <v>17</v>
      </c>
      <c r="E122" s="71"/>
      <c r="F122" s="95">
        <v>1</v>
      </c>
      <c r="G122" s="95">
        <v>12</v>
      </c>
      <c r="H122" s="96">
        <v>17000.96</v>
      </c>
      <c r="I122" s="96"/>
      <c r="J122" s="96"/>
      <c r="K122" s="96"/>
      <c r="L122" s="96"/>
      <c r="M122" s="71" t="s">
        <v>900</v>
      </c>
      <c r="N122" s="71" t="s">
        <v>901</v>
      </c>
    </row>
    <row r="123" spans="1:14" ht="28.8" x14ac:dyDescent="0.3">
      <c r="A123" s="71" t="s">
        <v>749</v>
      </c>
      <c r="B123" s="71" t="s">
        <v>750</v>
      </c>
      <c r="C123" s="71" t="s">
        <v>398</v>
      </c>
      <c r="D123" s="95">
        <v>17</v>
      </c>
      <c r="E123" s="71"/>
      <c r="F123" s="95">
        <v>1</v>
      </c>
      <c r="G123" s="95">
        <v>12</v>
      </c>
      <c r="H123" s="96">
        <v>17000.96</v>
      </c>
      <c r="I123" s="96"/>
      <c r="J123" s="96"/>
      <c r="K123" s="96"/>
      <c r="L123" s="96"/>
      <c r="M123" s="71" t="s">
        <v>900</v>
      </c>
      <c r="N123" s="71" t="s">
        <v>901</v>
      </c>
    </row>
    <row r="124" spans="1:14" ht="28.8" x14ac:dyDescent="0.3">
      <c r="A124" s="71" t="s">
        <v>752</v>
      </c>
      <c r="B124" s="71" t="s">
        <v>753</v>
      </c>
      <c r="C124" s="71" t="s">
        <v>398</v>
      </c>
      <c r="D124" s="95">
        <v>17</v>
      </c>
      <c r="E124" s="71"/>
      <c r="F124" s="95">
        <v>1</v>
      </c>
      <c r="G124" s="95">
        <v>12</v>
      </c>
      <c r="H124" s="96">
        <v>17000.96</v>
      </c>
      <c r="I124" s="96"/>
      <c r="J124" s="96"/>
      <c r="K124" s="96"/>
      <c r="L124" s="96"/>
      <c r="M124" s="71" t="s">
        <v>900</v>
      </c>
      <c r="N124" s="71" t="s">
        <v>901</v>
      </c>
    </row>
    <row r="125" spans="1:14" ht="28.8" x14ac:dyDescent="0.3">
      <c r="A125" s="71" t="s">
        <v>754</v>
      </c>
      <c r="B125" s="71" t="s">
        <v>755</v>
      </c>
      <c r="C125" s="71" t="s">
        <v>398</v>
      </c>
      <c r="D125" s="95">
        <v>17</v>
      </c>
      <c r="E125" s="71"/>
      <c r="F125" s="95">
        <v>1</v>
      </c>
      <c r="G125" s="95">
        <v>12</v>
      </c>
      <c r="H125" s="96">
        <v>17000.96</v>
      </c>
      <c r="I125" s="96"/>
      <c r="J125" s="96"/>
      <c r="K125" s="96"/>
      <c r="L125" s="96"/>
      <c r="M125" s="71" t="s">
        <v>900</v>
      </c>
      <c r="N125" s="71" t="s">
        <v>901</v>
      </c>
    </row>
    <row r="126" spans="1:14" ht="28.8" x14ac:dyDescent="0.3">
      <c r="A126" s="71" t="s">
        <v>756</v>
      </c>
      <c r="B126" s="71" t="s">
        <v>757</v>
      </c>
      <c r="C126" s="71" t="s">
        <v>398</v>
      </c>
      <c r="D126" s="95">
        <v>17</v>
      </c>
      <c r="E126" s="71"/>
      <c r="F126" s="95">
        <v>1</v>
      </c>
      <c r="G126" s="95">
        <v>12</v>
      </c>
      <c r="H126" s="96">
        <v>17000.96</v>
      </c>
      <c r="I126" s="96"/>
      <c r="J126" s="96"/>
      <c r="K126" s="96"/>
      <c r="L126" s="96"/>
      <c r="M126" s="71" t="s">
        <v>900</v>
      </c>
      <c r="N126" s="71" t="s">
        <v>901</v>
      </c>
    </row>
    <row r="127" spans="1:14" ht="28.8" x14ac:dyDescent="0.3">
      <c r="A127" s="71" t="s">
        <v>758</v>
      </c>
      <c r="B127" s="71" t="s">
        <v>759</v>
      </c>
      <c r="C127" s="71" t="s">
        <v>398</v>
      </c>
      <c r="D127" s="95">
        <v>17</v>
      </c>
      <c r="E127" s="71"/>
      <c r="F127" s="95">
        <v>1</v>
      </c>
      <c r="G127" s="95">
        <v>12</v>
      </c>
      <c r="H127" s="96">
        <v>17000.96</v>
      </c>
      <c r="I127" s="96"/>
      <c r="J127" s="96"/>
      <c r="K127" s="96"/>
      <c r="L127" s="96"/>
      <c r="M127" s="71" t="s">
        <v>900</v>
      </c>
      <c r="N127" s="71" t="s">
        <v>901</v>
      </c>
    </row>
    <row r="128" spans="1:14" ht="28.8" x14ac:dyDescent="0.3">
      <c r="A128" s="71" t="s">
        <v>760</v>
      </c>
      <c r="B128" s="71" t="s">
        <v>761</v>
      </c>
      <c r="C128" s="71" t="s">
        <v>398</v>
      </c>
      <c r="D128" s="95">
        <v>17</v>
      </c>
      <c r="E128" s="71"/>
      <c r="F128" s="95">
        <v>1</v>
      </c>
      <c r="G128" s="95">
        <v>12</v>
      </c>
      <c r="H128" s="96">
        <v>17000.96</v>
      </c>
      <c r="I128" s="96"/>
      <c r="J128" s="96"/>
      <c r="K128" s="96"/>
      <c r="L128" s="96"/>
      <c r="M128" s="71" t="s">
        <v>900</v>
      </c>
      <c r="N128" s="71" t="s">
        <v>901</v>
      </c>
    </row>
    <row r="129" spans="1:14" ht="28.8" x14ac:dyDescent="0.3">
      <c r="A129" s="71" t="s">
        <v>762</v>
      </c>
      <c r="B129" s="71" t="s">
        <v>763</v>
      </c>
      <c r="C129" s="71" t="s">
        <v>398</v>
      </c>
      <c r="D129" s="95">
        <v>17</v>
      </c>
      <c r="E129" s="71"/>
      <c r="F129" s="95">
        <v>1</v>
      </c>
      <c r="G129" s="95">
        <v>12</v>
      </c>
      <c r="H129" s="96">
        <v>17000.96</v>
      </c>
      <c r="I129" s="96"/>
      <c r="J129" s="96"/>
      <c r="K129" s="96"/>
      <c r="L129" s="96"/>
      <c r="M129" s="71" t="s">
        <v>900</v>
      </c>
      <c r="N129" s="71" t="s">
        <v>901</v>
      </c>
    </row>
    <row r="130" spans="1:14" ht="28.8" x14ac:dyDescent="0.3">
      <c r="A130" s="71" t="s">
        <v>764</v>
      </c>
      <c r="B130" s="71" t="s">
        <v>765</v>
      </c>
      <c r="C130" s="71" t="s">
        <v>398</v>
      </c>
      <c r="D130" s="95">
        <v>17</v>
      </c>
      <c r="E130" s="71"/>
      <c r="F130" s="95">
        <v>1</v>
      </c>
      <c r="G130" s="95">
        <v>12</v>
      </c>
      <c r="H130" s="96">
        <v>17000.96</v>
      </c>
      <c r="I130" s="96"/>
      <c r="J130" s="96"/>
      <c r="K130" s="96"/>
      <c r="L130" s="96"/>
      <c r="M130" s="71" t="s">
        <v>900</v>
      </c>
      <c r="N130" s="71" t="s">
        <v>901</v>
      </c>
    </row>
    <row r="131" spans="1:14" ht="28.8" x14ac:dyDescent="0.3">
      <c r="A131" s="71" t="s">
        <v>766</v>
      </c>
      <c r="B131" s="71" t="s">
        <v>767</v>
      </c>
      <c r="C131" s="71" t="s">
        <v>398</v>
      </c>
      <c r="D131" s="95">
        <v>17</v>
      </c>
      <c r="E131" s="71"/>
      <c r="F131" s="95">
        <v>1</v>
      </c>
      <c r="G131" s="95">
        <v>12</v>
      </c>
      <c r="H131" s="96">
        <v>17000.96</v>
      </c>
      <c r="I131" s="96"/>
      <c r="J131" s="96"/>
      <c r="K131" s="96"/>
      <c r="L131" s="96"/>
      <c r="M131" s="71" t="s">
        <v>900</v>
      </c>
      <c r="N131" s="71" t="s">
        <v>901</v>
      </c>
    </row>
    <row r="132" spans="1:14" ht="28.8" x14ac:dyDescent="0.3">
      <c r="A132" s="71" t="s">
        <v>768</v>
      </c>
      <c r="B132" s="71" t="s">
        <v>769</v>
      </c>
      <c r="C132" s="71" t="s">
        <v>398</v>
      </c>
      <c r="D132" s="95">
        <v>17</v>
      </c>
      <c r="E132" s="71"/>
      <c r="F132" s="95">
        <v>1</v>
      </c>
      <c r="G132" s="95">
        <v>12</v>
      </c>
      <c r="H132" s="96">
        <v>17000.96</v>
      </c>
      <c r="I132" s="96"/>
      <c r="J132" s="96"/>
      <c r="K132" s="96"/>
      <c r="L132" s="96"/>
      <c r="M132" s="71" t="s">
        <v>900</v>
      </c>
      <c r="N132" s="71" t="s">
        <v>901</v>
      </c>
    </row>
    <row r="133" spans="1:14" ht="28.8" x14ac:dyDescent="0.3">
      <c r="A133" s="71" t="s">
        <v>770</v>
      </c>
      <c r="B133" s="71" t="s">
        <v>771</v>
      </c>
      <c r="C133" s="71" t="s">
        <v>398</v>
      </c>
      <c r="D133" s="95">
        <v>17</v>
      </c>
      <c r="E133" s="71"/>
      <c r="F133" s="95">
        <v>1</v>
      </c>
      <c r="G133" s="95">
        <v>12</v>
      </c>
      <c r="H133" s="96">
        <v>17000.96</v>
      </c>
      <c r="I133" s="96"/>
      <c r="J133" s="96"/>
      <c r="K133" s="96"/>
      <c r="L133" s="96"/>
      <c r="M133" s="71" t="s">
        <v>900</v>
      </c>
      <c r="N133" s="71" t="s">
        <v>901</v>
      </c>
    </row>
    <row r="134" spans="1:14" ht="28.8" x14ac:dyDescent="0.3">
      <c r="A134" s="71" t="s">
        <v>772</v>
      </c>
      <c r="B134" s="71" t="s">
        <v>773</v>
      </c>
      <c r="C134" s="71" t="s">
        <v>398</v>
      </c>
      <c r="D134" s="95">
        <v>17</v>
      </c>
      <c r="E134" s="71"/>
      <c r="F134" s="95">
        <v>1</v>
      </c>
      <c r="G134" s="95">
        <v>12</v>
      </c>
      <c r="H134" s="96">
        <v>17000.96</v>
      </c>
      <c r="I134" s="96"/>
      <c r="J134" s="96"/>
      <c r="K134" s="96"/>
      <c r="L134" s="96"/>
      <c r="M134" s="71" t="s">
        <v>900</v>
      </c>
      <c r="N134" s="71" t="s">
        <v>901</v>
      </c>
    </row>
    <row r="135" spans="1:14" ht="28.8" x14ac:dyDescent="0.3">
      <c r="A135" s="71" t="s">
        <v>774</v>
      </c>
      <c r="B135" s="71" t="s">
        <v>775</v>
      </c>
      <c r="C135" s="71" t="s">
        <v>398</v>
      </c>
      <c r="D135" s="95">
        <v>17</v>
      </c>
      <c r="E135" s="71"/>
      <c r="F135" s="95">
        <v>1</v>
      </c>
      <c r="G135" s="95">
        <v>12</v>
      </c>
      <c r="H135" s="96">
        <v>17000.96</v>
      </c>
      <c r="I135" s="96"/>
      <c r="J135" s="96"/>
      <c r="K135" s="96"/>
      <c r="L135" s="96"/>
      <c r="M135" s="71" t="s">
        <v>900</v>
      </c>
      <c r="N135" s="71" t="s">
        <v>901</v>
      </c>
    </row>
    <row r="136" spans="1:14" ht="28.8" x14ac:dyDescent="0.3">
      <c r="A136" s="71" t="s">
        <v>776</v>
      </c>
      <c r="B136" s="71" t="s">
        <v>777</v>
      </c>
      <c r="C136" s="71" t="s">
        <v>398</v>
      </c>
      <c r="D136" s="95">
        <v>17</v>
      </c>
      <c r="E136" s="71"/>
      <c r="F136" s="95">
        <v>1</v>
      </c>
      <c r="G136" s="95">
        <v>12</v>
      </c>
      <c r="H136" s="96">
        <v>17000.96</v>
      </c>
      <c r="I136" s="96"/>
      <c r="J136" s="96"/>
      <c r="K136" s="96"/>
      <c r="L136" s="96"/>
      <c r="M136" s="71" t="s">
        <v>900</v>
      </c>
      <c r="N136" s="71" t="s">
        <v>901</v>
      </c>
    </row>
    <row r="137" spans="1:14" ht="28.8" x14ac:dyDescent="0.3">
      <c r="A137" s="71" t="s">
        <v>778</v>
      </c>
      <c r="B137" s="71" t="s">
        <v>779</v>
      </c>
      <c r="C137" s="71" t="s">
        <v>398</v>
      </c>
      <c r="D137" s="95">
        <v>17</v>
      </c>
      <c r="E137" s="71"/>
      <c r="F137" s="95">
        <v>1</v>
      </c>
      <c r="G137" s="95">
        <v>12</v>
      </c>
      <c r="H137" s="96">
        <v>17000.96</v>
      </c>
      <c r="I137" s="96"/>
      <c r="J137" s="96"/>
      <c r="K137" s="96"/>
      <c r="L137" s="96"/>
      <c r="M137" s="71" t="s">
        <v>900</v>
      </c>
      <c r="N137" s="71" t="s">
        <v>901</v>
      </c>
    </row>
    <row r="138" spans="1:14" ht="28.8" x14ac:dyDescent="0.3">
      <c r="A138" s="71" t="s">
        <v>780</v>
      </c>
      <c r="B138" s="71" t="s">
        <v>781</v>
      </c>
      <c r="C138" s="71" t="s">
        <v>398</v>
      </c>
      <c r="D138" s="95">
        <v>17</v>
      </c>
      <c r="E138" s="71"/>
      <c r="F138" s="95">
        <v>1</v>
      </c>
      <c r="G138" s="95">
        <v>12</v>
      </c>
      <c r="H138" s="96">
        <v>17000.96</v>
      </c>
      <c r="I138" s="96"/>
      <c r="J138" s="96"/>
      <c r="K138" s="96"/>
      <c r="L138" s="96"/>
      <c r="M138" s="71" t="s">
        <v>900</v>
      </c>
      <c r="N138" s="71" t="s">
        <v>901</v>
      </c>
    </row>
    <row r="139" spans="1:14" ht="28.8" x14ac:dyDescent="0.3">
      <c r="A139" s="71" t="s">
        <v>782</v>
      </c>
      <c r="B139" s="71" t="s">
        <v>783</v>
      </c>
      <c r="C139" s="71" t="s">
        <v>398</v>
      </c>
      <c r="D139" s="95">
        <v>17</v>
      </c>
      <c r="E139" s="71"/>
      <c r="F139" s="95">
        <v>1</v>
      </c>
      <c r="G139" s="95">
        <v>12</v>
      </c>
      <c r="H139" s="96">
        <v>17000.96</v>
      </c>
      <c r="I139" s="96"/>
      <c r="J139" s="96"/>
      <c r="K139" s="96"/>
      <c r="L139" s="96"/>
      <c r="M139" s="71" t="s">
        <v>900</v>
      </c>
      <c r="N139" s="71" t="s">
        <v>901</v>
      </c>
    </row>
    <row r="140" spans="1:14" ht="28.8" x14ac:dyDescent="0.3">
      <c r="A140" s="71" t="s">
        <v>784</v>
      </c>
      <c r="B140" s="71" t="s">
        <v>785</v>
      </c>
      <c r="C140" s="71" t="s">
        <v>409</v>
      </c>
      <c r="D140" s="95">
        <v>14</v>
      </c>
      <c r="E140" s="71"/>
      <c r="F140" s="95">
        <v>1</v>
      </c>
      <c r="G140" s="95">
        <v>12</v>
      </c>
      <c r="H140" s="96">
        <v>15171.52</v>
      </c>
      <c r="I140" s="96"/>
      <c r="J140" s="96"/>
      <c r="K140" s="96"/>
      <c r="L140" s="96"/>
      <c r="M140" s="71" t="s">
        <v>900</v>
      </c>
      <c r="N140" s="71" t="s">
        <v>901</v>
      </c>
    </row>
    <row r="141" spans="1:14" ht="28.8" x14ac:dyDescent="0.3">
      <c r="A141" s="71" t="s">
        <v>787</v>
      </c>
      <c r="B141" s="71" t="s">
        <v>788</v>
      </c>
      <c r="C141" s="71" t="s">
        <v>409</v>
      </c>
      <c r="D141" s="95">
        <v>14</v>
      </c>
      <c r="E141" s="71"/>
      <c r="F141" s="95">
        <v>1</v>
      </c>
      <c r="G141" s="95">
        <v>12</v>
      </c>
      <c r="H141" s="96">
        <v>15171.52</v>
      </c>
      <c r="I141" s="96"/>
      <c r="J141" s="96"/>
      <c r="K141" s="96"/>
      <c r="L141" s="96"/>
      <c r="M141" s="71" t="s">
        <v>900</v>
      </c>
      <c r="N141" s="71" t="s">
        <v>901</v>
      </c>
    </row>
    <row r="142" spans="1:14" ht="28.8" x14ac:dyDescent="0.3">
      <c r="A142" s="71" t="s">
        <v>789</v>
      </c>
      <c r="B142" s="71" t="s">
        <v>790</v>
      </c>
      <c r="C142" s="71" t="s">
        <v>409</v>
      </c>
      <c r="D142" s="95">
        <v>14</v>
      </c>
      <c r="E142" s="71"/>
      <c r="F142" s="95">
        <v>1</v>
      </c>
      <c r="G142" s="95">
        <v>12</v>
      </c>
      <c r="H142" s="96">
        <v>15171.52</v>
      </c>
      <c r="I142" s="96"/>
      <c r="J142" s="96"/>
      <c r="K142" s="96"/>
      <c r="L142" s="96"/>
      <c r="M142" s="71" t="s">
        <v>900</v>
      </c>
      <c r="N142" s="71" t="s">
        <v>901</v>
      </c>
    </row>
    <row r="143" spans="1:14" ht="28.8" x14ac:dyDescent="0.3">
      <c r="A143" s="71" t="s">
        <v>791</v>
      </c>
      <c r="B143" s="71" t="s">
        <v>792</v>
      </c>
      <c r="C143" s="71" t="s">
        <v>409</v>
      </c>
      <c r="D143" s="95">
        <v>14</v>
      </c>
      <c r="E143" s="71"/>
      <c r="F143" s="95">
        <v>1</v>
      </c>
      <c r="G143" s="95">
        <v>12</v>
      </c>
      <c r="H143" s="96">
        <v>15171.52</v>
      </c>
      <c r="I143" s="96"/>
      <c r="J143" s="96"/>
      <c r="K143" s="96"/>
      <c r="L143" s="96"/>
      <c r="M143" s="71" t="s">
        <v>900</v>
      </c>
      <c r="N143" s="71" t="s">
        <v>901</v>
      </c>
    </row>
    <row r="144" spans="1:14" ht="28.8" x14ac:dyDescent="0.3">
      <c r="A144" s="71" t="s">
        <v>793</v>
      </c>
      <c r="B144" s="71" t="s">
        <v>794</v>
      </c>
      <c r="C144" s="71" t="s">
        <v>409</v>
      </c>
      <c r="D144" s="95">
        <v>14</v>
      </c>
      <c r="E144" s="71"/>
      <c r="F144" s="95">
        <v>1</v>
      </c>
      <c r="G144" s="95">
        <v>12</v>
      </c>
      <c r="H144" s="96">
        <v>15171.52</v>
      </c>
      <c r="I144" s="96"/>
      <c r="J144" s="96"/>
      <c r="K144" s="96"/>
      <c r="L144" s="96"/>
      <c r="M144" s="71" t="s">
        <v>900</v>
      </c>
      <c r="N144" s="71" t="s">
        <v>901</v>
      </c>
    </row>
    <row r="145" spans="1:14" ht="28.8" x14ac:dyDescent="0.3">
      <c r="A145" s="71" t="s">
        <v>795</v>
      </c>
      <c r="B145" s="71" t="s">
        <v>796</v>
      </c>
      <c r="C145" s="71" t="s">
        <v>409</v>
      </c>
      <c r="D145" s="95">
        <v>14</v>
      </c>
      <c r="E145" s="71"/>
      <c r="F145" s="95">
        <v>1</v>
      </c>
      <c r="G145" s="95">
        <v>12</v>
      </c>
      <c r="H145" s="96">
        <v>15171.52</v>
      </c>
      <c r="I145" s="96"/>
      <c r="J145" s="96"/>
      <c r="K145" s="96"/>
      <c r="L145" s="96"/>
      <c r="M145" s="71" t="s">
        <v>900</v>
      </c>
      <c r="N145" s="71" t="s">
        <v>901</v>
      </c>
    </row>
    <row r="146" spans="1:14" ht="28.8" x14ac:dyDescent="0.3">
      <c r="A146" s="71" t="s">
        <v>797</v>
      </c>
      <c r="B146" s="71" t="s">
        <v>798</v>
      </c>
      <c r="C146" s="71" t="s">
        <v>409</v>
      </c>
      <c r="D146" s="95">
        <v>14</v>
      </c>
      <c r="E146" s="71"/>
      <c r="F146" s="95">
        <v>1</v>
      </c>
      <c r="G146" s="95">
        <v>12</v>
      </c>
      <c r="H146" s="96">
        <v>15171.52</v>
      </c>
      <c r="I146" s="96"/>
      <c r="J146" s="96"/>
      <c r="K146" s="96"/>
      <c r="L146" s="96"/>
      <c r="M146" s="71" t="s">
        <v>900</v>
      </c>
      <c r="N146" s="71" t="s">
        <v>901</v>
      </c>
    </row>
    <row r="147" spans="1:14" ht="28.8" x14ac:dyDescent="0.3">
      <c r="A147" s="71" t="s">
        <v>799</v>
      </c>
      <c r="B147" s="71" t="s">
        <v>800</v>
      </c>
      <c r="C147" s="71" t="s">
        <v>409</v>
      </c>
      <c r="D147" s="95">
        <v>14</v>
      </c>
      <c r="E147" s="71"/>
      <c r="F147" s="95">
        <v>1</v>
      </c>
      <c r="G147" s="95">
        <v>12</v>
      </c>
      <c r="H147" s="96">
        <v>15171.52</v>
      </c>
      <c r="I147" s="96"/>
      <c r="J147" s="96"/>
      <c r="K147" s="96"/>
      <c r="L147" s="96"/>
      <c r="M147" s="71" t="s">
        <v>900</v>
      </c>
      <c r="N147" s="71" t="s">
        <v>901</v>
      </c>
    </row>
    <row r="148" spans="1:14" ht="28.8" x14ac:dyDescent="0.3">
      <c r="A148" s="71" t="s">
        <v>801</v>
      </c>
      <c r="B148" s="71" t="s">
        <v>802</v>
      </c>
      <c r="C148" s="71" t="s">
        <v>409</v>
      </c>
      <c r="D148" s="95">
        <v>14</v>
      </c>
      <c r="E148" s="71"/>
      <c r="F148" s="95">
        <v>1</v>
      </c>
      <c r="G148" s="95">
        <v>12</v>
      </c>
      <c r="H148" s="96">
        <v>15171.52</v>
      </c>
      <c r="I148" s="96"/>
      <c r="J148" s="96"/>
      <c r="K148" s="96"/>
      <c r="L148" s="96"/>
      <c r="M148" s="71" t="s">
        <v>900</v>
      </c>
      <c r="N148" s="71" t="s">
        <v>901</v>
      </c>
    </row>
    <row r="149" spans="1:14" ht="28.8" x14ac:dyDescent="0.3">
      <c r="A149" s="71" t="s">
        <v>803</v>
      </c>
      <c r="B149" s="71" t="s">
        <v>804</v>
      </c>
      <c r="C149" s="71" t="s">
        <v>409</v>
      </c>
      <c r="D149" s="95">
        <v>14</v>
      </c>
      <c r="E149" s="71"/>
      <c r="F149" s="95">
        <v>1</v>
      </c>
      <c r="G149" s="95">
        <v>12</v>
      </c>
      <c r="H149" s="96">
        <v>15171.52</v>
      </c>
      <c r="I149" s="96"/>
      <c r="J149" s="96"/>
      <c r="K149" s="96"/>
      <c r="L149" s="96"/>
      <c r="M149" s="71" t="s">
        <v>900</v>
      </c>
      <c r="N149" s="71" t="s">
        <v>901</v>
      </c>
    </row>
    <row r="150" spans="1:14" ht="28.8" x14ac:dyDescent="0.3">
      <c r="A150" s="71" t="s">
        <v>805</v>
      </c>
      <c r="B150" s="71" t="s">
        <v>806</v>
      </c>
      <c r="C150" s="71" t="s">
        <v>398</v>
      </c>
      <c r="D150" s="95">
        <v>14</v>
      </c>
      <c r="E150" s="71"/>
      <c r="F150" s="95">
        <v>1</v>
      </c>
      <c r="G150" s="95">
        <v>12</v>
      </c>
      <c r="H150" s="96">
        <v>15822.44</v>
      </c>
      <c r="I150" s="96"/>
      <c r="J150" s="96"/>
      <c r="K150" s="96"/>
      <c r="L150" s="96"/>
      <c r="M150" s="71" t="s">
        <v>900</v>
      </c>
      <c r="N150" s="71" t="s">
        <v>901</v>
      </c>
    </row>
    <row r="151" spans="1:14" ht="28.8" x14ac:dyDescent="0.3">
      <c r="A151" s="71" t="s">
        <v>808</v>
      </c>
      <c r="B151" s="71" t="s">
        <v>809</v>
      </c>
      <c r="C151" s="71" t="s">
        <v>409</v>
      </c>
      <c r="D151" s="95">
        <v>14</v>
      </c>
      <c r="E151" s="71"/>
      <c r="F151" s="95">
        <v>1</v>
      </c>
      <c r="G151" s="95">
        <v>12</v>
      </c>
      <c r="H151" s="96">
        <v>15171.52</v>
      </c>
      <c r="I151" s="96"/>
      <c r="J151" s="96"/>
      <c r="K151" s="96"/>
      <c r="L151" s="96"/>
      <c r="M151" s="71" t="s">
        <v>900</v>
      </c>
      <c r="N151" s="71" t="s">
        <v>901</v>
      </c>
    </row>
    <row r="152" spans="1:14" ht="28.8" x14ac:dyDescent="0.3">
      <c r="A152" s="71" t="s">
        <v>810</v>
      </c>
      <c r="B152" s="71" t="s">
        <v>811</v>
      </c>
      <c r="C152" s="71" t="s">
        <v>409</v>
      </c>
      <c r="D152" s="95">
        <v>14</v>
      </c>
      <c r="E152" s="71"/>
      <c r="F152" s="95">
        <v>1</v>
      </c>
      <c r="G152" s="95">
        <v>12</v>
      </c>
      <c r="H152" s="96">
        <v>15171.52</v>
      </c>
      <c r="I152" s="96"/>
      <c r="J152" s="96"/>
      <c r="K152" s="96"/>
      <c r="L152" s="96"/>
      <c r="M152" s="71" t="s">
        <v>900</v>
      </c>
      <c r="N152" s="71" t="s">
        <v>901</v>
      </c>
    </row>
    <row r="153" spans="1:14" ht="28.8" x14ac:dyDescent="0.3">
      <c r="A153" s="71" t="s">
        <v>812</v>
      </c>
      <c r="B153" s="71" t="s">
        <v>813</v>
      </c>
      <c r="C153" s="71" t="s">
        <v>398</v>
      </c>
      <c r="D153" s="95">
        <v>17</v>
      </c>
      <c r="E153" s="71"/>
      <c r="F153" s="95">
        <v>1</v>
      </c>
      <c r="G153" s="95">
        <v>12</v>
      </c>
      <c r="H153" s="96">
        <v>17000.96</v>
      </c>
      <c r="I153" s="96"/>
      <c r="J153" s="96"/>
      <c r="K153" s="96"/>
      <c r="L153" s="96"/>
      <c r="M153" s="71" t="s">
        <v>900</v>
      </c>
      <c r="N153" s="71" t="s">
        <v>901</v>
      </c>
    </row>
    <row r="154" spans="1:14" ht="28.8" x14ac:dyDescent="0.3">
      <c r="A154" s="71" t="s">
        <v>814</v>
      </c>
      <c r="B154" s="71" t="s">
        <v>815</v>
      </c>
      <c r="C154" s="71" t="s">
        <v>398</v>
      </c>
      <c r="D154" s="95">
        <v>17</v>
      </c>
      <c r="E154" s="71"/>
      <c r="F154" s="95">
        <v>1</v>
      </c>
      <c r="G154" s="95">
        <v>12</v>
      </c>
      <c r="H154" s="96">
        <v>17000.96</v>
      </c>
      <c r="I154" s="96"/>
      <c r="J154" s="96"/>
      <c r="K154" s="96"/>
      <c r="L154" s="96"/>
      <c r="M154" s="71" t="s">
        <v>900</v>
      </c>
      <c r="N154" s="71" t="s">
        <v>901</v>
      </c>
    </row>
    <row r="155" spans="1:14" ht="28.8" x14ac:dyDescent="0.3">
      <c r="A155" s="71" t="s">
        <v>816</v>
      </c>
      <c r="B155" s="71" t="s">
        <v>817</v>
      </c>
      <c r="C155" s="71" t="s">
        <v>398</v>
      </c>
      <c r="D155" s="95">
        <v>17</v>
      </c>
      <c r="E155" s="71"/>
      <c r="F155" s="95">
        <v>1</v>
      </c>
      <c r="G155" s="95">
        <v>12</v>
      </c>
      <c r="H155" s="96">
        <v>17000.96</v>
      </c>
      <c r="I155" s="96"/>
      <c r="J155" s="96"/>
      <c r="K155" s="96"/>
      <c r="L155" s="96"/>
      <c r="M155" s="71" t="s">
        <v>900</v>
      </c>
      <c r="N155" s="71" t="s">
        <v>901</v>
      </c>
    </row>
    <row r="156" spans="1:14" ht="28.8" x14ac:dyDescent="0.3">
      <c r="A156" s="71" t="s">
        <v>818</v>
      </c>
      <c r="B156" s="71" t="s">
        <v>819</v>
      </c>
      <c r="C156" s="71" t="s">
        <v>398</v>
      </c>
      <c r="D156" s="95">
        <v>17</v>
      </c>
      <c r="E156" s="71"/>
      <c r="F156" s="95">
        <v>1</v>
      </c>
      <c r="G156" s="95">
        <v>12</v>
      </c>
      <c r="H156" s="96">
        <v>17000.96</v>
      </c>
      <c r="I156" s="96"/>
      <c r="J156" s="96"/>
      <c r="K156" s="96"/>
      <c r="L156" s="96"/>
      <c r="M156" s="71" t="s">
        <v>900</v>
      </c>
      <c r="N156" s="71" t="s">
        <v>901</v>
      </c>
    </row>
    <row r="157" spans="1:14" ht="28.8" x14ac:dyDescent="0.3">
      <c r="A157" s="71" t="s">
        <v>820</v>
      </c>
      <c r="B157" s="71" t="s">
        <v>821</v>
      </c>
      <c r="C157" s="71" t="s">
        <v>398</v>
      </c>
      <c r="D157" s="95">
        <v>17</v>
      </c>
      <c r="E157" s="71"/>
      <c r="F157" s="95">
        <v>1</v>
      </c>
      <c r="G157" s="95">
        <v>12</v>
      </c>
      <c r="H157" s="96">
        <v>17000.96</v>
      </c>
      <c r="I157" s="96"/>
      <c r="J157" s="96"/>
      <c r="K157" s="96"/>
      <c r="L157" s="96"/>
      <c r="M157" s="71" t="s">
        <v>900</v>
      </c>
      <c r="N157" s="71" t="s">
        <v>901</v>
      </c>
    </row>
    <row r="158" spans="1:14" ht="28.8" x14ac:dyDescent="0.3">
      <c r="A158" s="71" t="s">
        <v>822</v>
      </c>
      <c r="B158" s="71" t="s">
        <v>823</v>
      </c>
      <c r="C158" s="71" t="s">
        <v>398</v>
      </c>
      <c r="D158" s="95">
        <v>17</v>
      </c>
      <c r="E158" s="71"/>
      <c r="F158" s="95">
        <v>1</v>
      </c>
      <c r="G158" s="95">
        <v>12</v>
      </c>
      <c r="H158" s="96">
        <v>17000.96</v>
      </c>
      <c r="I158" s="96"/>
      <c r="J158" s="96"/>
      <c r="K158" s="96"/>
      <c r="L158" s="96"/>
      <c r="M158" s="71" t="s">
        <v>900</v>
      </c>
      <c r="N158" s="71" t="s">
        <v>901</v>
      </c>
    </row>
    <row r="159" spans="1:14" ht="28.8" x14ac:dyDescent="0.3">
      <c r="A159" s="71" t="s">
        <v>824</v>
      </c>
      <c r="B159" s="71" t="s">
        <v>825</v>
      </c>
      <c r="C159" s="71" t="s">
        <v>398</v>
      </c>
      <c r="D159" s="95">
        <v>17</v>
      </c>
      <c r="E159" s="71"/>
      <c r="F159" s="95">
        <v>1</v>
      </c>
      <c r="G159" s="95">
        <v>12</v>
      </c>
      <c r="H159" s="96">
        <v>17000.96</v>
      </c>
      <c r="I159" s="96"/>
      <c r="J159" s="96"/>
      <c r="K159" s="96"/>
      <c r="L159" s="96"/>
      <c r="M159" s="71" t="s">
        <v>900</v>
      </c>
      <c r="N159" s="71" t="s">
        <v>901</v>
      </c>
    </row>
    <row r="160" spans="1:14" ht="28.8" x14ac:dyDescent="0.3">
      <c r="A160" s="71" t="s">
        <v>826</v>
      </c>
      <c r="B160" s="71" t="s">
        <v>827</v>
      </c>
      <c r="C160" s="71" t="s">
        <v>398</v>
      </c>
      <c r="D160" s="95">
        <v>17</v>
      </c>
      <c r="E160" s="71"/>
      <c r="F160" s="95">
        <v>1</v>
      </c>
      <c r="G160" s="95">
        <v>12</v>
      </c>
      <c r="H160" s="96">
        <v>17000.96</v>
      </c>
      <c r="I160" s="96"/>
      <c r="J160" s="96"/>
      <c r="K160" s="96"/>
      <c r="L160" s="96"/>
      <c r="M160" s="71" t="s">
        <v>900</v>
      </c>
      <c r="N160" s="71" t="s">
        <v>901</v>
      </c>
    </row>
    <row r="161" spans="1:14" ht="28.8" x14ac:dyDescent="0.3">
      <c r="A161" s="71" t="s">
        <v>828</v>
      </c>
      <c r="B161" s="71" t="s">
        <v>829</v>
      </c>
      <c r="C161" s="71" t="s">
        <v>398</v>
      </c>
      <c r="D161" s="95">
        <v>17</v>
      </c>
      <c r="E161" s="71"/>
      <c r="F161" s="95">
        <v>1</v>
      </c>
      <c r="G161" s="95">
        <v>12</v>
      </c>
      <c r="H161" s="96">
        <v>17000.96</v>
      </c>
      <c r="I161" s="96"/>
      <c r="J161" s="96"/>
      <c r="K161" s="96"/>
      <c r="L161" s="96"/>
      <c r="M161" s="71" t="s">
        <v>900</v>
      </c>
      <c r="N161" s="71" t="s">
        <v>901</v>
      </c>
    </row>
    <row r="162" spans="1:14" ht="28.8" x14ac:dyDescent="0.3">
      <c r="A162" s="71" t="s">
        <v>830</v>
      </c>
      <c r="B162" s="71" t="s">
        <v>831</v>
      </c>
      <c r="C162" s="71" t="s">
        <v>398</v>
      </c>
      <c r="D162" s="95">
        <v>17</v>
      </c>
      <c r="E162" s="71"/>
      <c r="F162" s="95">
        <v>1</v>
      </c>
      <c r="G162" s="95">
        <v>12</v>
      </c>
      <c r="H162" s="96">
        <v>17000.96</v>
      </c>
      <c r="I162" s="96"/>
      <c r="J162" s="96"/>
      <c r="K162" s="96"/>
      <c r="L162" s="96"/>
      <c r="M162" s="71" t="s">
        <v>900</v>
      </c>
      <c r="N162" s="71" t="s">
        <v>901</v>
      </c>
    </row>
    <row r="163" spans="1:14" ht="28.8" x14ac:dyDescent="0.3">
      <c r="A163" s="71" t="s">
        <v>832</v>
      </c>
      <c r="B163" s="71" t="s">
        <v>833</v>
      </c>
      <c r="C163" s="71" t="s">
        <v>398</v>
      </c>
      <c r="D163" s="95">
        <v>17</v>
      </c>
      <c r="E163" s="71"/>
      <c r="F163" s="95">
        <v>1</v>
      </c>
      <c r="G163" s="95">
        <v>12</v>
      </c>
      <c r="H163" s="96">
        <v>17000.96</v>
      </c>
      <c r="I163" s="96"/>
      <c r="J163" s="96"/>
      <c r="K163" s="96"/>
      <c r="L163" s="96"/>
      <c r="M163" s="71" t="s">
        <v>900</v>
      </c>
      <c r="N163" s="71" t="s">
        <v>901</v>
      </c>
    </row>
    <row r="164" spans="1:14" ht="28.8" x14ac:dyDescent="0.3">
      <c r="A164" s="71" t="s">
        <v>834</v>
      </c>
      <c r="B164" s="71" t="s">
        <v>835</v>
      </c>
      <c r="C164" s="71" t="s">
        <v>398</v>
      </c>
      <c r="D164" s="95">
        <v>17</v>
      </c>
      <c r="E164" s="71"/>
      <c r="F164" s="95">
        <v>1</v>
      </c>
      <c r="G164" s="95">
        <v>12</v>
      </c>
      <c r="H164" s="96">
        <v>17000.96</v>
      </c>
      <c r="I164" s="96"/>
      <c r="J164" s="96"/>
      <c r="K164" s="96"/>
      <c r="L164" s="96"/>
      <c r="M164" s="71" t="s">
        <v>900</v>
      </c>
      <c r="N164" s="71" t="s">
        <v>901</v>
      </c>
    </row>
    <row r="165" spans="1:14" ht="28.8" x14ac:dyDescent="0.3">
      <c r="A165" s="71" t="s">
        <v>836</v>
      </c>
      <c r="B165" s="71" t="s">
        <v>837</v>
      </c>
      <c r="C165" s="71" t="s">
        <v>398</v>
      </c>
      <c r="D165" s="95">
        <v>17</v>
      </c>
      <c r="E165" s="71"/>
      <c r="F165" s="95">
        <v>1</v>
      </c>
      <c r="G165" s="95">
        <v>12</v>
      </c>
      <c r="H165" s="96">
        <v>17000.96</v>
      </c>
      <c r="I165" s="96"/>
      <c r="J165" s="96"/>
      <c r="K165" s="96"/>
      <c r="L165" s="96"/>
      <c r="M165" s="71" t="s">
        <v>900</v>
      </c>
      <c r="N165" s="71" t="s">
        <v>901</v>
      </c>
    </row>
    <row r="166" spans="1:14" ht="28.8" x14ac:dyDescent="0.3">
      <c r="A166" s="71" t="s">
        <v>838</v>
      </c>
      <c r="B166" s="71" t="s">
        <v>839</v>
      </c>
      <c r="C166" s="71" t="s">
        <v>398</v>
      </c>
      <c r="D166" s="95">
        <v>17</v>
      </c>
      <c r="E166" s="71"/>
      <c r="F166" s="95">
        <v>1</v>
      </c>
      <c r="G166" s="95">
        <v>12</v>
      </c>
      <c r="H166" s="96">
        <v>17000.96</v>
      </c>
      <c r="I166" s="96"/>
      <c r="J166" s="96"/>
      <c r="K166" s="96"/>
      <c r="L166" s="96"/>
      <c r="M166" s="71" t="s">
        <v>900</v>
      </c>
      <c r="N166" s="71" t="s">
        <v>901</v>
      </c>
    </row>
    <row r="167" spans="1:14" ht="28.8" x14ac:dyDescent="0.3">
      <c r="A167" s="71" t="s">
        <v>840</v>
      </c>
      <c r="B167" s="71" t="s">
        <v>841</v>
      </c>
      <c r="C167" s="71" t="s">
        <v>409</v>
      </c>
      <c r="D167" s="95">
        <v>14</v>
      </c>
      <c r="E167" s="71"/>
      <c r="F167" s="95">
        <v>1</v>
      </c>
      <c r="G167" s="95">
        <v>12</v>
      </c>
      <c r="H167" s="96">
        <v>15171.52</v>
      </c>
      <c r="I167" s="96"/>
      <c r="J167" s="96"/>
      <c r="K167" s="96"/>
      <c r="L167" s="96"/>
      <c r="M167" s="71" t="s">
        <v>900</v>
      </c>
      <c r="N167" s="71" t="s">
        <v>901</v>
      </c>
    </row>
    <row r="168" spans="1:14" ht="28.8" x14ac:dyDescent="0.3">
      <c r="A168" s="71" t="s">
        <v>843</v>
      </c>
      <c r="B168" s="71" t="s">
        <v>844</v>
      </c>
      <c r="C168" s="71" t="s">
        <v>409</v>
      </c>
      <c r="D168" s="95">
        <v>14</v>
      </c>
      <c r="E168" s="71"/>
      <c r="F168" s="95">
        <v>1</v>
      </c>
      <c r="G168" s="95">
        <v>12</v>
      </c>
      <c r="H168" s="96">
        <v>15171.52</v>
      </c>
      <c r="I168" s="96"/>
      <c r="J168" s="96"/>
      <c r="K168" s="96"/>
      <c r="L168" s="96"/>
      <c r="M168" s="71" t="s">
        <v>900</v>
      </c>
      <c r="N168" s="71" t="s">
        <v>901</v>
      </c>
    </row>
    <row r="169" spans="1:14" ht="28.8" x14ac:dyDescent="0.3">
      <c r="A169" s="71" t="s">
        <v>845</v>
      </c>
      <c r="B169" s="71" t="s">
        <v>846</v>
      </c>
      <c r="C169" s="71" t="s">
        <v>409</v>
      </c>
      <c r="D169" s="95">
        <v>14</v>
      </c>
      <c r="E169" s="71"/>
      <c r="F169" s="95">
        <v>1</v>
      </c>
      <c r="G169" s="95">
        <v>12</v>
      </c>
      <c r="H169" s="96">
        <v>15171.52</v>
      </c>
      <c r="I169" s="96"/>
      <c r="J169" s="96"/>
      <c r="K169" s="96"/>
      <c r="L169" s="96"/>
      <c r="M169" s="71" t="s">
        <v>900</v>
      </c>
      <c r="N169" s="71" t="s">
        <v>901</v>
      </c>
    </row>
    <row r="170" spans="1:14" ht="28.8" x14ac:dyDescent="0.3">
      <c r="A170" s="71" t="s">
        <v>847</v>
      </c>
      <c r="B170" s="71" t="s">
        <v>848</v>
      </c>
      <c r="C170" s="71" t="s">
        <v>409</v>
      </c>
      <c r="D170" s="95">
        <v>14</v>
      </c>
      <c r="E170" s="71"/>
      <c r="F170" s="95">
        <v>1</v>
      </c>
      <c r="G170" s="95">
        <v>12</v>
      </c>
      <c r="H170" s="96">
        <v>15171.52</v>
      </c>
      <c r="I170" s="96"/>
      <c r="J170" s="96"/>
      <c r="K170" s="96"/>
      <c r="L170" s="96"/>
      <c r="M170" s="71" t="s">
        <v>900</v>
      </c>
      <c r="N170" s="71" t="s">
        <v>901</v>
      </c>
    </row>
    <row r="171" spans="1:14" x14ac:dyDescent="0.3">
      <c r="A171" s="71"/>
      <c r="B171" s="71"/>
      <c r="C171" s="71"/>
      <c r="D171" s="71"/>
      <c r="E171" s="71"/>
      <c r="F171" s="71"/>
      <c r="G171" s="71"/>
      <c r="H171" s="71"/>
      <c r="I171" s="71"/>
      <c r="J171" s="71"/>
      <c r="K171" s="71"/>
      <c r="L171" s="71"/>
      <c r="M171" s="71"/>
      <c r="N171" s="71"/>
    </row>
    <row r="172" spans="1:14" x14ac:dyDescent="0.3">
      <c r="A172" s="71"/>
      <c r="B172" s="71"/>
      <c r="C172" s="71"/>
      <c r="D172" s="71"/>
      <c r="E172" s="71"/>
      <c r="F172" s="71"/>
      <c r="G172" s="71"/>
      <c r="H172" s="71"/>
      <c r="I172" s="71"/>
      <c r="J172" s="71"/>
      <c r="K172" s="71"/>
      <c r="L172" s="71"/>
      <c r="M172" s="71"/>
      <c r="N172" s="71"/>
    </row>
    <row r="173" spans="1:14" x14ac:dyDescent="0.3">
      <c r="A173" s="86"/>
      <c r="B173" s="86"/>
      <c r="C173" s="71"/>
      <c r="D173" s="71"/>
      <c r="E173" s="71"/>
      <c r="F173" s="71"/>
      <c r="G173" s="71"/>
      <c r="H173" s="71"/>
      <c r="I173" s="71"/>
      <c r="J173" s="71"/>
      <c r="K173" s="71"/>
      <c r="L173" s="71"/>
      <c r="M173" s="71"/>
      <c r="N173" s="71"/>
    </row>
    <row r="174" spans="1:14" x14ac:dyDescent="0.3">
      <c r="A174" s="89"/>
      <c r="B174" s="89"/>
      <c r="C174" s="71"/>
      <c r="D174" s="71"/>
      <c r="E174" s="71"/>
      <c r="F174" s="71"/>
      <c r="G174" s="71"/>
      <c r="H174" s="71"/>
      <c r="I174" s="71"/>
      <c r="J174" s="71"/>
      <c r="K174" s="71"/>
      <c r="L174" s="71"/>
      <c r="M174" s="71"/>
      <c r="N174" s="71"/>
    </row>
    <row r="175" spans="1:14" x14ac:dyDescent="0.3">
      <c r="A175" s="89"/>
      <c r="B175" s="89"/>
      <c r="C175" s="71"/>
      <c r="D175" s="71"/>
      <c r="E175" s="71"/>
      <c r="F175" s="71"/>
      <c r="G175" s="71"/>
      <c r="H175" s="71"/>
      <c r="I175" s="71"/>
      <c r="J175" s="71"/>
      <c r="K175" s="71"/>
      <c r="L175" s="71"/>
      <c r="M175" s="71"/>
      <c r="N175" s="71"/>
    </row>
    <row r="176" spans="1:14" x14ac:dyDescent="0.3">
      <c r="A176" s="89"/>
      <c r="B176" s="89"/>
      <c r="C176" s="71"/>
      <c r="D176" s="71"/>
      <c r="E176" s="71"/>
      <c r="F176" s="71"/>
      <c r="G176" s="71"/>
      <c r="H176" s="71"/>
      <c r="I176" s="71"/>
      <c r="J176" s="71"/>
      <c r="K176" s="71"/>
      <c r="L176" s="71"/>
      <c r="M176" s="71"/>
      <c r="N176" s="71"/>
    </row>
    <row r="177" spans="1:14" x14ac:dyDescent="0.3">
      <c r="A177" s="89"/>
      <c r="B177" s="89"/>
      <c r="C177" s="71"/>
      <c r="D177" s="71"/>
      <c r="E177" s="71"/>
      <c r="F177" s="71"/>
      <c r="G177" s="71"/>
      <c r="H177" s="71"/>
      <c r="I177" s="71"/>
      <c r="J177" s="71"/>
      <c r="K177" s="71"/>
      <c r="L177" s="71"/>
      <c r="M177" s="71"/>
      <c r="N177" s="71"/>
    </row>
    <row r="178" spans="1:14" x14ac:dyDescent="0.3">
      <c r="A178" s="89"/>
      <c r="B178" s="90"/>
      <c r="C178" s="71"/>
      <c r="D178" s="71"/>
      <c r="E178" s="71"/>
      <c r="F178" s="71"/>
      <c r="G178" s="71"/>
      <c r="H178" s="71"/>
      <c r="I178" s="71"/>
      <c r="J178" s="71"/>
      <c r="K178" s="71"/>
      <c r="L178" s="71"/>
      <c r="M178" s="71"/>
      <c r="N178" s="71"/>
    </row>
    <row r="179" spans="1:14" x14ac:dyDescent="0.3">
      <c r="A179" s="89"/>
      <c r="B179" s="90"/>
      <c r="C179" s="71"/>
      <c r="D179" s="71"/>
      <c r="E179" s="71"/>
      <c r="F179" s="71"/>
      <c r="G179" s="71"/>
      <c r="H179" s="71"/>
      <c r="I179" s="71"/>
      <c r="J179" s="71"/>
      <c r="K179" s="71"/>
      <c r="L179" s="71"/>
      <c r="M179" s="71"/>
      <c r="N179" s="71"/>
    </row>
    <row r="180" spans="1:14" x14ac:dyDescent="0.3">
      <c r="A180" s="71"/>
      <c r="B180" s="71"/>
      <c r="C180" s="71"/>
      <c r="D180" s="71"/>
      <c r="E180" s="71"/>
      <c r="F180" s="71"/>
      <c r="G180" s="71"/>
      <c r="H180" s="71"/>
      <c r="I180" s="71"/>
      <c r="J180" s="71"/>
      <c r="K180" s="71"/>
      <c r="L180" s="71"/>
      <c r="M180" s="71"/>
      <c r="N180" s="71"/>
    </row>
    <row r="181" spans="1:14" x14ac:dyDescent="0.3">
      <c r="A181" s="71"/>
      <c r="B181" s="71"/>
      <c r="C181" s="71"/>
      <c r="D181" s="71"/>
      <c r="E181" s="71"/>
      <c r="F181" s="71"/>
      <c r="G181" s="71"/>
      <c r="H181" s="71"/>
      <c r="I181" s="71"/>
      <c r="J181" s="71"/>
      <c r="K181" s="71"/>
      <c r="L181" s="71"/>
      <c r="M181" s="71"/>
      <c r="N181" s="71"/>
    </row>
    <row r="182" spans="1:14" x14ac:dyDescent="0.3">
      <c r="A182" s="71"/>
      <c r="B182" s="71"/>
      <c r="C182" s="71"/>
      <c r="D182" s="71"/>
      <c r="E182" s="71"/>
      <c r="F182" s="71"/>
      <c r="G182" s="71"/>
      <c r="H182" s="71"/>
      <c r="I182" s="71"/>
      <c r="J182" s="71"/>
      <c r="K182" s="71"/>
      <c r="L182" s="71"/>
      <c r="M182" s="71"/>
      <c r="N182" s="71"/>
    </row>
    <row r="183" spans="1:14" x14ac:dyDescent="0.3">
      <c r="A183" s="71"/>
      <c r="B183" s="71"/>
      <c r="C183" s="71"/>
      <c r="D183" s="71"/>
      <c r="E183" s="71"/>
      <c r="F183" s="71"/>
      <c r="G183" s="71"/>
      <c r="H183" s="71"/>
      <c r="I183" s="71"/>
      <c r="J183" s="71"/>
      <c r="K183" s="71"/>
      <c r="L183" s="71"/>
      <c r="M183" s="71"/>
      <c r="N183" s="71"/>
    </row>
    <row r="184" spans="1:14" x14ac:dyDescent="0.3">
      <c r="A184" s="71"/>
      <c r="B184" s="71"/>
      <c r="C184" s="71"/>
      <c r="D184" s="71"/>
      <c r="E184" s="71"/>
      <c r="F184" s="71"/>
      <c r="G184" s="71"/>
      <c r="H184" s="71"/>
      <c r="I184" s="71"/>
      <c r="J184" s="71"/>
      <c r="K184" s="71"/>
      <c r="L184" s="71"/>
      <c r="M184" s="71"/>
      <c r="N184" s="71"/>
    </row>
    <row r="185" spans="1:14" x14ac:dyDescent="0.3">
      <c r="A185" s="71"/>
      <c r="B185" s="71"/>
      <c r="C185" s="71"/>
      <c r="D185" s="71"/>
      <c r="E185" s="71"/>
      <c r="F185" s="71"/>
      <c r="G185" s="71"/>
      <c r="H185" s="71"/>
      <c r="I185" s="71"/>
      <c r="J185" s="71"/>
      <c r="K185" s="71"/>
      <c r="L185" s="71"/>
      <c r="M185" s="71"/>
      <c r="N185" s="71"/>
    </row>
    <row r="186" spans="1:14" x14ac:dyDescent="0.3">
      <c r="A186" s="71"/>
      <c r="B186" s="71"/>
      <c r="C186" s="71"/>
      <c r="D186" s="71"/>
      <c r="E186" s="71"/>
      <c r="F186" s="71"/>
      <c r="G186" s="71"/>
      <c r="H186" s="71"/>
      <c r="I186" s="71"/>
      <c r="J186" s="71"/>
      <c r="K186" s="71"/>
      <c r="L186" s="71"/>
      <c r="M186" s="71"/>
      <c r="N186" s="71"/>
    </row>
    <row r="187" spans="1:14" x14ac:dyDescent="0.3">
      <c r="A187" s="71"/>
      <c r="B187" s="71"/>
      <c r="C187" s="71"/>
      <c r="D187" s="71"/>
      <c r="E187" s="71"/>
      <c r="F187" s="71"/>
      <c r="G187" s="71"/>
      <c r="H187" s="71"/>
      <c r="I187" s="71"/>
      <c r="J187" s="71"/>
      <c r="K187" s="71"/>
      <c r="L187" s="71"/>
      <c r="M187" s="71"/>
      <c r="N187" s="71"/>
    </row>
    <row r="188" spans="1:14" x14ac:dyDescent="0.3">
      <c r="A188" s="71"/>
      <c r="B188" s="71"/>
      <c r="C188" s="71"/>
      <c r="D188" s="71"/>
      <c r="E188" s="71"/>
      <c r="F188" s="71"/>
      <c r="G188" s="71"/>
      <c r="H188" s="71"/>
      <c r="I188" s="71"/>
      <c r="J188" s="71"/>
      <c r="K188" s="71"/>
      <c r="L188" s="71"/>
      <c r="M188" s="71"/>
      <c r="N188" s="71"/>
    </row>
    <row r="189" spans="1:14" x14ac:dyDescent="0.3">
      <c r="A189" s="71"/>
      <c r="B189" s="71"/>
      <c r="C189" s="71"/>
      <c r="D189" s="71"/>
      <c r="E189" s="71"/>
      <c r="F189" s="71"/>
      <c r="G189" s="71"/>
      <c r="H189" s="71"/>
      <c r="I189" s="71"/>
      <c r="J189" s="71"/>
      <c r="K189" s="71"/>
      <c r="L189" s="71"/>
      <c r="M189" s="71"/>
      <c r="N189" s="71"/>
    </row>
    <row r="190" spans="1:14" x14ac:dyDescent="0.3">
      <c r="A190" s="71"/>
      <c r="B190" s="71"/>
      <c r="C190" s="71"/>
      <c r="D190" s="71"/>
      <c r="E190" s="71"/>
      <c r="F190" s="71"/>
      <c r="G190" s="71"/>
      <c r="H190" s="71"/>
      <c r="I190" s="71"/>
      <c r="J190" s="71"/>
      <c r="K190" s="71"/>
      <c r="L190" s="71"/>
      <c r="M190" s="71"/>
      <c r="N190" s="71"/>
    </row>
    <row r="191" spans="1:14" x14ac:dyDescent="0.3">
      <c r="A191" s="71"/>
      <c r="B191" s="71"/>
      <c r="C191" s="71"/>
      <c r="D191" s="71"/>
      <c r="E191" s="71"/>
      <c r="F191" s="71"/>
      <c r="G191" s="71"/>
      <c r="H191" s="71"/>
      <c r="I191" s="71"/>
      <c r="J191" s="71"/>
      <c r="K191" s="71"/>
      <c r="L191" s="71"/>
      <c r="M191" s="71"/>
      <c r="N191" s="71"/>
    </row>
    <row r="192" spans="1:14" x14ac:dyDescent="0.3">
      <c r="A192" s="71"/>
      <c r="B192" s="71"/>
      <c r="C192" s="71"/>
      <c r="D192" s="71"/>
      <c r="E192" s="71"/>
      <c r="F192" s="71"/>
      <c r="G192" s="71"/>
      <c r="H192" s="71"/>
      <c r="I192" s="71"/>
      <c r="J192" s="71"/>
      <c r="K192" s="71"/>
      <c r="L192" s="71"/>
      <c r="M192" s="71"/>
      <c r="N192" s="71"/>
    </row>
    <row r="193" spans="1:14" x14ac:dyDescent="0.3">
      <c r="A193" s="71"/>
      <c r="B193" s="71"/>
      <c r="C193" s="71"/>
      <c r="D193" s="71"/>
      <c r="E193" s="71"/>
      <c r="F193" s="71"/>
      <c r="G193" s="71"/>
      <c r="H193" s="71"/>
      <c r="I193" s="71"/>
      <c r="J193" s="71"/>
      <c r="K193" s="71"/>
      <c r="L193" s="71"/>
      <c r="M193" s="71"/>
      <c r="N193" s="71"/>
    </row>
    <row r="194" spans="1:14" x14ac:dyDescent="0.3">
      <c r="A194" s="71"/>
      <c r="B194" s="71"/>
      <c r="C194" s="71"/>
      <c r="D194" s="71"/>
      <c r="E194" s="71"/>
      <c r="F194" s="71"/>
      <c r="G194" s="71"/>
      <c r="H194" s="71"/>
      <c r="I194" s="71"/>
      <c r="J194" s="71"/>
      <c r="K194" s="71"/>
      <c r="L194" s="71"/>
      <c r="M194" s="71"/>
      <c r="N194" s="71"/>
    </row>
    <row r="195" spans="1:14" x14ac:dyDescent="0.3">
      <c r="A195" s="71"/>
      <c r="B195" s="71"/>
      <c r="C195" s="71"/>
      <c r="D195" s="71"/>
      <c r="E195" s="71"/>
      <c r="F195" s="71"/>
      <c r="G195" s="71"/>
      <c r="H195" s="71"/>
      <c r="I195" s="71"/>
      <c r="J195" s="71"/>
      <c r="K195" s="71"/>
      <c r="L195" s="71"/>
      <c r="M195" s="71"/>
      <c r="N195" s="71"/>
    </row>
    <row r="196" spans="1:14" x14ac:dyDescent="0.3">
      <c r="A196" s="71"/>
      <c r="B196" s="71"/>
      <c r="C196" s="71"/>
      <c r="D196" s="71"/>
      <c r="E196" s="71"/>
      <c r="F196" s="71"/>
      <c r="G196" s="71"/>
      <c r="H196" s="71"/>
      <c r="I196" s="71"/>
      <c r="J196" s="71"/>
      <c r="K196" s="71"/>
      <c r="L196" s="71"/>
      <c r="M196" s="71"/>
      <c r="N196" s="71"/>
    </row>
    <row r="197" spans="1:14" x14ac:dyDescent="0.3">
      <c r="A197" s="71"/>
      <c r="B197" s="71"/>
      <c r="C197" s="71"/>
      <c r="D197" s="71"/>
      <c r="E197" s="71"/>
      <c r="F197" s="71"/>
      <c r="G197" s="71"/>
      <c r="H197" s="71"/>
      <c r="I197" s="71"/>
      <c r="J197" s="71"/>
      <c r="K197" s="71"/>
      <c r="L197" s="71"/>
      <c r="M197" s="71"/>
      <c r="N197" s="71"/>
    </row>
    <row r="198" spans="1:14" x14ac:dyDescent="0.3">
      <c r="A198" s="71"/>
      <c r="B198" s="71"/>
      <c r="C198" s="71"/>
      <c r="D198" s="71"/>
      <c r="E198" s="71"/>
      <c r="F198" s="71"/>
      <c r="G198" s="71"/>
      <c r="H198" s="71"/>
      <c r="I198" s="71"/>
      <c r="J198" s="71"/>
      <c r="K198" s="71"/>
      <c r="L198" s="71"/>
      <c r="M198" s="71"/>
      <c r="N198" s="71"/>
    </row>
    <row r="199" spans="1:14" x14ac:dyDescent="0.3">
      <c r="A199" s="71"/>
      <c r="B199" s="71"/>
      <c r="C199" s="71"/>
      <c r="D199" s="71"/>
      <c r="E199" s="71"/>
      <c r="F199" s="71"/>
      <c r="G199" s="71"/>
      <c r="H199" s="71"/>
      <c r="I199" s="71"/>
      <c r="J199" s="71"/>
      <c r="K199" s="71"/>
      <c r="L199" s="71"/>
      <c r="M199" s="71"/>
      <c r="N199" s="71"/>
    </row>
    <row r="200" spans="1:14" x14ac:dyDescent="0.3">
      <c r="A200" s="71"/>
      <c r="B200" s="71"/>
      <c r="C200" s="71"/>
      <c r="D200" s="71"/>
      <c r="E200" s="71"/>
      <c r="F200" s="71"/>
      <c r="G200" s="71"/>
      <c r="H200" s="71"/>
      <c r="I200" s="71"/>
      <c r="J200" s="71"/>
      <c r="K200" s="71"/>
      <c r="L200" s="71"/>
      <c r="M200" s="71"/>
      <c r="N200" s="71"/>
    </row>
  </sheetData>
  <mergeCells count="2">
    <mergeCell ref="A1:N1"/>
    <mergeCell ref="A2:N2"/>
  </mergeCells>
  <dataValidations count="3">
    <dataValidation sqref="E5:E170" xr:uid="{00000000-0002-0000-0800-000000000000}">
      <formula1>1</formula1>
      <formula2>30</formula2>
    </dataValidation>
    <dataValidation operator="greaterThanOrEqual" sqref="F5:F170" xr:uid="{00000000-0002-0000-0800-000001000000}">
      <formula1>0</formula1>
    </dataValidation>
    <dataValidation sqref="G5:G170" xr:uid="{00000000-0002-0000-0800-000002000000}">
      <formula1>1</formula1>
      <formula2>12</formula2>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
  <sheetViews>
    <sheetView workbookViewId="0"/>
  </sheetViews>
  <sheetFormatPr baseColWidth="10" defaultColWidth="8.88671875" defaultRowHeight="14.4" x14ac:dyDescent="0.3"/>
  <cols>
    <col min="1" max="1" width="38" customWidth="1"/>
    <col min="2" max="2" width="12" customWidth="1"/>
    <col min="3" max="3" width="90" customWidth="1"/>
  </cols>
  <sheetData>
    <row r="1" spans="1:3" x14ac:dyDescent="0.3">
      <c r="A1" s="72" t="s">
        <v>308</v>
      </c>
      <c r="B1" s="72" t="s">
        <v>309</v>
      </c>
      <c r="C1" s="72" t="s">
        <v>310</v>
      </c>
    </row>
    <row r="2" spans="1:3" x14ac:dyDescent="0.3">
      <c r="A2" s="71" t="s">
        <v>311</v>
      </c>
      <c r="B2" s="73">
        <v>0.4</v>
      </c>
      <c r="C2" s="71" t="s">
        <v>312</v>
      </c>
    </row>
    <row r="3" spans="1:3" x14ac:dyDescent="0.3">
      <c r="A3" s="71" t="s">
        <v>313</v>
      </c>
      <c r="B3" s="73">
        <v>0.6</v>
      </c>
      <c r="C3" s="71" t="s">
        <v>314</v>
      </c>
    </row>
    <row r="4" spans="1:3" x14ac:dyDescent="0.3">
      <c r="A4" s="71" t="s">
        <v>315</v>
      </c>
      <c r="B4" s="73">
        <v>0.15</v>
      </c>
      <c r="C4" s="71" t="s">
        <v>316</v>
      </c>
    </row>
    <row r="5" spans="1:3" x14ac:dyDescent="0.3">
      <c r="A5" s="71" t="s">
        <v>317</v>
      </c>
      <c r="B5" s="73">
        <v>0.25</v>
      </c>
      <c r="C5" s="71" t="s">
        <v>318</v>
      </c>
    </row>
    <row r="6" spans="1:3" x14ac:dyDescent="0.3">
      <c r="A6" s="71" t="s">
        <v>319</v>
      </c>
      <c r="B6" s="73">
        <v>0.15</v>
      </c>
      <c r="C6" s="71" t="s">
        <v>320</v>
      </c>
    </row>
    <row r="7" spans="1:3" x14ac:dyDescent="0.3">
      <c r="A7" s="71" t="s">
        <v>321</v>
      </c>
      <c r="B7" s="73">
        <v>0.2</v>
      </c>
      <c r="C7" s="71" t="s">
        <v>322</v>
      </c>
    </row>
    <row r="8" spans="1:3" x14ac:dyDescent="0.3">
      <c r="A8" s="71" t="s">
        <v>323</v>
      </c>
      <c r="B8" s="73">
        <v>0.2</v>
      </c>
      <c r="C8" s="71" t="s">
        <v>324</v>
      </c>
    </row>
    <row r="9" spans="1:3" x14ac:dyDescent="0.3">
      <c r="A9" s="71" t="s">
        <v>325</v>
      </c>
      <c r="B9" s="73">
        <v>0.05</v>
      </c>
      <c r="C9" s="71" t="s">
        <v>326</v>
      </c>
    </row>
    <row r="10" spans="1:3" x14ac:dyDescent="0.3">
      <c r="A10" s="71" t="s">
        <v>327</v>
      </c>
      <c r="B10" s="73">
        <v>0.7</v>
      </c>
      <c r="C10" s="71" t="s">
        <v>328</v>
      </c>
    </row>
    <row r="11" spans="1:3" x14ac:dyDescent="0.3">
      <c r="A11" s="71" t="s">
        <v>329</v>
      </c>
      <c r="B11" s="73">
        <v>3</v>
      </c>
      <c r="C11" s="71" t="s">
        <v>330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3"/>
  <sheetViews>
    <sheetView workbookViewId="0"/>
  </sheetViews>
  <sheetFormatPr baseColWidth="10" defaultColWidth="8.88671875" defaultRowHeight="14.4" x14ac:dyDescent="0.3"/>
  <cols>
    <col min="1" max="1" width="28" customWidth="1"/>
    <col min="2" max="2" width="90" customWidth="1"/>
  </cols>
  <sheetData>
    <row r="1" spans="1:2" ht="54" x14ac:dyDescent="0.35">
      <c r="A1" s="69" t="s">
        <v>331</v>
      </c>
      <c r="B1" s="69"/>
    </row>
    <row r="2" spans="1:2" x14ac:dyDescent="0.3">
      <c r="A2" t="s">
        <v>332</v>
      </c>
    </row>
    <row r="4" spans="1:2" x14ac:dyDescent="0.3">
      <c r="A4" s="68" t="s">
        <v>333</v>
      </c>
      <c r="B4" s="68"/>
    </row>
    <row r="5" spans="1:2" x14ac:dyDescent="0.3">
      <c r="A5" t="s">
        <v>334</v>
      </c>
    </row>
    <row r="7" spans="1:2" x14ac:dyDescent="0.3">
      <c r="A7" s="68" t="s">
        <v>335</v>
      </c>
      <c r="B7" s="68"/>
    </row>
    <row r="8" spans="1:2" x14ac:dyDescent="0.3">
      <c r="A8" t="s">
        <v>336</v>
      </c>
      <c r="B8" t="s">
        <v>337</v>
      </c>
    </row>
    <row r="9" spans="1:2" x14ac:dyDescent="0.3">
      <c r="A9" t="s">
        <v>338</v>
      </c>
      <c r="B9" t="s">
        <v>339</v>
      </c>
    </row>
    <row r="10" spans="1:2" x14ac:dyDescent="0.3">
      <c r="A10" t="s">
        <v>340</v>
      </c>
      <c r="B10" t="s">
        <v>341</v>
      </c>
    </row>
    <row r="11" spans="1:2" x14ac:dyDescent="0.3">
      <c r="A11" t="s">
        <v>342</v>
      </c>
      <c r="B11" t="s">
        <v>343</v>
      </c>
    </row>
    <row r="12" spans="1:2" x14ac:dyDescent="0.3">
      <c r="A12" t="s">
        <v>344</v>
      </c>
      <c r="B12" t="s">
        <v>345</v>
      </c>
    </row>
    <row r="13" spans="1:2" x14ac:dyDescent="0.3">
      <c r="A13" t="s">
        <v>346</v>
      </c>
      <c r="B13" t="s">
        <v>347</v>
      </c>
    </row>
    <row r="14" spans="1:2" x14ac:dyDescent="0.3">
      <c r="A14" t="s">
        <v>348</v>
      </c>
      <c r="B14" t="s">
        <v>349</v>
      </c>
    </row>
    <row r="15" spans="1:2" x14ac:dyDescent="0.3">
      <c r="A15" t="s">
        <v>350</v>
      </c>
      <c r="B15" t="s">
        <v>351</v>
      </c>
    </row>
    <row r="16" spans="1:2" x14ac:dyDescent="0.3">
      <c r="A16" t="s">
        <v>352</v>
      </c>
      <c r="B16" t="s">
        <v>353</v>
      </c>
    </row>
    <row r="18" spans="1:2" x14ac:dyDescent="0.3">
      <c r="A18" s="68" t="s">
        <v>354</v>
      </c>
      <c r="B18" s="68"/>
    </row>
    <row r="19" spans="1:2" x14ac:dyDescent="0.3">
      <c r="A19" t="s">
        <v>355</v>
      </c>
      <c r="B19" t="s">
        <v>356</v>
      </c>
    </row>
    <row r="20" spans="1:2" x14ac:dyDescent="0.3">
      <c r="A20" t="s">
        <v>357</v>
      </c>
      <c r="B20" t="s">
        <v>358</v>
      </c>
    </row>
    <row r="22" spans="1:2" x14ac:dyDescent="0.3">
      <c r="A22" s="68" t="s">
        <v>359</v>
      </c>
      <c r="B22" s="68"/>
    </row>
    <row r="23" spans="1:2" x14ac:dyDescent="0.3">
      <c r="A23" t="s">
        <v>360</v>
      </c>
    </row>
    <row r="24" spans="1:2" x14ac:dyDescent="0.3">
      <c r="A24" t="s">
        <v>361</v>
      </c>
    </row>
    <row r="25" spans="1:2" x14ac:dyDescent="0.3">
      <c r="A25" t="s">
        <v>362</v>
      </c>
    </row>
    <row r="26" spans="1:2" x14ac:dyDescent="0.3">
      <c r="A26" t="s">
        <v>363</v>
      </c>
    </row>
    <row r="28" spans="1:2" x14ac:dyDescent="0.3">
      <c r="A28" t="s">
        <v>364</v>
      </c>
      <c r="B28" t="s">
        <v>365</v>
      </c>
    </row>
    <row r="29" spans="1:2" x14ac:dyDescent="0.3">
      <c r="A29" t="s">
        <v>366</v>
      </c>
      <c r="B29" t="s">
        <v>367</v>
      </c>
    </row>
    <row r="30" spans="1:2" x14ac:dyDescent="0.3">
      <c r="A30" t="s">
        <v>368</v>
      </c>
      <c r="B30" t="s">
        <v>369</v>
      </c>
    </row>
    <row r="31" spans="1:2" x14ac:dyDescent="0.3">
      <c r="A31" t="s">
        <v>370</v>
      </c>
      <c r="B31" t="s">
        <v>371</v>
      </c>
    </row>
    <row r="32" spans="1:2" x14ac:dyDescent="0.3">
      <c r="A32" t="s">
        <v>372</v>
      </c>
      <c r="B32" t="s">
        <v>373</v>
      </c>
    </row>
    <row r="33" spans="1:2" x14ac:dyDescent="0.3">
      <c r="A33" t="s">
        <v>374</v>
      </c>
      <c r="B33" t="s">
        <v>375</v>
      </c>
    </row>
    <row r="35" spans="1:2" ht="28.8" x14ac:dyDescent="0.3">
      <c r="A35" s="75" t="s">
        <v>376</v>
      </c>
      <c r="B35" s="71" t="s">
        <v>377</v>
      </c>
    </row>
    <row r="36" spans="1:2" ht="28.8" x14ac:dyDescent="0.3">
      <c r="A36" s="75" t="s">
        <v>378</v>
      </c>
      <c r="B36" s="71" t="s">
        <v>379</v>
      </c>
    </row>
    <row r="37" spans="1:2" ht="28.8" x14ac:dyDescent="0.3">
      <c r="A37" s="75" t="s">
        <v>380</v>
      </c>
      <c r="B37" s="71" t="s">
        <v>381</v>
      </c>
    </row>
    <row r="39" spans="1:2" x14ac:dyDescent="0.3">
      <c r="A39" t="s">
        <v>382</v>
      </c>
      <c r="B39" t="s">
        <v>383</v>
      </c>
    </row>
    <row r="40" spans="1:2" x14ac:dyDescent="0.3">
      <c r="A40" t="s">
        <v>384</v>
      </c>
      <c r="B40" t="s">
        <v>385</v>
      </c>
    </row>
    <row r="41" spans="1:2" x14ac:dyDescent="0.3">
      <c r="A41" t="s">
        <v>386</v>
      </c>
      <c r="B41" t="s">
        <v>387</v>
      </c>
    </row>
    <row r="42" spans="1:2" x14ac:dyDescent="0.3">
      <c r="A42" t="s">
        <v>222</v>
      </c>
      <c r="B42" t="s">
        <v>388</v>
      </c>
    </row>
    <row r="43" spans="1:2" x14ac:dyDescent="0.3">
      <c r="A43" t="s">
        <v>389</v>
      </c>
      <c r="B43" t="s">
        <v>390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7"/>
  <sheetViews>
    <sheetView workbookViewId="0"/>
  </sheetViews>
  <sheetFormatPr baseColWidth="10" defaultColWidth="8.88671875" defaultRowHeight="14.4" x14ac:dyDescent="0.3"/>
  <cols>
    <col min="1" max="1" width="16" customWidth="1"/>
    <col min="2" max="3" width="10" customWidth="1"/>
    <col min="4" max="4" width="80" customWidth="1"/>
  </cols>
  <sheetData>
    <row r="1" spans="1:4" x14ac:dyDescent="0.3">
      <c r="A1" s="72" t="s">
        <v>286</v>
      </c>
      <c r="B1" s="72" t="s">
        <v>391</v>
      </c>
      <c r="C1" s="72" t="s">
        <v>392</v>
      </c>
      <c r="D1" s="72" t="s">
        <v>229</v>
      </c>
    </row>
    <row r="2" spans="1:4" x14ac:dyDescent="0.3">
      <c r="A2" t="s">
        <v>393</v>
      </c>
      <c r="B2">
        <v>24</v>
      </c>
      <c r="C2">
        <v>30</v>
      </c>
      <c r="D2" t="s">
        <v>394</v>
      </c>
    </row>
    <row r="3" spans="1:4" x14ac:dyDescent="0.3">
      <c r="A3" t="s">
        <v>395</v>
      </c>
      <c r="B3">
        <v>20</v>
      </c>
      <c r="C3">
        <v>26</v>
      </c>
      <c r="D3" t="s">
        <v>394</v>
      </c>
    </row>
    <row r="4" spans="1:4" x14ac:dyDescent="0.3">
      <c r="A4" t="s">
        <v>396</v>
      </c>
      <c r="B4">
        <v>18</v>
      </c>
      <c r="C4">
        <v>24</v>
      </c>
      <c r="D4" t="s">
        <v>394</v>
      </c>
    </row>
    <row r="5" spans="1:4" x14ac:dyDescent="0.3">
      <c r="A5" t="s">
        <v>397</v>
      </c>
      <c r="B5">
        <v>16</v>
      </c>
      <c r="C5">
        <v>22</v>
      </c>
      <c r="D5" t="s">
        <v>394</v>
      </c>
    </row>
    <row r="6" spans="1:4" x14ac:dyDescent="0.3">
      <c r="A6" t="s">
        <v>398</v>
      </c>
      <c r="B6">
        <v>14</v>
      </c>
      <c r="C6">
        <v>18</v>
      </c>
      <c r="D6" t="s">
        <v>394</v>
      </c>
    </row>
    <row r="7" spans="1:4" x14ac:dyDescent="0.3">
      <c r="A7" t="s">
        <v>399</v>
      </c>
      <c r="B7">
        <v>10</v>
      </c>
      <c r="C7">
        <v>14</v>
      </c>
      <c r="D7" t="s">
        <v>400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workbookViewId="0"/>
  </sheetViews>
  <sheetFormatPr baseColWidth="10" defaultColWidth="8.88671875" defaultRowHeight="14.4" x14ac:dyDescent="0.3"/>
  <cols>
    <col min="1" max="1" width="22" customWidth="1"/>
    <col min="2" max="2" width="20" customWidth="1"/>
    <col min="3" max="3" width="50" customWidth="1"/>
    <col min="4" max="4" width="65" customWidth="1"/>
  </cols>
  <sheetData>
    <row r="1" spans="1:4" x14ac:dyDescent="0.3">
      <c r="A1" s="77" t="s">
        <v>902</v>
      </c>
      <c r="B1" s="77" t="s">
        <v>903</v>
      </c>
      <c r="C1" s="77" t="s">
        <v>904</v>
      </c>
      <c r="D1" s="77" t="s">
        <v>905</v>
      </c>
    </row>
    <row r="2" spans="1:4" ht="28.8" x14ac:dyDescent="0.3">
      <c r="A2" s="71" t="s">
        <v>906</v>
      </c>
      <c r="B2" s="71" t="s">
        <v>907</v>
      </c>
      <c r="C2" s="71" t="s">
        <v>908</v>
      </c>
      <c r="D2" s="71" t="s">
        <v>909</v>
      </c>
    </row>
    <row r="3" spans="1:4" x14ac:dyDescent="0.3">
      <c r="A3" s="71" t="s">
        <v>906</v>
      </c>
      <c r="B3" s="71" t="s">
        <v>910</v>
      </c>
      <c r="C3" s="71" t="s">
        <v>911</v>
      </c>
      <c r="D3" s="71" t="s">
        <v>912</v>
      </c>
    </row>
    <row r="4" spans="1:4" ht="28.8" x14ac:dyDescent="0.3">
      <c r="A4" s="71" t="s">
        <v>906</v>
      </c>
      <c r="B4" s="71" t="s">
        <v>913</v>
      </c>
      <c r="C4" s="71" t="s">
        <v>914</v>
      </c>
      <c r="D4" s="71" t="s">
        <v>915</v>
      </c>
    </row>
    <row r="5" spans="1:4" ht="28.8" x14ac:dyDescent="0.3">
      <c r="A5" s="71" t="s">
        <v>906</v>
      </c>
      <c r="B5" s="71" t="s">
        <v>916</v>
      </c>
      <c r="C5" s="71" t="s">
        <v>917</v>
      </c>
      <c r="D5" s="71" t="s">
        <v>918</v>
      </c>
    </row>
    <row r="6" spans="1:4" ht="28.8" x14ac:dyDescent="0.3">
      <c r="A6" s="71" t="s">
        <v>906</v>
      </c>
      <c r="B6" s="71" t="s">
        <v>919</v>
      </c>
      <c r="C6" s="71" t="s">
        <v>920</v>
      </c>
      <c r="D6" s="71" t="s">
        <v>921</v>
      </c>
    </row>
    <row r="7" spans="1:4" x14ac:dyDescent="0.3">
      <c r="A7" s="71" t="s">
        <v>922</v>
      </c>
      <c r="B7" s="71" t="s">
        <v>923</v>
      </c>
      <c r="C7" s="71" t="s">
        <v>924</v>
      </c>
      <c r="D7" s="71" t="s">
        <v>925</v>
      </c>
    </row>
    <row r="8" spans="1:4" ht="28.8" x14ac:dyDescent="0.3">
      <c r="A8" s="71" t="s">
        <v>926</v>
      </c>
      <c r="B8" s="71" t="s">
        <v>927</v>
      </c>
      <c r="C8" s="71" t="s">
        <v>928</v>
      </c>
      <c r="D8" s="71" t="s">
        <v>929</v>
      </c>
    </row>
    <row r="9" spans="1:4" x14ac:dyDescent="0.3">
      <c r="A9" t="s">
        <v>930</v>
      </c>
      <c r="B9" t="s">
        <v>931</v>
      </c>
      <c r="C9" t="s">
        <v>932</v>
      </c>
      <c r="D9" t="s">
        <v>933</v>
      </c>
    </row>
    <row r="10" spans="1:4" x14ac:dyDescent="0.3">
      <c r="A10" s="71"/>
      <c r="B10" s="71"/>
      <c r="C10" s="71"/>
      <c r="D10" s="71"/>
    </row>
    <row r="11" spans="1:4" x14ac:dyDescent="0.3">
      <c r="A11" s="71"/>
      <c r="B11" s="71"/>
      <c r="C11" s="71"/>
      <c r="D11" s="71"/>
    </row>
    <row r="12" spans="1:4" x14ac:dyDescent="0.3">
      <c r="A12" s="71"/>
      <c r="B12" s="71"/>
      <c r="C12" s="71"/>
      <c r="D12" s="7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0"/>
  <sheetViews>
    <sheetView workbookViewId="0"/>
  </sheetViews>
  <sheetFormatPr baseColWidth="10" defaultColWidth="8.88671875" defaultRowHeight="14.4" x14ac:dyDescent="0.3"/>
  <cols>
    <col min="1" max="1" width="10" customWidth="1"/>
    <col min="2" max="2" width="22" customWidth="1"/>
    <col min="3" max="3" width="32" customWidth="1"/>
    <col min="4" max="4" width="48" customWidth="1"/>
    <col min="5" max="5" width="12" customWidth="1"/>
    <col min="6" max="6" width="45" customWidth="1"/>
    <col min="7" max="10" width="40" customWidth="1"/>
    <col min="11" max="14" width="32" customWidth="1"/>
    <col min="15" max="15" width="42" customWidth="1"/>
  </cols>
  <sheetData>
    <row r="1" spans="1:15" ht="22.95" customHeight="1" x14ac:dyDescent="0.3">
      <c r="A1" s="78" t="s">
        <v>934</v>
      </c>
      <c r="B1" s="78" t="s">
        <v>935</v>
      </c>
      <c r="C1" s="78" t="s">
        <v>936</v>
      </c>
      <c r="D1" s="78" t="s">
        <v>937</v>
      </c>
      <c r="E1" s="78" t="s">
        <v>234</v>
      </c>
      <c r="F1" s="78" t="s">
        <v>938</v>
      </c>
      <c r="G1" s="78" t="s">
        <v>939</v>
      </c>
      <c r="H1" s="78" t="s">
        <v>940</v>
      </c>
      <c r="I1" s="78" t="s">
        <v>941</v>
      </c>
      <c r="J1" s="78" t="s">
        <v>942</v>
      </c>
      <c r="K1" s="78" t="s">
        <v>943</v>
      </c>
      <c r="L1" s="78" t="s">
        <v>944</v>
      </c>
      <c r="M1" s="78" t="s">
        <v>945</v>
      </c>
      <c r="N1" s="78" t="s">
        <v>946</v>
      </c>
      <c r="O1" s="78" t="s">
        <v>947</v>
      </c>
    </row>
    <row r="2" spans="1:15" ht="22.95" customHeight="1" x14ac:dyDescent="0.3">
      <c r="A2" s="79" t="s">
        <v>190</v>
      </c>
      <c r="B2" s="79" t="s">
        <v>240</v>
      </c>
      <c r="C2" s="79" t="s">
        <v>241</v>
      </c>
      <c r="D2" s="79" t="s">
        <v>948</v>
      </c>
      <c r="E2" s="80" t="s">
        <v>949</v>
      </c>
      <c r="F2" s="80" t="s">
        <v>950</v>
      </c>
      <c r="G2" s="80" t="s">
        <v>951</v>
      </c>
      <c r="H2" s="80" t="s">
        <v>952</v>
      </c>
      <c r="I2" s="80" t="s">
        <v>953</v>
      </c>
      <c r="J2" s="80" t="s">
        <v>954</v>
      </c>
      <c r="K2" s="80" t="s">
        <v>955</v>
      </c>
      <c r="L2" s="80" t="s">
        <v>956</v>
      </c>
      <c r="M2" s="80" t="s">
        <v>957</v>
      </c>
      <c r="N2" s="80" t="s">
        <v>958</v>
      </c>
      <c r="O2" s="80" t="s">
        <v>959</v>
      </c>
    </row>
    <row r="3" spans="1:15" ht="22.95" customHeight="1" x14ac:dyDescent="0.3">
      <c r="A3" s="79" t="s">
        <v>191</v>
      </c>
      <c r="B3" s="79" t="s">
        <v>240</v>
      </c>
      <c r="C3" s="79" t="s">
        <v>242</v>
      </c>
      <c r="D3" s="79" t="s">
        <v>960</v>
      </c>
      <c r="E3" s="80" t="s">
        <v>949</v>
      </c>
      <c r="F3" s="80" t="s">
        <v>961</v>
      </c>
      <c r="G3" s="80" t="s">
        <v>962</v>
      </c>
      <c r="H3" s="80" t="s">
        <v>963</v>
      </c>
      <c r="I3" s="80" t="s">
        <v>964</v>
      </c>
      <c r="J3" s="80" t="s">
        <v>965</v>
      </c>
      <c r="K3" s="80" t="s">
        <v>966</v>
      </c>
      <c r="L3" s="80" t="s">
        <v>967</v>
      </c>
      <c r="M3" s="80" t="s">
        <v>968</v>
      </c>
      <c r="N3" s="80" t="s">
        <v>969</v>
      </c>
      <c r="O3" s="80" t="s">
        <v>970</v>
      </c>
    </row>
    <row r="4" spans="1:15" ht="22.95" customHeight="1" x14ac:dyDescent="0.3">
      <c r="A4" s="79" t="s">
        <v>192</v>
      </c>
      <c r="B4" s="79" t="s">
        <v>240</v>
      </c>
      <c r="C4" s="79" t="s">
        <v>243</v>
      </c>
      <c r="D4" s="79" t="s">
        <v>971</v>
      </c>
      <c r="E4" s="80" t="s">
        <v>949</v>
      </c>
      <c r="F4" s="80" t="s">
        <v>972</v>
      </c>
      <c r="G4" s="80" t="s">
        <v>973</v>
      </c>
      <c r="H4" s="80" t="s">
        <v>974</v>
      </c>
      <c r="I4" s="80" t="s">
        <v>975</v>
      </c>
      <c r="J4" s="80" t="s">
        <v>976</v>
      </c>
      <c r="K4" s="80" t="s">
        <v>977</v>
      </c>
      <c r="L4" s="80" t="s">
        <v>978</v>
      </c>
      <c r="M4" s="80" t="s">
        <v>979</v>
      </c>
      <c r="N4" s="80" t="s">
        <v>980</v>
      </c>
      <c r="O4" s="80" t="s">
        <v>981</v>
      </c>
    </row>
    <row r="5" spans="1:15" ht="22.95" customHeight="1" x14ac:dyDescent="0.3">
      <c r="A5" s="79" t="s">
        <v>193</v>
      </c>
      <c r="B5" s="79" t="s">
        <v>240</v>
      </c>
      <c r="C5" s="79" t="s">
        <v>244</v>
      </c>
      <c r="D5" s="79" t="s">
        <v>982</v>
      </c>
      <c r="E5" s="80" t="s">
        <v>949</v>
      </c>
      <c r="F5" s="80" t="s">
        <v>983</v>
      </c>
      <c r="G5" s="80" t="s">
        <v>984</v>
      </c>
      <c r="H5" s="80" t="s">
        <v>985</v>
      </c>
      <c r="I5" s="80" t="s">
        <v>986</v>
      </c>
      <c r="J5" s="80" t="s">
        <v>987</v>
      </c>
      <c r="K5" s="80" t="s">
        <v>988</v>
      </c>
      <c r="L5" s="80" t="s">
        <v>989</v>
      </c>
      <c r="M5" s="80" t="s">
        <v>990</v>
      </c>
      <c r="N5" s="80" t="s">
        <v>991</v>
      </c>
      <c r="O5" s="80" t="s">
        <v>992</v>
      </c>
    </row>
    <row r="6" spans="1:15" ht="22.95" customHeight="1" x14ac:dyDescent="0.3">
      <c r="A6" s="79" t="s">
        <v>194</v>
      </c>
      <c r="B6" s="79" t="s">
        <v>240</v>
      </c>
      <c r="C6" s="79" t="s">
        <v>993</v>
      </c>
      <c r="D6" s="79" t="s">
        <v>994</v>
      </c>
      <c r="E6" s="80" t="s">
        <v>949</v>
      </c>
      <c r="F6" s="80" t="s">
        <v>995</v>
      </c>
      <c r="G6" s="80" t="s">
        <v>996</v>
      </c>
      <c r="H6" s="80" t="s">
        <v>997</v>
      </c>
      <c r="I6" s="80" t="s">
        <v>998</v>
      </c>
      <c r="J6" s="80" t="s">
        <v>999</v>
      </c>
      <c r="K6" s="80" t="s">
        <v>1000</v>
      </c>
      <c r="L6" s="80" t="s">
        <v>1001</v>
      </c>
      <c r="M6" s="80" t="s">
        <v>1002</v>
      </c>
      <c r="N6" s="80" t="s">
        <v>1003</v>
      </c>
      <c r="O6" s="80" t="s">
        <v>1004</v>
      </c>
    </row>
    <row r="7" spans="1:15" ht="22.95" customHeight="1" x14ac:dyDescent="0.3">
      <c r="A7" s="79" t="s">
        <v>195</v>
      </c>
      <c r="B7" s="79" t="s">
        <v>246</v>
      </c>
      <c r="C7" s="79" t="s">
        <v>247</v>
      </c>
      <c r="D7" s="79" t="s">
        <v>1005</v>
      </c>
      <c r="E7" s="80" t="s">
        <v>949</v>
      </c>
      <c r="F7" s="80" t="s">
        <v>1006</v>
      </c>
      <c r="G7" s="80" t="s">
        <v>1007</v>
      </c>
      <c r="H7" s="80" t="s">
        <v>1008</v>
      </c>
      <c r="I7" s="80" t="s">
        <v>1009</v>
      </c>
      <c r="J7" s="80" t="s">
        <v>1010</v>
      </c>
      <c r="K7" s="80" t="s">
        <v>1011</v>
      </c>
      <c r="L7" s="80" t="s">
        <v>1012</v>
      </c>
      <c r="M7" s="80" t="s">
        <v>1013</v>
      </c>
      <c r="N7" s="80" t="s">
        <v>1014</v>
      </c>
      <c r="O7" s="80" t="s">
        <v>1015</v>
      </c>
    </row>
    <row r="8" spans="1:15" ht="22.95" customHeight="1" x14ac:dyDescent="0.3">
      <c r="A8" s="79" t="s">
        <v>196</v>
      </c>
      <c r="B8" s="79" t="s">
        <v>246</v>
      </c>
      <c r="C8" s="79" t="s">
        <v>248</v>
      </c>
      <c r="D8" s="79" t="s">
        <v>1016</v>
      </c>
      <c r="E8" s="80" t="s">
        <v>949</v>
      </c>
      <c r="F8" s="80" t="s">
        <v>1017</v>
      </c>
      <c r="G8" s="80" t="s">
        <v>1018</v>
      </c>
      <c r="H8" s="80" t="s">
        <v>1019</v>
      </c>
      <c r="I8" s="80" t="s">
        <v>1020</v>
      </c>
      <c r="J8" s="80" t="s">
        <v>1021</v>
      </c>
      <c r="K8" s="80" t="s">
        <v>1022</v>
      </c>
      <c r="L8" s="80" t="s">
        <v>1023</v>
      </c>
      <c r="M8" s="80" t="s">
        <v>1024</v>
      </c>
      <c r="N8" s="80" t="s">
        <v>1025</v>
      </c>
      <c r="O8" s="80" t="s">
        <v>1026</v>
      </c>
    </row>
    <row r="9" spans="1:15" ht="22.95" customHeight="1" x14ac:dyDescent="0.3">
      <c r="A9" s="79" t="s">
        <v>197</v>
      </c>
      <c r="B9" s="79" t="s">
        <v>246</v>
      </c>
      <c r="C9" s="79" t="s">
        <v>249</v>
      </c>
      <c r="D9" s="79" t="s">
        <v>1027</v>
      </c>
      <c r="E9" s="80" t="s">
        <v>949</v>
      </c>
      <c r="F9" s="80" t="s">
        <v>1028</v>
      </c>
      <c r="G9" s="80" t="s">
        <v>1029</v>
      </c>
      <c r="H9" s="80" t="s">
        <v>1030</v>
      </c>
      <c r="I9" s="80" t="s">
        <v>1031</v>
      </c>
      <c r="J9" s="80" t="s">
        <v>1032</v>
      </c>
      <c r="K9" s="80" t="s">
        <v>1033</v>
      </c>
      <c r="L9" s="80" t="s">
        <v>1034</v>
      </c>
      <c r="M9" s="80" t="s">
        <v>1035</v>
      </c>
      <c r="N9" s="80" t="s">
        <v>1036</v>
      </c>
      <c r="O9" s="80" t="s">
        <v>1037</v>
      </c>
    </row>
    <row r="10" spans="1:15" ht="22.95" customHeight="1" x14ac:dyDescent="0.3">
      <c r="A10" s="79" t="s">
        <v>198</v>
      </c>
      <c r="B10" s="79" t="s">
        <v>246</v>
      </c>
      <c r="C10" s="79" t="s">
        <v>250</v>
      </c>
      <c r="D10" s="79" t="s">
        <v>1038</v>
      </c>
      <c r="E10" s="80" t="s">
        <v>949</v>
      </c>
      <c r="F10" s="80" t="s">
        <v>1039</v>
      </c>
      <c r="G10" s="80" t="s">
        <v>1040</v>
      </c>
      <c r="H10" s="80" t="s">
        <v>1041</v>
      </c>
      <c r="I10" s="80" t="s">
        <v>1042</v>
      </c>
      <c r="J10" s="80" t="s">
        <v>1043</v>
      </c>
      <c r="K10" s="80" t="s">
        <v>1044</v>
      </c>
      <c r="L10" s="80" t="s">
        <v>1045</v>
      </c>
      <c r="M10" s="80" t="s">
        <v>1046</v>
      </c>
      <c r="N10" s="80" t="s">
        <v>1047</v>
      </c>
      <c r="O10" s="80" t="s">
        <v>1048</v>
      </c>
    </row>
    <row r="11" spans="1:15" ht="22.95" customHeight="1" x14ac:dyDescent="0.3">
      <c r="A11" s="79" t="s">
        <v>199</v>
      </c>
      <c r="B11" s="79" t="s">
        <v>246</v>
      </c>
      <c r="C11" s="79" t="s">
        <v>251</v>
      </c>
      <c r="D11" s="79" t="s">
        <v>1049</v>
      </c>
      <c r="E11" s="80" t="s">
        <v>949</v>
      </c>
      <c r="F11" s="80" t="s">
        <v>1050</v>
      </c>
      <c r="G11" s="80" t="s">
        <v>1051</v>
      </c>
      <c r="H11" s="80" t="s">
        <v>1052</v>
      </c>
      <c r="I11" s="80" t="s">
        <v>1053</v>
      </c>
      <c r="J11" s="80" t="s">
        <v>1054</v>
      </c>
      <c r="K11" s="80" t="s">
        <v>1055</v>
      </c>
      <c r="L11" s="80" t="s">
        <v>1056</v>
      </c>
      <c r="M11" s="80" t="s">
        <v>1057</v>
      </c>
      <c r="N11" s="80" t="s">
        <v>1058</v>
      </c>
      <c r="O11" s="80" t="s">
        <v>1059</v>
      </c>
    </row>
    <row r="12" spans="1:15" x14ac:dyDescent="0.3">
      <c r="A12" s="80" t="s">
        <v>200</v>
      </c>
      <c r="B12" s="80" t="s">
        <v>246</v>
      </c>
      <c r="C12" s="80" t="s">
        <v>252</v>
      </c>
      <c r="D12" s="80" t="s">
        <v>1060</v>
      </c>
      <c r="E12" s="80" t="s">
        <v>949</v>
      </c>
      <c r="F12" s="80" t="s">
        <v>1061</v>
      </c>
      <c r="G12" s="80" t="s">
        <v>1062</v>
      </c>
      <c r="H12" s="80" t="s">
        <v>1063</v>
      </c>
      <c r="I12" s="80" t="s">
        <v>1064</v>
      </c>
      <c r="J12" s="80" t="s">
        <v>1065</v>
      </c>
      <c r="K12" s="80" t="s">
        <v>1066</v>
      </c>
      <c r="L12" s="80" t="s">
        <v>1067</v>
      </c>
      <c r="M12" s="80" t="s">
        <v>1068</v>
      </c>
      <c r="N12" s="80" t="s">
        <v>1069</v>
      </c>
      <c r="O12" s="80" t="s">
        <v>1070</v>
      </c>
    </row>
    <row r="13" spans="1:15" x14ac:dyDescent="0.3">
      <c r="A13" s="80" t="s">
        <v>201</v>
      </c>
      <c r="B13" s="80" t="s">
        <v>246</v>
      </c>
      <c r="C13" s="80" t="s">
        <v>253</v>
      </c>
      <c r="D13" s="80" t="s">
        <v>1071</v>
      </c>
      <c r="E13" s="80" t="s">
        <v>949</v>
      </c>
      <c r="F13" s="80" t="s">
        <v>1072</v>
      </c>
      <c r="G13" s="80" t="s">
        <v>1073</v>
      </c>
      <c r="H13" s="80" t="s">
        <v>1074</v>
      </c>
      <c r="I13" s="80" t="s">
        <v>1075</v>
      </c>
      <c r="J13" s="80" t="s">
        <v>1076</v>
      </c>
      <c r="K13" s="80" t="s">
        <v>1077</v>
      </c>
      <c r="L13" s="80" t="s">
        <v>1078</v>
      </c>
      <c r="M13" s="80" t="s">
        <v>1079</v>
      </c>
      <c r="N13" s="80" t="s">
        <v>1080</v>
      </c>
      <c r="O13" s="80" t="s">
        <v>1081</v>
      </c>
    </row>
    <row r="14" spans="1:15" x14ac:dyDescent="0.3">
      <c r="A14" s="80" t="s">
        <v>202</v>
      </c>
      <c r="B14" s="80" t="s">
        <v>254</v>
      </c>
      <c r="C14" s="80" t="s">
        <v>255</v>
      </c>
      <c r="D14" s="80" t="s">
        <v>1082</v>
      </c>
      <c r="E14" s="80" t="s">
        <v>949</v>
      </c>
      <c r="F14" s="80" t="s">
        <v>1083</v>
      </c>
      <c r="G14" s="80" t="s">
        <v>1084</v>
      </c>
      <c r="H14" s="80" t="s">
        <v>1085</v>
      </c>
      <c r="I14" s="80" t="s">
        <v>1086</v>
      </c>
      <c r="J14" s="80" t="s">
        <v>1087</v>
      </c>
      <c r="K14" s="80" t="s">
        <v>1088</v>
      </c>
      <c r="L14" s="80" t="s">
        <v>1089</v>
      </c>
      <c r="M14" s="80" t="s">
        <v>1090</v>
      </c>
      <c r="N14" s="80" t="s">
        <v>1091</v>
      </c>
      <c r="O14" s="80" t="s">
        <v>1092</v>
      </c>
    </row>
    <row r="15" spans="1:15" x14ac:dyDescent="0.3">
      <c r="A15" s="80" t="s">
        <v>203</v>
      </c>
      <c r="B15" s="80" t="s">
        <v>254</v>
      </c>
      <c r="C15" s="80" t="s">
        <v>256</v>
      </c>
      <c r="D15" s="80" t="s">
        <v>1093</v>
      </c>
      <c r="E15" s="80" t="s">
        <v>949</v>
      </c>
      <c r="F15" s="80" t="s">
        <v>1094</v>
      </c>
      <c r="G15" s="80" t="s">
        <v>1095</v>
      </c>
      <c r="H15" s="80" t="s">
        <v>1096</v>
      </c>
      <c r="I15" s="80" t="s">
        <v>1097</v>
      </c>
      <c r="J15" s="80" t="s">
        <v>1098</v>
      </c>
      <c r="K15" s="80" t="s">
        <v>1099</v>
      </c>
      <c r="L15" s="80" t="s">
        <v>1100</v>
      </c>
      <c r="M15" s="80" t="s">
        <v>1101</v>
      </c>
      <c r="N15" s="80" t="s">
        <v>1102</v>
      </c>
      <c r="O15" s="80" t="s">
        <v>1103</v>
      </c>
    </row>
    <row r="16" spans="1:15" x14ac:dyDescent="0.3">
      <c r="A16" s="80" t="s">
        <v>204</v>
      </c>
      <c r="B16" s="80" t="s">
        <v>254</v>
      </c>
      <c r="C16" s="80" t="s">
        <v>257</v>
      </c>
      <c r="D16" s="80" t="s">
        <v>1104</v>
      </c>
      <c r="E16" s="80" t="s">
        <v>949</v>
      </c>
      <c r="F16" s="80" t="s">
        <v>1105</v>
      </c>
      <c r="G16" s="80" t="s">
        <v>1106</v>
      </c>
      <c r="H16" s="80" t="s">
        <v>1107</v>
      </c>
      <c r="I16" s="80" t="s">
        <v>1108</v>
      </c>
      <c r="J16" s="80" t="s">
        <v>1109</v>
      </c>
      <c r="K16" s="80" t="s">
        <v>1110</v>
      </c>
      <c r="L16" s="80" t="s">
        <v>1111</v>
      </c>
      <c r="M16" s="80" t="s">
        <v>1112</v>
      </c>
      <c r="N16" s="80" t="s">
        <v>1113</v>
      </c>
      <c r="O16" s="80" t="s">
        <v>1114</v>
      </c>
    </row>
    <row r="17" spans="1:15" x14ac:dyDescent="0.3">
      <c r="A17" s="80" t="s">
        <v>205</v>
      </c>
      <c r="B17" s="80" t="s">
        <v>254</v>
      </c>
      <c r="C17" s="80" t="s">
        <v>258</v>
      </c>
      <c r="D17" s="80" t="s">
        <v>1115</v>
      </c>
      <c r="E17" s="80" t="s">
        <v>949</v>
      </c>
      <c r="F17" s="80" t="s">
        <v>1116</v>
      </c>
      <c r="G17" s="80" t="s">
        <v>1117</v>
      </c>
      <c r="H17" s="80" t="s">
        <v>1118</v>
      </c>
      <c r="I17" s="80" t="s">
        <v>1119</v>
      </c>
      <c r="J17" s="80" t="s">
        <v>1120</v>
      </c>
      <c r="K17" s="80" t="s">
        <v>1121</v>
      </c>
      <c r="L17" s="80" t="s">
        <v>1122</v>
      </c>
      <c r="M17" s="80" t="s">
        <v>1123</v>
      </c>
      <c r="N17" s="80" t="s">
        <v>1124</v>
      </c>
      <c r="O17" s="80" t="s">
        <v>1125</v>
      </c>
    </row>
    <row r="18" spans="1:15" x14ac:dyDescent="0.3">
      <c r="A18" s="80" t="s">
        <v>206</v>
      </c>
      <c r="B18" s="80" t="s">
        <v>254</v>
      </c>
      <c r="C18" s="80" t="s">
        <v>259</v>
      </c>
      <c r="D18" s="80" t="s">
        <v>1126</v>
      </c>
      <c r="E18" s="80" t="s">
        <v>949</v>
      </c>
      <c r="F18" s="80" t="s">
        <v>1127</v>
      </c>
      <c r="G18" s="80" t="s">
        <v>1128</v>
      </c>
      <c r="H18" s="80" t="s">
        <v>1129</v>
      </c>
      <c r="I18" s="80" t="s">
        <v>1130</v>
      </c>
      <c r="J18" s="80" t="s">
        <v>1131</v>
      </c>
      <c r="K18" s="80" t="s">
        <v>1132</v>
      </c>
      <c r="L18" s="80" t="s">
        <v>1133</v>
      </c>
      <c r="M18" s="80" t="s">
        <v>1134</v>
      </c>
      <c r="N18" s="80" t="s">
        <v>1135</v>
      </c>
      <c r="O18" s="80" t="s">
        <v>1136</v>
      </c>
    </row>
    <row r="19" spans="1:15" x14ac:dyDescent="0.3">
      <c r="A19" s="80" t="s">
        <v>207</v>
      </c>
      <c r="B19" s="80" t="s">
        <v>254</v>
      </c>
      <c r="C19" s="80" t="s">
        <v>260</v>
      </c>
      <c r="D19" s="80" t="s">
        <v>1137</v>
      </c>
      <c r="E19" s="80" t="s">
        <v>949</v>
      </c>
      <c r="F19" s="80" t="s">
        <v>1138</v>
      </c>
      <c r="G19" s="80" t="s">
        <v>1139</v>
      </c>
      <c r="H19" s="80" t="s">
        <v>1140</v>
      </c>
      <c r="I19" s="80" t="s">
        <v>1141</v>
      </c>
      <c r="J19" s="80" t="s">
        <v>1142</v>
      </c>
      <c r="K19" s="80" t="s">
        <v>1143</v>
      </c>
      <c r="L19" s="80" t="s">
        <v>1144</v>
      </c>
      <c r="M19" s="80" t="s">
        <v>1145</v>
      </c>
      <c r="N19" s="80" t="s">
        <v>1146</v>
      </c>
      <c r="O19" s="80" t="s">
        <v>1147</v>
      </c>
    </row>
    <row r="20" spans="1:15" x14ac:dyDescent="0.3">
      <c r="A20" s="80" t="s">
        <v>208</v>
      </c>
      <c r="B20" s="80" t="s">
        <v>254</v>
      </c>
      <c r="C20" s="80" t="s">
        <v>261</v>
      </c>
      <c r="D20" s="80" t="s">
        <v>1148</v>
      </c>
      <c r="E20" s="80" t="s">
        <v>949</v>
      </c>
      <c r="F20" s="80" t="s">
        <v>1149</v>
      </c>
      <c r="G20" s="80" t="s">
        <v>1150</v>
      </c>
      <c r="H20" s="80" t="s">
        <v>1151</v>
      </c>
      <c r="I20" s="80" t="s">
        <v>1152</v>
      </c>
      <c r="J20" s="80" t="s">
        <v>1153</v>
      </c>
      <c r="K20" s="80" t="s">
        <v>1154</v>
      </c>
      <c r="L20" s="80" t="s">
        <v>1155</v>
      </c>
      <c r="M20" s="80" t="s">
        <v>1156</v>
      </c>
      <c r="N20" s="80" t="s">
        <v>1157</v>
      </c>
      <c r="O20" s="80" t="s">
        <v>1158</v>
      </c>
    </row>
    <row r="21" spans="1:15" x14ac:dyDescent="0.3">
      <c r="A21" s="80" t="s">
        <v>209</v>
      </c>
      <c r="B21" s="80" t="s">
        <v>48</v>
      </c>
      <c r="C21" s="80" t="s">
        <v>262</v>
      </c>
      <c r="D21" s="80" t="s">
        <v>1159</v>
      </c>
      <c r="E21" s="80" t="s">
        <v>949</v>
      </c>
      <c r="F21" s="80" t="s">
        <v>1160</v>
      </c>
      <c r="G21" s="80" t="s">
        <v>1161</v>
      </c>
      <c r="H21" s="80" t="s">
        <v>1162</v>
      </c>
      <c r="I21" s="80" t="s">
        <v>1163</v>
      </c>
      <c r="J21" s="80" t="s">
        <v>1164</v>
      </c>
      <c r="K21" s="80" t="s">
        <v>1165</v>
      </c>
      <c r="L21" s="80" t="s">
        <v>1166</v>
      </c>
      <c r="M21" s="80" t="s">
        <v>1167</v>
      </c>
      <c r="N21" s="80" t="s">
        <v>1168</v>
      </c>
      <c r="O21" s="80" t="s">
        <v>1169</v>
      </c>
    </row>
    <row r="22" spans="1:15" x14ac:dyDescent="0.3">
      <c r="A22" s="80" t="s">
        <v>210</v>
      </c>
      <c r="B22" s="80" t="s">
        <v>48</v>
      </c>
      <c r="C22" s="80" t="s">
        <v>263</v>
      </c>
      <c r="D22" s="80" t="s">
        <v>1170</v>
      </c>
      <c r="E22" s="80" t="s">
        <v>949</v>
      </c>
      <c r="F22" s="80" t="s">
        <v>1171</v>
      </c>
      <c r="G22" s="80" t="s">
        <v>1172</v>
      </c>
      <c r="H22" s="80" t="s">
        <v>1173</v>
      </c>
      <c r="I22" s="80" t="s">
        <v>1174</v>
      </c>
      <c r="J22" s="80" t="s">
        <v>1175</v>
      </c>
      <c r="K22" s="80" t="s">
        <v>1176</v>
      </c>
      <c r="L22" s="80" t="s">
        <v>1177</v>
      </c>
      <c r="M22" s="80" t="s">
        <v>1178</v>
      </c>
      <c r="N22" s="80" t="s">
        <v>1179</v>
      </c>
      <c r="O22" s="80" t="s">
        <v>1180</v>
      </c>
    </row>
    <row r="23" spans="1:15" x14ac:dyDescent="0.3">
      <c r="A23" s="80" t="s">
        <v>211</v>
      </c>
      <c r="B23" s="80" t="s">
        <v>48</v>
      </c>
      <c r="C23" s="80" t="s">
        <v>264</v>
      </c>
      <c r="D23" s="80" t="s">
        <v>1181</v>
      </c>
      <c r="E23" s="80" t="s">
        <v>949</v>
      </c>
      <c r="F23" s="80" t="s">
        <v>1182</v>
      </c>
      <c r="G23" s="80" t="s">
        <v>1183</v>
      </c>
      <c r="H23" s="80" t="s">
        <v>1184</v>
      </c>
      <c r="I23" s="80" t="s">
        <v>1185</v>
      </c>
      <c r="J23" s="80" t="s">
        <v>1186</v>
      </c>
      <c r="K23" s="80" t="s">
        <v>1187</v>
      </c>
      <c r="L23" s="80" t="s">
        <v>1188</v>
      </c>
      <c r="M23" s="80" t="s">
        <v>1189</v>
      </c>
      <c r="N23" s="80" t="s">
        <v>1190</v>
      </c>
      <c r="O23" s="80" t="s">
        <v>1191</v>
      </c>
    </row>
    <row r="24" spans="1:15" x14ac:dyDescent="0.3">
      <c r="A24" s="80" t="s">
        <v>212</v>
      </c>
      <c r="B24" s="80" t="s">
        <v>48</v>
      </c>
      <c r="C24" s="80" t="s">
        <v>265</v>
      </c>
      <c r="D24" s="80" t="s">
        <v>1192</v>
      </c>
      <c r="E24" s="80" t="s">
        <v>949</v>
      </c>
      <c r="F24" s="80" t="s">
        <v>1193</v>
      </c>
      <c r="G24" s="80" t="s">
        <v>1194</v>
      </c>
      <c r="H24" s="80" t="s">
        <v>1195</v>
      </c>
      <c r="I24" s="80" t="s">
        <v>1196</v>
      </c>
      <c r="J24" s="80" t="s">
        <v>1197</v>
      </c>
      <c r="K24" s="80" t="s">
        <v>1198</v>
      </c>
      <c r="L24" s="80" t="s">
        <v>1199</v>
      </c>
      <c r="M24" s="80" t="s">
        <v>1200</v>
      </c>
      <c r="N24" s="80" t="s">
        <v>1201</v>
      </c>
      <c r="O24" s="80" t="s">
        <v>1202</v>
      </c>
    </row>
    <row r="25" spans="1:15" x14ac:dyDescent="0.3">
      <c r="A25" s="80" t="s">
        <v>213</v>
      </c>
      <c r="B25" s="80" t="s">
        <v>48</v>
      </c>
      <c r="C25" s="80" t="s">
        <v>266</v>
      </c>
      <c r="D25" s="80" t="s">
        <v>1203</v>
      </c>
      <c r="E25" s="80" t="s">
        <v>949</v>
      </c>
      <c r="F25" s="80" t="s">
        <v>1204</v>
      </c>
      <c r="G25" s="80" t="s">
        <v>1205</v>
      </c>
      <c r="H25" s="80" t="s">
        <v>1206</v>
      </c>
      <c r="I25" s="80" t="s">
        <v>1207</v>
      </c>
      <c r="J25" s="80" t="s">
        <v>1208</v>
      </c>
      <c r="K25" s="80" t="s">
        <v>1209</v>
      </c>
      <c r="L25" s="80" t="s">
        <v>1210</v>
      </c>
      <c r="M25" s="80" t="s">
        <v>1211</v>
      </c>
      <c r="N25" s="80" t="s">
        <v>1212</v>
      </c>
      <c r="O25" s="80" t="s">
        <v>1213</v>
      </c>
    </row>
    <row r="26" spans="1:15" x14ac:dyDescent="0.3">
      <c r="A26" s="80" t="s">
        <v>214</v>
      </c>
      <c r="B26" s="80" t="s">
        <v>48</v>
      </c>
      <c r="C26" s="80" t="s">
        <v>267</v>
      </c>
      <c r="D26" s="80" t="s">
        <v>1214</v>
      </c>
      <c r="E26" s="80" t="s">
        <v>949</v>
      </c>
      <c r="F26" s="80" t="s">
        <v>1215</v>
      </c>
      <c r="G26" s="80" t="s">
        <v>1216</v>
      </c>
      <c r="H26" s="80" t="s">
        <v>1217</v>
      </c>
      <c r="I26" s="80" t="s">
        <v>1218</v>
      </c>
      <c r="J26" s="80" t="s">
        <v>1219</v>
      </c>
      <c r="K26" s="80" t="s">
        <v>1220</v>
      </c>
      <c r="L26" s="80" t="s">
        <v>1221</v>
      </c>
      <c r="M26" s="80" t="s">
        <v>1222</v>
      </c>
      <c r="N26" s="80" t="s">
        <v>1223</v>
      </c>
      <c r="O26" s="80" t="s">
        <v>1224</v>
      </c>
    </row>
    <row r="27" spans="1:15" x14ac:dyDescent="0.3">
      <c r="A27" s="80" t="s">
        <v>215</v>
      </c>
      <c r="B27" s="80" t="s">
        <v>48</v>
      </c>
      <c r="C27" s="80" t="s">
        <v>268</v>
      </c>
      <c r="D27" s="80" t="s">
        <v>1225</v>
      </c>
      <c r="E27" s="80" t="s">
        <v>949</v>
      </c>
      <c r="F27" s="80" t="s">
        <v>1226</v>
      </c>
      <c r="G27" s="80" t="s">
        <v>1227</v>
      </c>
      <c r="H27" s="80" t="s">
        <v>1228</v>
      </c>
      <c r="I27" s="80" t="s">
        <v>1229</v>
      </c>
      <c r="J27" s="80" t="s">
        <v>1230</v>
      </c>
      <c r="K27" s="80" t="s">
        <v>1231</v>
      </c>
      <c r="L27" s="80" t="s">
        <v>1232</v>
      </c>
      <c r="M27" s="80" t="s">
        <v>1233</v>
      </c>
      <c r="N27" s="80" t="s">
        <v>1234</v>
      </c>
      <c r="O27" s="80" t="s">
        <v>1235</v>
      </c>
    </row>
    <row r="28" spans="1:15" x14ac:dyDescent="0.3">
      <c r="A28" s="80" t="s">
        <v>216</v>
      </c>
      <c r="B28" s="80" t="s">
        <v>269</v>
      </c>
      <c r="C28" s="80" t="s">
        <v>270</v>
      </c>
      <c r="D28" s="80" t="s">
        <v>1236</v>
      </c>
      <c r="E28" s="80" t="s">
        <v>949</v>
      </c>
      <c r="F28" s="80" t="s">
        <v>1237</v>
      </c>
      <c r="G28" s="80" t="s">
        <v>1238</v>
      </c>
      <c r="H28" s="80" t="s">
        <v>1239</v>
      </c>
      <c r="I28" s="80" t="s">
        <v>1240</v>
      </c>
      <c r="J28" s="80" t="s">
        <v>1241</v>
      </c>
      <c r="K28" s="80" t="s">
        <v>1242</v>
      </c>
      <c r="L28" s="80" t="s">
        <v>1243</v>
      </c>
      <c r="M28" s="80" t="s">
        <v>1244</v>
      </c>
      <c r="N28" s="80" t="s">
        <v>1245</v>
      </c>
      <c r="O28" s="80" t="s">
        <v>1246</v>
      </c>
    </row>
    <row r="29" spans="1:15" x14ac:dyDescent="0.3">
      <c r="A29" s="80" t="s">
        <v>217</v>
      </c>
      <c r="B29" s="80" t="s">
        <v>269</v>
      </c>
      <c r="C29" s="80" t="s">
        <v>271</v>
      </c>
      <c r="D29" s="80" t="s">
        <v>1247</v>
      </c>
      <c r="E29" s="80" t="s">
        <v>949</v>
      </c>
      <c r="F29" s="80" t="s">
        <v>1248</v>
      </c>
      <c r="G29" s="80" t="s">
        <v>1249</v>
      </c>
      <c r="H29" s="80" t="s">
        <v>1250</v>
      </c>
      <c r="I29" s="80" t="s">
        <v>1251</v>
      </c>
      <c r="J29" s="80" t="s">
        <v>1252</v>
      </c>
      <c r="K29" s="80" t="s">
        <v>1253</v>
      </c>
      <c r="L29" s="80" t="s">
        <v>1254</v>
      </c>
      <c r="M29" s="80" t="s">
        <v>1255</v>
      </c>
      <c r="N29" s="80" t="s">
        <v>1256</v>
      </c>
      <c r="O29" s="80" t="s">
        <v>1257</v>
      </c>
    </row>
    <row r="30" spans="1:15" x14ac:dyDescent="0.3">
      <c r="A30" s="80" t="s">
        <v>218</v>
      </c>
      <c r="B30" s="80" t="s">
        <v>269</v>
      </c>
      <c r="C30" s="80" t="s">
        <v>272</v>
      </c>
      <c r="D30" s="80" t="s">
        <v>1258</v>
      </c>
      <c r="E30" s="80" t="s">
        <v>949</v>
      </c>
      <c r="F30" s="80" t="s">
        <v>1259</v>
      </c>
      <c r="G30" s="80" t="s">
        <v>1260</v>
      </c>
      <c r="H30" s="80" t="s">
        <v>1261</v>
      </c>
      <c r="I30" s="80" t="s">
        <v>1262</v>
      </c>
      <c r="J30" s="80" t="s">
        <v>1263</v>
      </c>
      <c r="K30" s="80" t="s">
        <v>1264</v>
      </c>
      <c r="L30" s="80" t="s">
        <v>1265</v>
      </c>
      <c r="M30" s="80" t="s">
        <v>1266</v>
      </c>
      <c r="N30" s="80" t="s">
        <v>1267</v>
      </c>
      <c r="O30" s="80" t="s">
        <v>1268</v>
      </c>
    </row>
    <row r="31" spans="1:15" x14ac:dyDescent="0.3">
      <c r="A31" s="80" t="s">
        <v>219</v>
      </c>
      <c r="B31" s="80" t="s">
        <v>269</v>
      </c>
      <c r="C31" s="80" t="s">
        <v>273</v>
      </c>
      <c r="D31" s="80" t="s">
        <v>1269</v>
      </c>
      <c r="E31" s="80" t="s">
        <v>949</v>
      </c>
      <c r="F31" s="80" t="s">
        <v>1270</v>
      </c>
      <c r="G31" s="80" t="s">
        <v>1271</v>
      </c>
      <c r="H31" s="80" t="s">
        <v>1272</v>
      </c>
      <c r="I31" s="80" t="s">
        <v>1273</v>
      </c>
      <c r="J31" s="80" t="s">
        <v>1274</v>
      </c>
      <c r="K31" s="80" t="s">
        <v>1275</v>
      </c>
      <c r="L31" s="80" t="s">
        <v>1276</v>
      </c>
      <c r="M31" s="80" t="s">
        <v>1277</v>
      </c>
      <c r="N31" s="80" t="s">
        <v>1278</v>
      </c>
      <c r="O31" s="80" t="s">
        <v>1279</v>
      </c>
    </row>
    <row r="32" spans="1:15" x14ac:dyDescent="0.3">
      <c r="A32" s="80" t="s">
        <v>220</v>
      </c>
      <c r="B32" s="80" t="s">
        <v>269</v>
      </c>
      <c r="C32" s="80" t="s">
        <v>274</v>
      </c>
      <c r="D32" s="80" t="s">
        <v>1280</v>
      </c>
      <c r="E32" s="80" t="s">
        <v>949</v>
      </c>
      <c r="F32" s="80" t="s">
        <v>1281</v>
      </c>
      <c r="G32" s="80" t="s">
        <v>1282</v>
      </c>
      <c r="H32" s="80" t="s">
        <v>1283</v>
      </c>
      <c r="I32" s="80" t="s">
        <v>1284</v>
      </c>
      <c r="J32" s="80" t="s">
        <v>1285</v>
      </c>
      <c r="K32" s="80" t="s">
        <v>1286</v>
      </c>
      <c r="L32" s="80" t="s">
        <v>1287</v>
      </c>
      <c r="M32" s="80" t="s">
        <v>1288</v>
      </c>
      <c r="N32" s="80" t="s">
        <v>1289</v>
      </c>
      <c r="O32" s="80" t="s">
        <v>1290</v>
      </c>
    </row>
    <row r="33" spans="1:15" x14ac:dyDescent="0.3">
      <c r="A33" s="80" t="s">
        <v>221</v>
      </c>
      <c r="B33" s="80" t="s">
        <v>269</v>
      </c>
      <c r="C33" s="80" t="s">
        <v>275</v>
      </c>
      <c r="D33" s="80" t="s">
        <v>1291</v>
      </c>
      <c r="E33" s="80" t="s">
        <v>949</v>
      </c>
      <c r="F33" s="80" t="s">
        <v>1292</v>
      </c>
      <c r="G33" s="80" t="s">
        <v>1293</v>
      </c>
      <c r="H33" s="80" t="s">
        <v>1294</v>
      </c>
      <c r="I33" s="80" t="s">
        <v>1295</v>
      </c>
      <c r="J33" s="80" t="s">
        <v>1296</v>
      </c>
      <c r="K33" s="80" t="s">
        <v>1297</v>
      </c>
      <c r="L33" s="80" t="s">
        <v>1298</v>
      </c>
      <c r="M33" s="80" t="s">
        <v>1299</v>
      </c>
      <c r="N33" s="80" t="s">
        <v>1300</v>
      </c>
      <c r="O33" s="80" t="s">
        <v>1301</v>
      </c>
    </row>
    <row r="34" spans="1:15" x14ac:dyDescent="0.3">
      <c r="A34" s="80" t="s">
        <v>222</v>
      </c>
      <c r="B34" s="80" t="s">
        <v>269</v>
      </c>
      <c r="C34" s="80" t="s">
        <v>276</v>
      </c>
      <c r="D34" s="80" t="s">
        <v>1302</v>
      </c>
      <c r="E34" s="80" t="s">
        <v>949</v>
      </c>
      <c r="F34" s="80" t="s">
        <v>1303</v>
      </c>
      <c r="G34" s="80" t="s">
        <v>1304</v>
      </c>
      <c r="H34" s="80" t="s">
        <v>1305</v>
      </c>
      <c r="I34" s="80" t="s">
        <v>1306</v>
      </c>
      <c r="J34" s="80" t="s">
        <v>1307</v>
      </c>
      <c r="K34" s="80" t="s">
        <v>1308</v>
      </c>
      <c r="L34" s="80" t="s">
        <v>1309</v>
      </c>
      <c r="M34" s="80" t="s">
        <v>1310</v>
      </c>
      <c r="N34" s="80" t="s">
        <v>1311</v>
      </c>
      <c r="O34" s="80" t="s">
        <v>1312</v>
      </c>
    </row>
    <row r="35" spans="1:15" x14ac:dyDescent="0.3">
      <c r="A35" s="80" t="s">
        <v>223</v>
      </c>
      <c r="B35" s="80" t="s">
        <v>277</v>
      </c>
      <c r="C35" s="80" t="s">
        <v>278</v>
      </c>
      <c r="D35" s="80" t="s">
        <v>1313</v>
      </c>
      <c r="E35" s="80" t="s">
        <v>949</v>
      </c>
      <c r="F35" s="80" t="s">
        <v>1314</v>
      </c>
      <c r="G35" s="80" t="s">
        <v>1315</v>
      </c>
      <c r="H35" s="80" t="s">
        <v>1316</v>
      </c>
      <c r="I35" s="80" t="s">
        <v>1317</v>
      </c>
      <c r="J35" s="80" t="s">
        <v>1318</v>
      </c>
      <c r="K35" s="80" t="s">
        <v>1319</v>
      </c>
      <c r="L35" s="80" t="s">
        <v>1320</v>
      </c>
      <c r="M35" s="80" t="s">
        <v>1321</v>
      </c>
      <c r="N35" s="80" t="s">
        <v>1322</v>
      </c>
      <c r="O35" s="80" t="s">
        <v>1323</v>
      </c>
    </row>
    <row r="36" spans="1:15" x14ac:dyDescent="0.3">
      <c r="A36" s="80" t="s">
        <v>224</v>
      </c>
      <c r="B36" s="80" t="s">
        <v>277</v>
      </c>
      <c r="C36" s="80" t="s">
        <v>279</v>
      </c>
      <c r="D36" s="80" t="s">
        <v>1324</v>
      </c>
      <c r="E36" s="80" t="s">
        <v>949</v>
      </c>
      <c r="F36" s="80" t="s">
        <v>1325</v>
      </c>
      <c r="G36" s="80" t="s">
        <v>1326</v>
      </c>
      <c r="H36" s="80" t="s">
        <v>1327</v>
      </c>
      <c r="I36" s="80" t="s">
        <v>1328</v>
      </c>
      <c r="J36" s="80" t="s">
        <v>1329</v>
      </c>
      <c r="K36" s="80" t="s">
        <v>1330</v>
      </c>
      <c r="L36" s="80" t="s">
        <v>1331</v>
      </c>
      <c r="M36" s="80" t="s">
        <v>1332</v>
      </c>
      <c r="N36" s="80" t="s">
        <v>1333</v>
      </c>
      <c r="O36" s="80" t="s">
        <v>1334</v>
      </c>
    </row>
    <row r="37" spans="1:15" x14ac:dyDescent="0.3">
      <c r="A37" s="80" t="s">
        <v>225</v>
      </c>
      <c r="B37" s="80" t="s">
        <v>277</v>
      </c>
      <c r="C37" s="80" t="s">
        <v>280</v>
      </c>
      <c r="D37" s="80" t="s">
        <v>1335</v>
      </c>
      <c r="E37" s="80" t="s">
        <v>949</v>
      </c>
      <c r="F37" s="80" t="s">
        <v>1336</v>
      </c>
      <c r="G37" s="80" t="s">
        <v>1337</v>
      </c>
      <c r="H37" s="80" t="s">
        <v>1338</v>
      </c>
      <c r="I37" s="80" t="s">
        <v>1339</v>
      </c>
      <c r="J37" s="80" t="s">
        <v>1340</v>
      </c>
      <c r="K37" s="80" t="s">
        <v>1341</v>
      </c>
      <c r="L37" s="80" t="s">
        <v>1342</v>
      </c>
      <c r="M37" s="80" t="s">
        <v>1343</v>
      </c>
      <c r="N37" s="80" t="s">
        <v>1344</v>
      </c>
      <c r="O37" s="80" t="s">
        <v>1345</v>
      </c>
    </row>
    <row r="38" spans="1:15" x14ac:dyDescent="0.3">
      <c r="A38" s="80" t="s">
        <v>226</v>
      </c>
      <c r="B38" s="80" t="s">
        <v>277</v>
      </c>
      <c r="C38" s="80" t="s">
        <v>281</v>
      </c>
      <c r="D38" s="80" t="s">
        <v>1346</v>
      </c>
      <c r="E38" s="80" t="s">
        <v>949</v>
      </c>
      <c r="F38" s="80" t="s">
        <v>1347</v>
      </c>
      <c r="G38" s="80" t="s">
        <v>1348</v>
      </c>
      <c r="H38" s="80" t="s">
        <v>1349</v>
      </c>
      <c r="I38" s="80" t="s">
        <v>1350</v>
      </c>
      <c r="J38" s="80" t="s">
        <v>1351</v>
      </c>
      <c r="K38" s="80" t="s">
        <v>1352</v>
      </c>
      <c r="L38" s="80" t="s">
        <v>1353</v>
      </c>
      <c r="M38" s="80" t="s">
        <v>1354</v>
      </c>
      <c r="N38" s="80" t="s">
        <v>1355</v>
      </c>
      <c r="O38" s="80" t="s">
        <v>1356</v>
      </c>
    </row>
    <row r="39" spans="1:15" x14ac:dyDescent="0.3">
      <c r="A39" s="80" t="s">
        <v>227</v>
      </c>
      <c r="B39" s="80" t="s">
        <v>277</v>
      </c>
      <c r="C39" s="80" t="s">
        <v>282</v>
      </c>
      <c r="D39" s="80" t="s">
        <v>1357</v>
      </c>
      <c r="E39" s="80" t="s">
        <v>949</v>
      </c>
      <c r="F39" s="80" t="s">
        <v>1358</v>
      </c>
      <c r="G39" s="80" t="s">
        <v>1359</v>
      </c>
      <c r="H39" s="80" t="s">
        <v>1360</v>
      </c>
      <c r="I39" s="80" t="s">
        <v>1361</v>
      </c>
      <c r="J39" s="80" t="s">
        <v>1362</v>
      </c>
      <c r="K39" s="80" t="s">
        <v>1363</v>
      </c>
      <c r="L39" s="80" t="s">
        <v>1364</v>
      </c>
      <c r="M39" s="80" t="s">
        <v>1365</v>
      </c>
      <c r="N39" s="80" t="s">
        <v>1366</v>
      </c>
      <c r="O39" s="80" t="s">
        <v>1367</v>
      </c>
    </row>
    <row r="40" spans="1:15" x14ac:dyDescent="0.3">
      <c r="A40" s="80" t="s">
        <v>228</v>
      </c>
      <c r="B40" s="80" t="s">
        <v>277</v>
      </c>
      <c r="C40" s="80" t="s">
        <v>283</v>
      </c>
      <c r="D40" s="80" t="s">
        <v>1368</v>
      </c>
      <c r="E40" s="80" t="s">
        <v>949</v>
      </c>
      <c r="F40" s="80" t="s">
        <v>1369</v>
      </c>
      <c r="G40" s="80" t="s">
        <v>1370</v>
      </c>
      <c r="H40" s="80" t="s">
        <v>1371</v>
      </c>
      <c r="I40" s="80" t="s">
        <v>1372</v>
      </c>
      <c r="J40" s="80" t="s">
        <v>1373</v>
      </c>
      <c r="K40" s="80" t="s">
        <v>1374</v>
      </c>
      <c r="L40" s="80" t="s">
        <v>1375</v>
      </c>
      <c r="M40" s="80" t="s">
        <v>1376</v>
      </c>
      <c r="N40" s="80" t="s">
        <v>1377</v>
      </c>
      <c r="O40" s="80" t="s">
        <v>1378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
  <sheetViews>
    <sheetView workbookViewId="0"/>
  </sheetViews>
  <sheetFormatPr baseColWidth="10" defaultColWidth="8.88671875" defaultRowHeight="14.4" x14ac:dyDescent="0.3"/>
  <cols>
    <col min="1" max="1" width="26" customWidth="1"/>
    <col min="2" max="2" width="42" customWidth="1"/>
    <col min="3" max="7" width="34" customWidth="1"/>
    <col min="8" max="8" width="20" customWidth="1"/>
    <col min="9" max="9" width="48" customWidth="1"/>
  </cols>
  <sheetData>
    <row r="1" spans="1:9" x14ac:dyDescent="0.3">
      <c r="A1" s="78" t="s">
        <v>401</v>
      </c>
      <c r="B1" s="78" t="s">
        <v>310</v>
      </c>
      <c r="C1" s="78" t="s">
        <v>183</v>
      </c>
      <c r="D1" s="78" t="s">
        <v>1379</v>
      </c>
      <c r="E1" s="78" t="s">
        <v>1380</v>
      </c>
      <c r="F1" s="78" t="s">
        <v>1381</v>
      </c>
      <c r="G1" s="78" t="s">
        <v>1382</v>
      </c>
      <c r="H1" s="78" t="s">
        <v>1383</v>
      </c>
      <c r="I1" s="78" t="s">
        <v>1384</v>
      </c>
    </row>
    <row r="2" spans="1:9" x14ac:dyDescent="0.3">
      <c r="A2" s="80" t="s">
        <v>411</v>
      </c>
      <c r="B2" s="80" t="s">
        <v>1385</v>
      </c>
      <c r="C2" s="80" t="s">
        <v>1386</v>
      </c>
      <c r="D2" s="80" t="s">
        <v>1387</v>
      </c>
      <c r="E2" s="80" t="s">
        <v>1388</v>
      </c>
      <c r="F2" s="80" t="s">
        <v>1389</v>
      </c>
      <c r="G2" s="80" t="s">
        <v>1390</v>
      </c>
      <c r="H2" s="80" t="s">
        <v>1391</v>
      </c>
      <c r="I2" s="80" t="s">
        <v>1392</v>
      </c>
    </row>
    <row r="3" spans="1:9" x14ac:dyDescent="0.3">
      <c r="A3" s="80" t="s">
        <v>435</v>
      </c>
      <c r="B3" s="80" t="s">
        <v>1393</v>
      </c>
      <c r="C3" s="80" t="s">
        <v>1394</v>
      </c>
      <c r="D3" s="80" t="s">
        <v>1395</v>
      </c>
      <c r="E3" s="80" t="s">
        <v>1396</v>
      </c>
      <c r="F3" s="80" t="s">
        <v>1397</v>
      </c>
      <c r="G3" s="80" t="s">
        <v>1398</v>
      </c>
      <c r="H3" s="80" t="s">
        <v>1399</v>
      </c>
      <c r="I3" s="80" t="s">
        <v>1400</v>
      </c>
    </row>
    <row r="4" spans="1:9" x14ac:dyDescent="0.3">
      <c r="A4" s="80" t="s">
        <v>451</v>
      </c>
      <c r="B4" s="80" t="s">
        <v>1401</v>
      </c>
      <c r="C4" s="80" t="s">
        <v>1402</v>
      </c>
      <c r="D4" s="80" t="s">
        <v>1403</v>
      </c>
      <c r="E4" s="80" t="s">
        <v>1404</v>
      </c>
      <c r="F4" s="80" t="s">
        <v>1405</v>
      </c>
      <c r="G4" s="80" t="s">
        <v>1406</v>
      </c>
      <c r="H4" s="80" t="s">
        <v>1407</v>
      </c>
      <c r="I4" s="80" t="s">
        <v>1408</v>
      </c>
    </row>
    <row r="5" spans="1:9" x14ac:dyDescent="0.3">
      <c r="A5" s="80" t="s">
        <v>483</v>
      </c>
      <c r="B5" s="80" t="s">
        <v>1409</v>
      </c>
      <c r="C5" s="80" t="s">
        <v>1410</v>
      </c>
      <c r="D5" s="80" t="s">
        <v>1411</v>
      </c>
      <c r="E5" s="80" t="s">
        <v>1412</v>
      </c>
      <c r="F5" s="80" t="s">
        <v>1413</v>
      </c>
      <c r="G5" s="80" t="s">
        <v>1414</v>
      </c>
      <c r="H5" s="80" t="s">
        <v>1415</v>
      </c>
      <c r="I5" s="80" t="s">
        <v>1416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0"/>
  <sheetViews>
    <sheetView workbookViewId="0"/>
  </sheetViews>
  <sheetFormatPr baseColWidth="10" defaultColWidth="8.88671875" defaultRowHeight="14.4" x14ac:dyDescent="0.3"/>
  <cols>
    <col min="1" max="1" width="12" customWidth="1"/>
    <col min="2" max="2" width="38" customWidth="1"/>
    <col min="3" max="3" width="12" customWidth="1"/>
    <col min="4" max="4" width="20" customWidth="1"/>
    <col min="5" max="5" width="30" customWidth="1"/>
    <col min="6" max="6" width="26" customWidth="1"/>
    <col min="7" max="7" width="55" customWidth="1"/>
  </cols>
  <sheetData>
    <row r="1" spans="1:7" ht="28.8" x14ac:dyDescent="0.3">
      <c r="A1" s="78" t="s">
        <v>186</v>
      </c>
      <c r="B1" s="78" t="s">
        <v>1417</v>
      </c>
      <c r="C1" s="78" t="s">
        <v>188</v>
      </c>
      <c r="D1" s="78" t="s">
        <v>189</v>
      </c>
      <c r="E1" s="78" t="s">
        <v>401</v>
      </c>
      <c r="F1" s="78" t="s">
        <v>402</v>
      </c>
      <c r="G1" s="78" t="s">
        <v>403</v>
      </c>
    </row>
    <row r="2" spans="1:7" x14ac:dyDescent="0.3">
      <c r="A2" s="80" t="s">
        <v>0</v>
      </c>
      <c r="B2" s="80" t="s">
        <v>408</v>
      </c>
      <c r="C2" s="80">
        <v>14</v>
      </c>
      <c r="D2" s="80" t="s">
        <v>409</v>
      </c>
      <c r="E2" s="80" t="s">
        <v>411</v>
      </c>
      <c r="F2" s="80" t="s">
        <v>412</v>
      </c>
      <c r="G2" s="80" t="s">
        <v>413</v>
      </c>
    </row>
    <row r="3" spans="1:7" x14ac:dyDescent="0.3">
      <c r="A3" s="80" t="s">
        <v>1</v>
      </c>
      <c r="B3" s="80" t="s">
        <v>417</v>
      </c>
      <c r="C3" s="80">
        <v>15</v>
      </c>
      <c r="D3" s="80" t="s">
        <v>398</v>
      </c>
      <c r="E3" s="80" t="s">
        <v>411</v>
      </c>
      <c r="F3" s="80" t="s">
        <v>419</v>
      </c>
      <c r="G3" s="80" t="s">
        <v>420</v>
      </c>
    </row>
    <row r="4" spans="1:7" x14ac:dyDescent="0.3">
      <c r="A4" s="80" t="s">
        <v>2</v>
      </c>
      <c r="B4" s="80" t="s">
        <v>417</v>
      </c>
      <c r="C4" s="80">
        <v>16</v>
      </c>
      <c r="D4" s="80" t="s">
        <v>398</v>
      </c>
      <c r="E4" s="80" t="s">
        <v>411</v>
      </c>
      <c r="F4" s="80" t="s">
        <v>426</v>
      </c>
      <c r="G4" s="80" t="s">
        <v>427</v>
      </c>
    </row>
    <row r="5" spans="1:7" x14ac:dyDescent="0.3">
      <c r="A5" s="80" t="s">
        <v>3</v>
      </c>
      <c r="B5" s="80" t="s">
        <v>428</v>
      </c>
      <c r="C5" s="80">
        <v>17</v>
      </c>
      <c r="D5" s="80" t="s">
        <v>429</v>
      </c>
      <c r="E5" s="80" t="s">
        <v>411</v>
      </c>
      <c r="F5" s="80" t="s">
        <v>431</v>
      </c>
      <c r="G5" s="80" t="s">
        <v>432</v>
      </c>
    </row>
    <row r="6" spans="1:7" x14ac:dyDescent="0.3">
      <c r="A6" s="80" t="s">
        <v>4</v>
      </c>
      <c r="B6" s="80" t="s">
        <v>433</v>
      </c>
      <c r="C6" s="80">
        <v>18</v>
      </c>
      <c r="D6" s="80" t="s">
        <v>429</v>
      </c>
      <c r="E6" s="80" t="s">
        <v>435</v>
      </c>
      <c r="F6" s="80" t="s">
        <v>436</v>
      </c>
      <c r="G6" s="80" t="s">
        <v>437</v>
      </c>
    </row>
    <row r="7" spans="1:7" x14ac:dyDescent="0.3">
      <c r="A7" s="80" t="s">
        <v>5</v>
      </c>
      <c r="B7" s="80" t="s">
        <v>438</v>
      </c>
      <c r="C7" s="80">
        <v>19</v>
      </c>
      <c r="D7" s="80" t="s">
        <v>439</v>
      </c>
      <c r="E7" s="80" t="s">
        <v>435</v>
      </c>
      <c r="F7" s="80" t="s">
        <v>441</v>
      </c>
      <c r="G7" s="80" t="s">
        <v>442</v>
      </c>
    </row>
    <row r="8" spans="1:7" x14ac:dyDescent="0.3">
      <c r="A8" s="80" t="s">
        <v>6</v>
      </c>
      <c r="B8" s="80" t="s">
        <v>438</v>
      </c>
      <c r="C8" s="80">
        <v>20</v>
      </c>
      <c r="D8" s="80" t="s">
        <v>439</v>
      </c>
      <c r="E8" s="80" t="s">
        <v>435</v>
      </c>
      <c r="F8" s="80" t="s">
        <v>444</v>
      </c>
      <c r="G8" s="80" t="s">
        <v>445</v>
      </c>
    </row>
    <row r="9" spans="1:7" x14ac:dyDescent="0.3">
      <c r="A9" s="80" t="s">
        <v>7</v>
      </c>
      <c r="B9" s="80" t="s">
        <v>438</v>
      </c>
      <c r="C9" s="80">
        <v>21</v>
      </c>
      <c r="D9" s="80" t="s">
        <v>439</v>
      </c>
      <c r="E9" s="80" t="s">
        <v>435</v>
      </c>
      <c r="F9" s="80" t="s">
        <v>447</v>
      </c>
      <c r="G9" s="80" t="s">
        <v>448</v>
      </c>
    </row>
    <row r="10" spans="1:7" x14ac:dyDescent="0.3">
      <c r="A10" s="80" t="s">
        <v>8</v>
      </c>
      <c r="B10" s="80" t="s">
        <v>449</v>
      </c>
      <c r="C10" s="80">
        <v>21</v>
      </c>
      <c r="D10" s="80" t="s">
        <v>439</v>
      </c>
      <c r="E10" s="80" t="s">
        <v>451</v>
      </c>
      <c r="F10" s="80" t="s">
        <v>452</v>
      </c>
      <c r="G10" s="80" t="s">
        <v>453</v>
      </c>
    </row>
    <row r="11" spans="1:7" x14ac:dyDescent="0.3">
      <c r="A11" s="80" t="s">
        <v>9</v>
      </c>
      <c r="B11" s="80" t="s">
        <v>449</v>
      </c>
      <c r="C11" s="80">
        <v>22</v>
      </c>
      <c r="D11" s="80" t="s">
        <v>439</v>
      </c>
      <c r="E11" s="80" t="s">
        <v>451</v>
      </c>
      <c r="F11" s="80" t="s">
        <v>455</v>
      </c>
      <c r="G11" s="80" t="s">
        <v>456</v>
      </c>
    </row>
    <row r="12" spans="1:7" x14ac:dyDescent="0.3">
      <c r="A12" s="80" t="s">
        <v>10</v>
      </c>
      <c r="B12" s="80" t="s">
        <v>457</v>
      </c>
      <c r="C12" s="80">
        <v>23</v>
      </c>
      <c r="D12" s="80" t="s">
        <v>458</v>
      </c>
      <c r="E12" s="80" t="s">
        <v>451</v>
      </c>
      <c r="F12" s="80" t="s">
        <v>460</v>
      </c>
      <c r="G12" s="80" t="s">
        <v>461</v>
      </c>
    </row>
    <row r="13" spans="1:7" x14ac:dyDescent="0.3">
      <c r="A13" s="80" t="s">
        <v>11</v>
      </c>
      <c r="B13" s="80" t="s">
        <v>457</v>
      </c>
      <c r="C13" s="80">
        <v>26</v>
      </c>
      <c r="D13" s="80" t="s">
        <v>462</v>
      </c>
      <c r="E13" s="80" t="s">
        <v>451</v>
      </c>
      <c r="F13" s="80" t="s">
        <v>464</v>
      </c>
      <c r="G13" s="80" t="s">
        <v>465</v>
      </c>
    </row>
    <row r="14" spans="1:7" x14ac:dyDescent="0.3">
      <c r="A14" s="80" t="s">
        <v>12</v>
      </c>
      <c r="B14" s="80" t="s">
        <v>466</v>
      </c>
      <c r="C14" s="80">
        <v>24</v>
      </c>
      <c r="D14" s="80" t="s">
        <v>462</v>
      </c>
      <c r="E14" s="80" t="s">
        <v>435</v>
      </c>
      <c r="F14" s="80" t="s">
        <v>468</v>
      </c>
      <c r="G14" s="80" t="s">
        <v>469</v>
      </c>
    </row>
    <row r="15" spans="1:7" x14ac:dyDescent="0.3">
      <c r="A15" s="80" t="s">
        <v>13</v>
      </c>
      <c r="B15" s="80" t="s">
        <v>470</v>
      </c>
      <c r="C15" s="80">
        <v>25</v>
      </c>
      <c r="D15" s="80" t="s">
        <v>462</v>
      </c>
      <c r="E15" s="80" t="s">
        <v>435</v>
      </c>
      <c r="F15" s="80" t="s">
        <v>472</v>
      </c>
      <c r="G15" s="80" t="s">
        <v>473</v>
      </c>
    </row>
    <row r="16" spans="1:7" x14ac:dyDescent="0.3">
      <c r="A16" s="80" t="s">
        <v>14</v>
      </c>
      <c r="B16" s="80" t="s">
        <v>474</v>
      </c>
      <c r="C16" s="80">
        <v>26</v>
      </c>
      <c r="D16" s="80" t="s">
        <v>462</v>
      </c>
      <c r="E16" s="80" t="s">
        <v>451</v>
      </c>
      <c r="F16" s="80" t="s">
        <v>476</v>
      </c>
      <c r="G16" s="80" t="s">
        <v>477</v>
      </c>
    </row>
    <row r="17" spans="1:7" x14ac:dyDescent="0.3">
      <c r="A17" s="80" t="s">
        <v>15</v>
      </c>
      <c r="B17" s="80" t="s">
        <v>474</v>
      </c>
      <c r="C17" s="80">
        <v>27</v>
      </c>
      <c r="D17" s="80" t="s">
        <v>393</v>
      </c>
      <c r="E17" s="80" t="s">
        <v>451</v>
      </c>
      <c r="F17" s="80" t="s">
        <v>479</v>
      </c>
      <c r="G17" s="80" t="s">
        <v>480</v>
      </c>
    </row>
    <row r="18" spans="1:7" x14ac:dyDescent="0.3">
      <c r="A18" s="80" t="s">
        <v>16</v>
      </c>
      <c r="B18" s="80" t="s">
        <v>481</v>
      </c>
      <c r="C18" s="80">
        <v>28</v>
      </c>
      <c r="D18" s="80" t="s">
        <v>393</v>
      </c>
      <c r="E18" s="80" t="s">
        <v>483</v>
      </c>
      <c r="F18" s="80" t="s">
        <v>484</v>
      </c>
      <c r="G18" s="80" t="s">
        <v>485</v>
      </c>
    </row>
    <row r="19" spans="1:7" x14ac:dyDescent="0.3">
      <c r="A19" s="80" t="s">
        <v>17</v>
      </c>
      <c r="B19" s="80" t="s">
        <v>486</v>
      </c>
      <c r="C19" s="80">
        <v>29</v>
      </c>
      <c r="D19" s="80" t="s">
        <v>393</v>
      </c>
      <c r="E19" s="80" t="s">
        <v>483</v>
      </c>
      <c r="F19" s="80" t="s">
        <v>488</v>
      </c>
      <c r="G19" s="80" t="s">
        <v>489</v>
      </c>
    </row>
    <row r="20" spans="1:7" x14ac:dyDescent="0.3">
      <c r="A20" s="80" t="s">
        <v>18</v>
      </c>
      <c r="B20" s="80" t="s">
        <v>490</v>
      </c>
      <c r="C20" s="80">
        <v>30</v>
      </c>
      <c r="D20" s="80" t="s">
        <v>393</v>
      </c>
      <c r="E20" s="80" t="s">
        <v>483</v>
      </c>
      <c r="F20" s="80" t="s">
        <v>492</v>
      </c>
      <c r="G20" s="80" t="s">
        <v>493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A167"/>
  <sheetViews>
    <sheetView workbookViewId="0"/>
  </sheetViews>
  <sheetFormatPr baseColWidth="10" defaultColWidth="8.88671875" defaultRowHeight="14.4" x14ac:dyDescent="0.3"/>
  <cols>
    <col min="1" max="1" width="7.77734375" customWidth="1"/>
    <col min="2" max="2" width="30.77734375" customWidth="1"/>
    <col min="3" max="3" width="27.77734375" customWidth="1"/>
    <col min="4" max="4" width="58" customWidth="1"/>
    <col min="5" max="5" width="16.109375" customWidth="1"/>
    <col min="6" max="6" width="14.5546875" customWidth="1"/>
    <col min="7" max="7" width="17.33203125" customWidth="1"/>
    <col min="8" max="8" width="11.44140625" customWidth="1"/>
    <col min="9" max="9" width="12.88671875" customWidth="1"/>
    <col min="10" max="10" width="31.77734375" customWidth="1"/>
    <col min="11" max="11" width="15.77734375" customWidth="1"/>
    <col min="12" max="12" width="24" customWidth="1"/>
    <col min="13" max="13" width="29.33203125" customWidth="1"/>
    <col min="14" max="14" width="22.5546875" customWidth="1"/>
    <col min="15" max="15" width="49.21875" customWidth="1"/>
    <col min="16" max="16" width="16.33203125" customWidth="1"/>
    <col min="17" max="17" width="177.88671875" customWidth="1"/>
    <col min="18" max="26" width="4.5546875" customWidth="1"/>
    <col min="27" max="66" width="2.77734375" customWidth="1"/>
    <col min="67" max="105" width="5.109375" customWidth="1"/>
  </cols>
  <sheetData>
    <row r="1" spans="1:105" ht="12" customHeight="1" x14ac:dyDescent="0.3">
      <c r="A1" s="92" t="s">
        <v>284</v>
      </c>
      <c r="B1" s="92" t="s">
        <v>1418</v>
      </c>
      <c r="C1" s="92" t="s">
        <v>1419</v>
      </c>
      <c r="D1" s="92" t="s">
        <v>285</v>
      </c>
      <c r="E1" s="92" t="s">
        <v>286</v>
      </c>
      <c r="F1" s="92" t="s">
        <v>1420</v>
      </c>
      <c r="G1" s="92" t="s">
        <v>1421</v>
      </c>
      <c r="H1" s="92" t="s">
        <v>287</v>
      </c>
      <c r="I1" s="92" t="s">
        <v>1422</v>
      </c>
      <c r="J1" s="92" t="s">
        <v>1423</v>
      </c>
      <c r="K1" s="92" t="s">
        <v>1424</v>
      </c>
      <c r="L1" s="92" t="s">
        <v>401</v>
      </c>
      <c r="M1" s="92" t="s">
        <v>402</v>
      </c>
      <c r="N1" s="92" t="s">
        <v>1425</v>
      </c>
      <c r="O1" s="92" t="s">
        <v>1426</v>
      </c>
      <c r="P1" s="92" t="s">
        <v>1427</v>
      </c>
      <c r="Q1" s="92" t="s">
        <v>229</v>
      </c>
      <c r="R1" s="92" t="s">
        <v>27</v>
      </c>
      <c r="S1" s="92" t="s">
        <v>104</v>
      </c>
      <c r="T1" s="92" t="s">
        <v>32</v>
      </c>
      <c r="U1" s="92" t="s">
        <v>167</v>
      </c>
      <c r="V1" s="92" t="s">
        <v>146</v>
      </c>
      <c r="W1" s="92" t="s">
        <v>170</v>
      </c>
      <c r="X1" s="92" t="s">
        <v>43</v>
      </c>
      <c r="Y1" s="92" t="s">
        <v>107</v>
      </c>
      <c r="Z1" s="92" t="s">
        <v>149</v>
      </c>
      <c r="AA1" s="92" t="s">
        <v>173</v>
      </c>
      <c r="AB1" s="92" t="s">
        <v>176</v>
      </c>
      <c r="AC1" s="92" t="s">
        <v>80</v>
      </c>
      <c r="AD1" s="92" t="s">
        <v>63</v>
      </c>
      <c r="AE1" s="92" t="s">
        <v>83</v>
      </c>
      <c r="AF1" s="92" t="s">
        <v>46</v>
      </c>
      <c r="AG1" s="92" t="s">
        <v>179</v>
      </c>
      <c r="AH1" s="92" t="s">
        <v>50</v>
      </c>
      <c r="AI1" s="92" t="s">
        <v>40</v>
      </c>
      <c r="AJ1" s="92" t="s">
        <v>89</v>
      </c>
      <c r="AK1" s="92" t="s">
        <v>70</v>
      </c>
      <c r="AL1" s="92" t="s">
        <v>110</v>
      </c>
      <c r="AM1" s="92" t="s">
        <v>158</v>
      </c>
      <c r="AN1" s="92" t="s">
        <v>113</v>
      </c>
      <c r="AO1" s="92" t="s">
        <v>53</v>
      </c>
      <c r="AP1" s="92" t="s">
        <v>116</v>
      </c>
      <c r="AQ1" s="92" t="s">
        <v>56</v>
      </c>
      <c r="AR1" s="92" t="s">
        <v>140</v>
      </c>
      <c r="AS1" s="92" t="s">
        <v>60</v>
      </c>
      <c r="AT1" s="92" t="s">
        <v>119</v>
      </c>
      <c r="AU1" s="92" t="s">
        <v>137</v>
      </c>
      <c r="AV1" s="92" t="s">
        <v>125</v>
      </c>
      <c r="AW1" s="92" t="s">
        <v>122</v>
      </c>
      <c r="AX1" s="92" t="s">
        <v>73</v>
      </c>
      <c r="AY1" s="92" t="s">
        <v>155</v>
      </c>
      <c r="AZ1" s="92" t="s">
        <v>131</v>
      </c>
      <c r="BA1" s="92" t="s">
        <v>98</v>
      </c>
      <c r="BB1" s="92" t="s">
        <v>164</v>
      </c>
      <c r="BC1" s="92" t="s">
        <v>67</v>
      </c>
      <c r="BD1" s="92" t="s">
        <v>92</v>
      </c>
      <c r="BE1" s="92" t="s">
        <v>143</v>
      </c>
      <c r="BF1" s="92" t="s">
        <v>101</v>
      </c>
      <c r="BG1" s="92" t="s">
        <v>161</v>
      </c>
      <c r="BH1" s="92" t="s">
        <v>36</v>
      </c>
      <c r="BI1" s="92" t="s">
        <v>86</v>
      </c>
      <c r="BJ1" s="92" t="s">
        <v>152</v>
      </c>
      <c r="BK1" s="92" t="s">
        <v>128</v>
      </c>
      <c r="BL1" s="92" t="s">
        <v>134</v>
      </c>
      <c r="BM1" s="92" t="s">
        <v>76</v>
      </c>
      <c r="BN1" s="92" t="s">
        <v>95</v>
      </c>
      <c r="BO1" s="92" t="s">
        <v>190</v>
      </c>
      <c r="BP1" s="92" t="s">
        <v>191</v>
      </c>
      <c r="BQ1" s="92" t="s">
        <v>192</v>
      </c>
      <c r="BR1" s="92" t="s">
        <v>193</v>
      </c>
      <c r="BS1" s="92" t="s">
        <v>194</v>
      </c>
      <c r="BT1" s="92" t="s">
        <v>195</v>
      </c>
      <c r="BU1" s="92" t="s">
        <v>196</v>
      </c>
      <c r="BV1" s="92" t="s">
        <v>197</v>
      </c>
      <c r="BW1" s="92" t="s">
        <v>198</v>
      </c>
      <c r="BX1" s="92" t="s">
        <v>199</v>
      </c>
      <c r="BY1" s="92" t="s">
        <v>200</v>
      </c>
      <c r="BZ1" s="92" t="s">
        <v>201</v>
      </c>
      <c r="CA1" s="92" t="s">
        <v>202</v>
      </c>
      <c r="CB1" s="92" t="s">
        <v>203</v>
      </c>
      <c r="CC1" s="92" t="s">
        <v>204</v>
      </c>
      <c r="CD1" s="92" t="s">
        <v>205</v>
      </c>
      <c r="CE1" s="92" t="s">
        <v>206</v>
      </c>
      <c r="CF1" s="92" t="s">
        <v>207</v>
      </c>
      <c r="CG1" s="92" t="s">
        <v>208</v>
      </c>
      <c r="CH1" s="92" t="s">
        <v>209</v>
      </c>
      <c r="CI1" s="92" t="s">
        <v>210</v>
      </c>
      <c r="CJ1" s="92" t="s">
        <v>211</v>
      </c>
      <c r="CK1" s="92" t="s">
        <v>212</v>
      </c>
      <c r="CL1" s="92" t="s">
        <v>213</v>
      </c>
      <c r="CM1" s="92" t="s">
        <v>214</v>
      </c>
      <c r="CN1" s="92" t="s">
        <v>215</v>
      </c>
      <c r="CO1" s="92" t="s">
        <v>216</v>
      </c>
      <c r="CP1" s="92" t="s">
        <v>217</v>
      </c>
      <c r="CQ1" s="92" t="s">
        <v>218</v>
      </c>
      <c r="CR1" s="92" t="s">
        <v>219</v>
      </c>
      <c r="CS1" s="92" t="s">
        <v>220</v>
      </c>
      <c r="CT1" s="92" t="s">
        <v>221</v>
      </c>
      <c r="CU1" s="92" t="s">
        <v>222</v>
      </c>
      <c r="CV1" s="92" t="s">
        <v>223</v>
      </c>
      <c r="CW1" s="92" t="s">
        <v>224</v>
      </c>
      <c r="CX1" s="92" t="s">
        <v>225</v>
      </c>
      <c r="CY1" s="92" t="s">
        <v>226</v>
      </c>
      <c r="CZ1" s="92" t="s">
        <v>227</v>
      </c>
      <c r="DA1" s="92" t="s">
        <v>228</v>
      </c>
    </row>
    <row r="2" spans="1:105" ht="12" customHeight="1" x14ac:dyDescent="0.3">
      <c r="A2" s="81" t="s">
        <v>494</v>
      </c>
      <c r="B2" s="81" t="s">
        <v>1428</v>
      </c>
      <c r="C2" s="81" t="s">
        <v>1429</v>
      </c>
      <c r="D2" s="81" t="s">
        <v>495</v>
      </c>
      <c r="E2" s="81" t="s">
        <v>393</v>
      </c>
      <c r="F2" s="81" t="s">
        <v>393</v>
      </c>
      <c r="G2" s="81"/>
      <c r="H2" s="94">
        <v>30</v>
      </c>
      <c r="I2" s="81" t="s">
        <v>18</v>
      </c>
      <c r="J2" s="81" t="s">
        <v>490</v>
      </c>
      <c r="K2" s="81">
        <v>30</v>
      </c>
      <c r="L2" s="81" t="s">
        <v>483</v>
      </c>
      <c r="M2" s="81" t="s">
        <v>492</v>
      </c>
      <c r="N2" s="81" t="s">
        <v>1430</v>
      </c>
      <c r="O2" s="81" t="s">
        <v>1431</v>
      </c>
      <c r="P2" s="81" t="s">
        <v>414</v>
      </c>
      <c r="Q2" s="81" t="s">
        <v>496</v>
      </c>
      <c r="R2" s="81">
        <v>1</v>
      </c>
      <c r="S2" s="81">
        <v>0</v>
      </c>
      <c r="T2" s="81">
        <v>1</v>
      </c>
      <c r="U2" s="81">
        <v>0</v>
      </c>
      <c r="V2" s="81">
        <v>0</v>
      </c>
      <c r="W2" s="81">
        <v>0</v>
      </c>
      <c r="X2" s="81">
        <v>1</v>
      </c>
      <c r="Y2" s="81">
        <v>0</v>
      </c>
      <c r="Z2" s="81">
        <v>0</v>
      </c>
      <c r="AA2" s="81">
        <v>0</v>
      </c>
      <c r="AB2" s="81">
        <v>0</v>
      </c>
      <c r="AC2" s="81">
        <v>0</v>
      </c>
      <c r="AD2" s="81">
        <v>1</v>
      </c>
      <c r="AE2" s="81">
        <v>0</v>
      </c>
      <c r="AF2" s="81">
        <v>1</v>
      </c>
      <c r="AG2" s="81">
        <v>0</v>
      </c>
      <c r="AH2" s="81">
        <v>1</v>
      </c>
      <c r="AI2" s="81">
        <v>1</v>
      </c>
      <c r="AJ2" s="81">
        <v>0</v>
      </c>
      <c r="AK2" s="81">
        <v>1</v>
      </c>
      <c r="AL2" s="81">
        <v>0</v>
      </c>
      <c r="AM2" s="81">
        <v>0</v>
      </c>
      <c r="AN2" s="81">
        <v>0</v>
      </c>
      <c r="AO2" s="81">
        <v>1</v>
      </c>
      <c r="AP2" s="81">
        <v>0</v>
      </c>
      <c r="AQ2" s="81">
        <v>1</v>
      </c>
      <c r="AR2" s="81">
        <v>0</v>
      </c>
      <c r="AS2" s="81">
        <v>1</v>
      </c>
      <c r="AT2" s="81">
        <v>0</v>
      </c>
      <c r="AU2" s="81">
        <v>0</v>
      </c>
      <c r="AV2" s="81">
        <v>0</v>
      </c>
      <c r="AW2" s="81">
        <v>0</v>
      </c>
      <c r="AX2" s="81">
        <v>1</v>
      </c>
      <c r="AY2" s="81">
        <v>0</v>
      </c>
      <c r="AZ2" s="81">
        <v>1</v>
      </c>
      <c r="BA2" s="81">
        <v>0</v>
      </c>
      <c r="BB2" s="81">
        <v>0</v>
      </c>
      <c r="BC2" s="81">
        <v>1</v>
      </c>
      <c r="BD2" s="81">
        <v>0</v>
      </c>
      <c r="BE2" s="81">
        <v>0</v>
      </c>
      <c r="BF2" s="81">
        <v>0</v>
      </c>
      <c r="BG2" s="81">
        <v>0</v>
      </c>
      <c r="BH2" s="81">
        <v>1</v>
      </c>
      <c r="BI2" s="81">
        <v>0</v>
      </c>
      <c r="BJ2" s="81">
        <v>0</v>
      </c>
      <c r="BK2" s="81">
        <v>0</v>
      </c>
      <c r="BL2" s="81">
        <v>1</v>
      </c>
      <c r="BM2" s="81">
        <v>0</v>
      </c>
      <c r="BN2" s="81">
        <v>0</v>
      </c>
      <c r="BO2" s="81">
        <v>3</v>
      </c>
      <c r="BP2" s="81">
        <v>3</v>
      </c>
      <c r="BQ2" s="81">
        <v>3</v>
      </c>
      <c r="BR2" s="81">
        <v>3</v>
      </c>
      <c r="BS2" s="81">
        <v>2</v>
      </c>
      <c r="BT2" s="81">
        <v>3</v>
      </c>
      <c r="BU2" s="81">
        <v>3</v>
      </c>
      <c r="BV2" s="81">
        <v>3</v>
      </c>
      <c r="BW2" s="81">
        <v>3</v>
      </c>
      <c r="BX2" s="81">
        <v>3</v>
      </c>
      <c r="BY2" s="81">
        <v>3</v>
      </c>
      <c r="BZ2" s="81">
        <v>3</v>
      </c>
      <c r="CA2" s="81">
        <v>3</v>
      </c>
      <c r="CB2" s="81">
        <v>3</v>
      </c>
      <c r="CC2" s="81">
        <v>3</v>
      </c>
      <c r="CD2" s="81">
        <v>3</v>
      </c>
      <c r="CE2" s="81">
        <v>3</v>
      </c>
      <c r="CF2" s="81">
        <v>3</v>
      </c>
      <c r="CG2" s="81">
        <v>3</v>
      </c>
      <c r="CH2" s="81">
        <v>3</v>
      </c>
      <c r="CI2" s="81">
        <v>3</v>
      </c>
      <c r="CJ2" s="81">
        <v>3</v>
      </c>
      <c r="CK2" s="81">
        <v>3</v>
      </c>
      <c r="CL2" s="81">
        <v>3</v>
      </c>
      <c r="CM2" s="81">
        <v>3</v>
      </c>
      <c r="CN2" s="81">
        <v>0</v>
      </c>
      <c r="CO2" s="81">
        <v>3</v>
      </c>
      <c r="CP2" s="81">
        <v>3</v>
      </c>
      <c r="CQ2" s="81">
        <v>3</v>
      </c>
      <c r="CR2" s="81">
        <v>3</v>
      </c>
      <c r="CS2" s="81">
        <v>3</v>
      </c>
      <c r="CT2" s="81">
        <v>3</v>
      </c>
      <c r="CU2" s="81">
        <v>0</v>
      </c>
      <c r="CV2" s="81">
        <v>3</v>
      </c>
      <c r="CW2" s="81">
        <v>3</v>
      </c>
      <c r="CX2" s="81">
        <v>2</v>
      </c>
      <c r="CY2" s="81">
        <v>3</v>
      </c>
      <c r="CZ2" s="81">
        <v>2</v>
      </c>
      <c r="DA2" s="81">
        <v>3</v>
      </c>
    </row>
    <row r="3" spans="1:105" ht="12" customHeight="1" x14ac:dyDescent="0.3">
      <c r="A3" s="81" t="s">
        <v>497</v>
      </c>
      <c r="B3" s="81" t="s">
        <v>1428</v>
      </c>
      <c r="C3" s="81" t="s">
        <v>1429</v>
      </c>
      <c r="D3" s="81" t="s">
        <v>498</v>
      </c>
      <c r="E3" s="81" t="s">
        <v>393</v>
      </c>
      <c r="F3" s="81" t="s">
        <v>393</v>
      </c>
      <c r="G3" s="81"/>
      <c r="H3" s="94">
        <v>30</v>
      </c>
      <c r="I3" s="81" t="s">
        <v>18</v>
      </c>
      <c r="J3" s="81" t="s">
        <v>490</v>
      </c>
      <c r="K3" s="81">
        <v>30</v>
      </c>
      <c r="L3" s="81" t="s">
        <v>483</v>
      </c>
      <c r="M3" s="81" t="s">
        <v>492</v>
      </c>
      <c r="N3" s="81" t="s">
        <v>1430</v>
      </c>
      <c r="O3" s="81" t="s">
        <v>1432</v>
      </c>
      <c r="P3" s="81" t="s">
        <v>414</v>
      </c>
      <c r="Q3" s="81" t="s">
        <v>499</v>
      </c>
      <c r="R3" s="81">
        <v>1</v>
      </c>
      <c r="S3" s="81">
        <v>0</v>
      </c>
      <c r="T3" s="81">
        <v>1</v>
      </c>
      <c r="U3" s="81">
        <v>0</v>
      </c>
      <c r="V3" s="81">
        <v>0</v>
      </c>
      <c r="W3" s="81">
        <v>0</v>
      </c>
      <c r="X3" s="81">
        <v>1</v>
      </c>
      <c r="Y3" s="81">
        <v>0</v>
      </c>
      <c r="Z3" s="81">
        <v>0</v>
      </c>
      <c r="AA3" s="81">
        <v>0</v>
      </c>
      <c r="AB3" s="81">
        <v>0</v>
      </c>
      <c r="AC3" s="81">
        <v>0</v>
      </c>
      <c r="AD3" s="81">
        <v>1</v>
      </c>
      <c r="AE3" s="81">
        <v>0</v>
      </c>
      <c r="AF3" s="81">
        <v>1</v>
      </c>
      <c r="AG3" s="81">
        <v>0</v>
      </c>
      <c r="AH3" s="81">
        <v>1</v>
      </c>
      <c r="AI3" s="81">
        <v>1</v>
      </c>
      <c r="AJ3" s="81">
        <v>0</v>
      </c>
      <c r="AK3" s="81">
        <v>1</v>
      </c>
      <c r="AL3" s="81">
        <v>0</v>
      </c>
      <c r="AM3" s="81">
        <v>0</v>
      </c>
      <c r="AN3" s="81">
        <v>0</v>
      </c>
      <c r="AO3" s="81">
        <v>1</v>
      </c>
      <c r="AP3" s="81">
        <v>0</v>
      </c>
      <c r="AQ3" s="81">
        <v>1</v>
      </c>
      <c r="AR3" s="81">
        <v>0</v>
      </c>
      <c r="AS3" s="81">
        <v>1</v>
      </c>
      <c r="AT3" s="81">
        <v>0</v>
      </c>
      <c r="AU3" s="81">
        <v>0</v>
      </c>
      <c r="AV3" s="81">
        <v>0</v>
      </c>
      <c r="AW3" s="81">
        <v>0</v>
      </c>
      <c r="AX3" s="81">
        <v>1</v>
      </c>
      <c r="AY3" s="81">
        <v>0</v>
      </c>
      <c r="AZ3" s="81">
        <v>1</v>
      </c>
      <c r="BA3" s="81">
        <v>0</v>
      </c>
      <c r="BB3" s="81">
        <v>0</v>
      </c>
      <c r="BC3" s="81">
        <v>1</v>
      </c>
      <c r="BD3" s="81">
        <v>0</v>
      </c>
      <c r="BE3" s="81">
        <v>0</v>
      </c>
      <c r="BF3" s="81">
        <v>0</v>
      </c>
      <c r="BG3" s="81">
        <v>0</v>
      </c>
      <c r="BH3" s="81">
        <v>1</v>
      </c>
      <c r="BI3" s="81">
        <v>0</v>
      </c>
      <c r="BJ3" s="81">
        <v>0</v>
      </c>
      <c r="BK3" s="81">
        <v>0</v>
      </c>
      <c r="BL3" s="81">
        <v>1</v>
      </c>
      <c r="BM3" s="81">
        <v>0</v>
      </c>
      <c r="BN3" s="81">
        <v>0</v>
      </c>
      <c r="BO3" s="81">
        <v>3</v>
      </c>
      <c r="BP3" s="81">
        <v>3</v>
      </c>
      <c r="BQ3" s="81">
        <v>3</v>
      </c>
      <c r="BR3" s="81">
        <v>3</v>
      </c>
      <c r="BS3" s="81">
        <v>2</v>
      </c>
      <c r="BT3" s="81">
        <v>3</v>
      </c>
      <c r="BU3" s="81">
        <v>3</v>
      </c>
      <c r="BV3" s="81">
        <v>3</v>
      </c>
      <c r="BW3" s="81">
        <v>3</v>
      </c>
      <c r="BX3" s="81">
        <v>3</v>
      </c>
      <c r="BY3" s="81">
        <v>3</v>
      </c>
      <c r="BZ3" s="81">
        <v>3</v>
      </c>
      <c r="CA3" s="81">
        <v>3</v>
      </c>
      <c r="CB3" s="81">
        <v>3</v>
      </c>
      <c r="CC3" s="81">
        <v>3</v>
      </c>
      <c r="CD3" s="81">
        <v>3</v>
      </c>
      <c r="CE3" s="81">
        <v>3</v>
      </c>
      <c r="CF3" s="81">
        <v>3</v>
      </c>
      <c r="CG3" s="81">
        <v>3</v>
      </c>
      <c r="CH3" s="81">
        <v>3</v>
      </c>
      <c r="CI3" s="81">
        <v>3</v>
      </c>
      <c r="CJ3" s="81">
        <v>3</v>
      </c>
      <c r="CK3" s="81">
        <v>3</v>
      </c>
      <c r="CL3" s="81">
        <v>3</v>
      </c>
      <c r="CM3" s="81">
        <v>3</v>
      </c>
      <c r="CN3" s="81">
        <v>0</v>
      </c>
      <c r="CO3" s="81">
        <v>3</v>
      </c>
      <c r="CP3" s="81">
        <v>3</v>
      </c>
      <c r="CQ3" s="81">
        <v>3</v>
      </c>
      <c r="CR3" s="81">
        <v>3</v>
      </c>
      <c r="CS3" s="81">
        <v>3</v>
      </c>
      <c r="CT3" s="81">
        <v>3</v>
      </c>
      <c r="CU3" s="81">
        <v>0</v>
      </c>
      <c r="CV3" s="81">
        <v>3</v>
      </c>
      <c r="CW3" s="81">
        <v>3</v>
      </c>
      <c r="CX3" s="81">
        <v>2</v>
      </c>
      <c r="CY3" s="81">
        <v>3</v>
      </c>
      <c r="CZ3" s="81">
        <v>2</v>
      </c>
      <c r="DA3" s="81">
        <v>3</v>
      </c>
    </row>
    <row r="4" spans="1:105" ht="12" customHeight="1" x14ac:dyDescent="0.3">
      <c r="A4" s="81" t="s">
        <v>500</v>
      </c>
      <c r="B4" s="81" t="s">
        <v>1428</v>
      </c>
      <c r="C4" s="81" t="s">
        <v>501</v>
      </c>
      <c r="D4" s="81" t="s">
        <v>501</v>
      </c>
      <c r="E4" s="81" t="s">
        <v>393</v>
      </c>
      <c r="F4" s="81" t="s">
        <v>393</v>
      </c>
      <c r="G4" s="81"/>
      <c r="H4" s="94">
        <v>29</v>
      </c>
      <c r="I4" s="81" t="s">
        <v>17</v>
      </c>
      <c r="J4" s="81" t="s">
        <v>486</v>
      </c>
      <c r="K4" s="81">
        <v>29</v>
      </c>
      <c r="L4" s="81" t="s">
        <v>483</v>
      </c>
      <c r="M4" s="81" t="s">
        <v>488</v>
      </c>
      <c r="N4" s="81" t="s">
        <v>1430</v>
      </c>
      <c r="O4" s="81" t="s">
        <v>1433</v>
      </c>
      <c r="P4" s="81" t="s">
        <v>414</v>
      </c>
      <c r="Q4" s="81" t="s">
        <v>502</v>
      </c>
      <c r="R4" s="81">
        <v>0</v>
      </c>
      <c r="S4" s="81">
        <v>0</v>
      </c>
      <c r="T4" s="81">
        <v>1</v>
      </c>
      <c r="U4" s="81">
        <v>0</v>
      </c>
      <c r="V4" s="81">
        <v>0</v>
      </c>
      <c r="W4" s="81">
        <v>0</v>
      </c>
      <c r="X4" s="81">
        <v>1</v>
      </c>
      <c r="Y4" s="81">
        <v>0</v>
      </c>
      <c r="Z4" s="81">
        <v>0</v>
      </c>
      <c r="AA4" s="81">
        <v>0</v>
      </c>
      <c r="AB4" s="81">
        <v>0</v>
      </c>
      <c r="AC4" s="81">
        <v>0</v>
      </c>
      <c r="AD4" s="81">
        <v>1</v>
      </c>
      <c r="AE4" s="81">
        <v>0</v>
      </c>
      <c r="AF4" s="81">
        <v>1</v>
      </c>
      <c r="AG4" s="81">
        <v>0</v>
      </c>
      <c r="AH4" s="81">
        <v>1</v>
      </c>
      <c r="AI4" s="81">
        <v>1</v>
      </c>
      <c r="AJ4" s="81">
        <v>0</v>
      </c>
      <c r="AK4" s="81">
        <v>1</v>
      </c>
      <c r="AL4" s="81">
        <v>0</v>
      </c>
      <c r="AM4" s="81">
        <v>0</v>
      </c>
      <c r="AN4" s="81">
        <v>0</v>
      </c>
      <c r="AO4" s="81">
        <v>1</v>
      </c>
      <c r="AP4" s="81">
        <v>0</v>
      </c>
      <c r="AQ4" s="81">
        <v>1</v>
      </c>
      <c r="AR4" s="81">
        <v>0</v>
      </c>
      <c r="AS4" s="81">
        <v>1</v>
      </c>
      <c r="AT4" s="81">
        <v>0</v>
      </c>
      <c r="AU4" s="81">
        <v>0</v>
      </c>
      <c r="AV4" s="81">
        <v>0</v>
      </c>
      <c r="AW4" s="81">
        <v>0</v>
      </c>
      <c r="AX4" s="81">
        <v>1</v>
      </c>
      <c r="AY4" s="81">
        <v>0</v>
      </c>
      <c r="AZ4" s="81">
        <v>1</v>
      </c>
      <c r="BA4" s="81">
        <v>0</v>
      </c>
      <c r="BB4" s="81">
        <v>0</v>
      </c>
      <c r="BC4" s="81">
        <v>1</v>
      </c>
      <c r="BD4" s="81">
        <v>0</v>
      </c>
      <c r="BE4" s="81">
        <v>0</v>
      </c>
      <c r="BF4" s="81">
        <v>0</v>
      </c>
      <c r="BG4" s="81">
        <v>0</v>
      </c>
      <c r="BH4" s="81">
        <v>1</v>
      </c>
      <c r="BI4" s="81">
        <v>0</v>
      </c>
      <c r="BJ4" s="81">
        <v>0</v>
      </c>
      <c r="BK4" s="81">
        <v>0</v>
      </c>
      <c r="BL4" s="81">
        <v>1</v>
      </c>
      <c r="BM4" s="81">
        <v>0</v>
      </c>
      <c r="BN4" s="81">
        <v>0</v>
      </c>
      <c r="BO4" s="81">
        <v>3</v>
      </c>
      <c r="BP4" s="81">
        <v>3</v>
      </c>
      <c r="BQ4" s="81">
        <v>2</v>
      </c>
      <c r="BR4" s="81">
        <v>3</v>
      </c>
      <c r="BS4" s="81">
        <v>2</v>
      </c>
      <c r="BT4" s="81">
        <v>3</v>
      </c>
      <c r="BU4" s="81">
        <v>3</v>
      </c>
      <c r="BV4" s="81">
        <v>3</v>
      </c>
      <c r="BW4" s="81">
        <v>3</v>
      </c>
      <c r="BX4" s="81">
        <v>3</v>
      </c>
      <c r="BY4" s="81">
        <v>3</v>
      </c>
      <c r="BZ4" s="81">
        <v>3</v>
      </c>
      <c r="CA4" s="81">
        <v>3</v>
      </c>
      <c r="CB4" s="81">
        <v>3</v>
      </c>
      <c r="CC4" s="81">
        <v>3</v>
      </c>
      <c r="CD4" s="81">
        <v>3</v>
      </c>
      <c r="CE4" s="81">
        <v>3</v>
      </c>
      <c r="CF4" s="81">
        <v>3</v>
      </c>
      <c r="CG4" s="81">
        <v>3</v>
      </c>
      <c r="CH4" s="81">
        <v>3</v>
      </c>
      <c r="CI4" s="81">
        <v>3</v>
      </c>
      <c r="CJ4" s="81">
        <v>3</v>
      </c>
      <c r="CK4" s="81">
        <v>3</v>
      </c>
      <c r="CL4" s="81">
        <v>3</v>
      </c>
      <c r="CM4" s="81">
        <v>3</v>
      </c>
      <c r="CN4" s="81">
        <v>0</v>
      </c>
      <c r="CO4" s="81">
        <v>3</v>
      </c>
      <c r="CP4" s="81">
        <v>3</v>
      </c>
      <c r="CQ4" s="81">
        <v>3</v>
      </c>
      <c r="CR4" s="81">
        <v>3</v>
      </c>
      <c r="CS4" s="81">
        <v>3</v>
      </c>
      <c r="CT4" s="81">
        <v>3</v>
      </c>
      <c r="CU4" s="81">
        <v>0</v>
      </c>
      <c r="CV4" s="81">
        <v>3</v>
      </c>
      <c r="CW4" s="81">
        <v>3</v>
      </c>
      <c r="CX4" s="81">
        <v>2</v>
      </c>
      <c r="CY4" s="81">
        <v>3</v>
      </c>
      <c r="CZ4" s="81">
        <v>2</v>
      </c>
      <c r="DA4" s="81">
        <v>3</v>
      </c>
    </row>
    <row r="5" spans="1:105" ht="12" customHeight="1" x14ac:dyDescent="0.3">
      <c r="A5" s="81" t="s">
        <v>503</v>
      </c>
      <c r="B5" s="81" t="s">
        <v>1428</v>
      </c>
      <c r="C5" s="81" t="s">
        <v>504</v>
      </c>
      <c r="D5" s="81" t="s">
        <v>504</v>
      </c>
      <c r="E5" s="81" t="s">
        <v>393</v>
      </c>
      <c r="F5" s="81" t="s">
        <v>393</v>
      </c>
      <c r="G5" s="81" t="s">
        <v>395</v>
      </c>
      <c r="H5" s="94">
        <v>28</v>
      </c>
      <c r="I5" s="81" t="s">
        <v>16</v>
      </c>
      <c r="J5" s="81" t="s">
        <v>481</v>
      </c>
      <c r="K5" s="81">
        <v>28</v>
      </c>
      <c r="L5" s="81" t="s">
        <v>483</v>
      </c>
      <c r="M5" s="81" t="s">
        <v>484</v>
      </c>
      <c r="N5" s="81" t="s">
        <v>1430</v>
      </c>
      <c r="O5" s="81" t="s">
        <v>1434</v>
      </c>
      <c r="P5" s="81" t="s">
        <v>414</v>
      </c>
      <c r="Q5" s="81" t="s">
        <v>505</v>
      </c>
      <c r="R5" s="81">
        <v>0</v>
      </c>
      <c r="S5" s="81">
        <v>0</v>
      </c>
      <c r="T5" s="81">
        <v>0</v>
      </c>
      <c r="U5" s="81">
        <v>0</v>
      </c>
      <c r="V5" s="81">
        <v>0</v>
      </c>
      <c r="W5" s="81">
        <v>0</v>
      </c>
      <c r="X5" s="81">
        <v>1</v>
      </c>
      <c r="Y5" s="81">
        <v>0</v>
      </c>
      <c r="Z5" s="81">
        <v>0</v>
      </c>
      <c r="AA5" s="81">
        <v>0</v>
      </c>
      <c r="AB5" s="81">
        <v>0</v>
      </c>
      <c r="AC5" s="81">
        <v>0</v>
      </c>
      <c r="AD5" s="81">
        <v>1</v>
      </c>
      <c r="AE5" s="81">
        <v>0</v>
      </c>
      <c r="AF5" s="81">
        <v>1</v>
      </c>
      <c r="AG5" s="81">
        <v>0</v>
      </c>
      <c r="AH5" s="81">
        <v>1</v>
      </c>
      <c r="AI5" s="81">
        <v>0</v>
      </c>
      <c r="AJ5" s="81">
        <v>1</v>
      </c>
      <c r="AK5" s="81">
        <v>1</v>
      </c>
      <c r="AL5" s="81">
        <v>0</v>
      </c>
      <c r="AM5" s="81">
        <v>0</v>
      </c>
      <c r="AN5" s="81">
        <v>0</v>
      </c>
      <c r="AO5" s="81">
        <v>1</v>
      </c>
      <c r="AP5" s="81">
        <v>0</v>
      </c>
      <c r="AQ5" s="81">
        <v>1</v>
      </c>
      <c r="AR5" s="81">
        <v>0</v>
      </c>
      <c r="AS5" s="81">
        <v>1</v>
      </c>
      <c r="AT5" s="81">
        <v>0</v>
      </c>
      <c r="AU5" s="81">
        <v>0</v>
      </c>
      <c r="AV5" s="81">
        <v>0</v>
      </c>
      <c r="AW5" s="81">
        <v>0</v>
      </c>
      <c r="AX5" s="81">
        <v>1</v>
      </c>
      <c r="AY5" s="81">
        <v>0</v>
      </c>
      <c r="AZ5" s="81">
        <v>1</v>
      </c>
      <c r="BA5" s="81">
        <v>0</v>
      </c>
      <c r="BB5" s="81">
        <v>0</v>
      </c>
      <c r="BC5" s="81">
        <v>1</v>
      </c>
      <c r="BD5" s="81">
        <v>0</v>
      </c>
      <c r="BE5" s="81">
        <v>0</v>
      </c>
      <c r="BF5" s="81">
        <v>1</v>
      </c>
      <c r="BG5" s="81">
        <v>0</v>
      </c>
      <c r="BH5" s="81">
        <v>0</v>
      </c>
      <c r="BI5" s="81">
        <v>0</v>
      </c>
      <c r="BJ5" s="81">
        <v>0</v>
      </c>
      <c r="BK5" s="81">
        <v>0</v>
      </c>
      <c r="BL5" s="81">
        <v>0</v>
      </c>
      <c r="BM5" s="81">
        <v>1</v>
      </c>
      <c r="BN5" s="81">
        <v>0</v>
      </c>
      <c r="BO5" s="81">
        <v>3</v>
      </c>
      <c r="BP5" s="81">
        <v>3</v>
      </c>
      <c r="BQ5" s="81">
        <v>2</v>
      </c>
      <c r="BR5" s="81">
        <v>3</v>
      </c>
      <c r="BS5" s="81">
        <v>2</v>
      </c>
      <c r="BT5" s="81">
        <v>3</v>
      </c>
      <c r="BU5" s="81">
        <v>3</v>
      </c>
      <c r="BV5" s="81">
        <v>3</v>
      </c>
      <c r="BW5" s="81">
        <v>2</v>
      </c>
      <c r="BX5" s="81">
        <v>3</v>
      </c>
      <c r="BY5" s="81">
        <v>3</v>
      </c>
      <c r="BZ5" s="81">
        <v>3</v>
      </c>
      <c r="CA5" s="81">
        <v>3</v>
      </c>
      <c r="CB5" s="81">
        <v>3</v>
      </c>
      <c r="CC5" s="81">
        <v>3</v>
      </c>
      <c r="CD5" s="81">
        <v>3</v>
      </c>
      <c r="CE5" s="81">
        <v>3</v>
      </c>
      <c r="CF5" s="81">
        <v>2</v>
      </c>
      <c r="CG5" s="81">
        <v>3</v>
      </c>
      <c r="CH5" s="81">
        <v>3</v>
      </c>
      <c r="CI5" s="81">
        <v>3</v>
      </c>
      <c r="CJ5" s="81">
        <v>3</v>
      </c>
      <c r="CK5" s="81">
        <v>3</v>
      </c>
      <c r="CL5" s="81">
        <v>3</v>
      </c>
      <c r="CM5" s="81">
        <v>3</v>
      </c>
      <c r="CN5" s="81">
        <v>0</v>
      </c>
      <c r="CO5" s="81">
        <v>3</v>
      </c>
      <c r="CP5" s="81">
        <v>3</v>
      </c>
      <c r="CQ5" s="81">
        <v>3</v>
      </c>
      <c r="CR5" s="81">
        <v>3</v>
      </c>
      <c r="CS5" s="81">
        <v>3</v>
      </c>
      <c r="CT5" s="81">
        <v>3</v>
      </c>
      <c r="CU5" s="81">
        <v>0</v>
      </c>
      <c r="CV5" s="81">
        <v>2</v>
      </c>
      <c r="CW5" s="81">
        <v>2</v>
      </c>
      <c r="CX5" s="81">
        <v>2</v>
      </c>
      <c r="CY5" s="81">
        <v>3</v>
      </c>
      <c r="CZ5" s="81">
        <v>1</v>
      </c>
      <c r="DA5" s="81">
        <v>3</v>
      </c>
    </row>
    <row r="6" spans="1:105" ht="12" customHeight="1" x14ac:dyDescent="0.3">
      <c r="A6" s="81" t="s">
        <v>506</v>
      </c>
      <c r="B6" s="81" t="s">
        <v>1428</v>
      </c>
      <c r="C6" s="81" t="s">
        <v>504</v>
      </c>
      <c r="D6" s="81" t="s">
        <v>504</v>
      </c>
      <c r="E6" s="81" t="s">
        <v>393</v>
      </c>
      <c r="F6" s="81" t="s">
        <v>393</v>
      </c>
      <c r="G6" s="81" t="s">
        <v>395</v>
      </c>
      <c r="H6" s="94">
        <v>28</v>
      </c>
      <c r="I6" s="81" t="s">
        <v>16</v>
      </c>
      <c r="J6" s="81" t="s">
        <v>481</v>
      </c>
      <c r="K6" s="81">
        <v>28</v>
      </c>
      <c r="L6" s="81" t="s">
        <v>483</v>
      </c>
      <c r="M6" s="81" t="s">
        <v>484</v>
      </c>
      <c r="N6" s="81" t="s">
        <v>1430</v>
      </c>
      <c r="O6" s="81" t="s">
        <v>1434</v>
      </c>
      <c r="P6" s="81" t="s">
        <v>414</v>
      </c>
      <c r="Q6" s="81" t="s">
        <v>505</v>
      </c>
      <c r="R6" s="81">
        <v>0</v>
      </c>
      <c r="S6" s="81">
        <v>0</v>
      </c>
      <c r="T6" s="81">
        <v>0</v>
      </c>
      <c r="U6" s="81">
        <v>0</v>
      </c>
      <c r="V6" s="81">
        <v>0</v>
      </c>
      <c r="W6" s="81">
        <v>0</v>
      </c>
      <c r="X6" s="81">
        <v>1</v>
      </c>
      <c r="Y6" s="81">
        <v>0</v>
      </c>
      <c r="Z6" s="81">
        <v>0</v>
      </c>
      <c r="AA6" s="81">
        <v>0</v>
      </c>
      <c r="AB6" s="81">
        <v>0</v>
      </c>
      <c r="AC6" s="81">
        <v>0</v>
      </c>
      <c r="AD6" s="81">
        <v>1</v>
      </c>
      <c r="AE6" s="81">
        <v>0</v>
      </c>
      <c r="AF6" s="81">
        <v>1</v>
      </c>
      <c r="AG6" s="81">
        <v>0</v>
      </c>
      <c r="AH6" s="81">
        <v>1</v>
      </c>
      <c r="AI6" s="81">
        <v>0</v>
      </c>
      <c r="AJ6" s="81">
        <v>1</v>
      </c>
      <c r="AK6" s="81">
        <v>1</v>
      </c>
      <c r="AL6" s="81">
        <v>0</v>
      </c>
      <c r="AM6" s="81">
        <v>0</v>
      </c>
      <c r="AN6" s="81">
        <v>0</v>
      </c>
      <c r="AO6" s="81">
        <v>1</v>
      </c>
      <c r="AP6" s="81">
        <v>0</v>
      </c>
      <c r="AQ6" s="81">
        <v>1</v>
      </c>
      <c r="AR6" s="81">
        <v>0</v>
      </c>
      <c r="AS6" s="81">
        <v>1</v>
      </c>
      <c r="AT6" s="81">
        <v>0</v>
      </c>
      <c r="AU6" s="81">
        <v>0</v>
      </c>
      <c r="AV6" s="81">
        <v>0</v>
      </c>
      <c r="AW6" s="81">
        <v>0</v>
      </c>
      <c r="AX6" s="81">
        <v>1</v>
      </c>
      <c r="AY6" s="81">
        <v>0</v>
      </c>
      <c r="AZ6" s="81">
        <v>1</v>
      </c>
      <c r="BA6" s="81">
        <v>0</v>
      </c>
      <c r="BB6" s="81">
        <v>0</v>
      </c>
      <c r="BC6" s="81">
        <v>1</v>
      </c>
      <c r="BD6" s="81">
        <v>0</v>
      </c>
      <c r="BE6" s="81">
        <v>0</v>
      </c>
      <c r="BF6" s="81">
        <v>1</v>
      </c>
      <c r="BG6" s="81">
        <v>0</v>
      </c>
      <c r="BH6" s="81">
        <v>0</v>
      </c>
      <c r="BI6" s="81">
        <v>0</v>
      </c>
      <c r="BJ6" s="81">
        <v>0</v>
      </c>
      <c r="BK6" s="81">
        <v>0</v>
      </c>
      <c r="BL6" s="81">
        <v>0</v>
      </c>
      <c r="BM6" s="81">
        <v>1</v>
      </c>
      <c r="BN6" s="81">
        <v>0</v>
      </c>
      <c r="BO6" s="81">
        <v>3</v>
      </c>
      <c r="BP6" s="81">
        <v>3</v>
      </c>
      <c r="BQ6" s="81">
        <v>2</v>
      </c>
      <c r="BR6" s="81">
        <v>3</v>
      </c>
      <c r="BS6" s="81">
        <v>2</v>
      </c>
      <c r="BT6" s="81">
        <v>3</v>
      </c>
      <c r="BU6" s="81">
        <v>3</v>
      </c>
      <c r="BV6" s="81">
        <v>3</v>
      </c>
      <c r="BW6" s="81">
        <v>2</v>
      </c>
      <c r="BX6" s="81">
        <v>3</v>
      </c>
      <c r="BY6" s="81">
        <v>3</v>
      </c>
      <c r="BZ6" s="81">
        <v>3</v>
      </c>
      <c r="CA6" s="81">
        <v>3</v>
      </c>
      <c r="CB6" s="81">
        <v>3</v>
      </c>
      <c r="CC6" s="81">
        <v>3</v>
      </c>
      <c r="CD6" s="81">
        <v>3</v>
      </c>
      <c r="CE6" s="81">
        <v>3</v>
      </c>
      <c r="CF6" s="81">
        <v>2</v>
      </c>
      <c r="CG6" s="81">
        <v>3</v>
      </c>
      <c r="CH6" s="81">
        <v>3</v>
      </c>
      <c r="CI6" s="81">
        <v>3</v>
      </c>
      <c r="CJ6" s="81">
        <v>3</v>
      </c>
      <c r="CK6" s="81">
        <v>3</v>
      </c>
      <c r="CL6" s="81">
        <v>3</v>
      </c>
      <c r="CM6" s="81">
        <v>3</v>
      </c>
      <c r="CN6" s="81">
        <v>0</v>
      </c>
      <c r="CO6" s="81">
        <v>3</v>
      </c>
      <c r="CP6" s="81">
        <v>3</v>
      </c>
      <c r="CQ6" s="81">
        <v>3</v>
      </c>
      <c r="CR6" s="81">
        <v>3</v>
      </c>
      <c r="CS6" s="81">
        <v>3</v>
      </c>
      <c r="CT6" s="81">
        <v>3</v>
      </c>
      <c r="CU6" s="81">
        <v>0</v>
      </c>
      <c r="CV6" s="81">
        <v>2</v>
      </c>
      <c r="CW6" s="81">
        <v>2</v>
      </c>
      <c r="CX6" s="81">
        <v>2</v>
      </c>
      <c r="CY6" s="81">
        <v>3</v>
      </c>
      <c r="CZ6" s="81">
        <v>1</v>
      </c>
      <c r="DA6" s="81">
        <v>3</v>
      </c>
    </row>
    <row r="7" spans="1:105" ht="12" customHeight="1" x14ac:dyDescent="0.3">
      <c r="A7" s="81" t="s">
        <v>507</v>
      </c>
      <c r="B7" s="81" t="s">
        <v>1428</v>
      </c>
      <c r="C7" s="81" t="s">
        <v>504</v>
      </c>
      <c r="D7" s="81" t="s">
        <v>508</v>
      </c>
      <c r="E7" s="81" t="s">
        <v>393</v>
      </c>
      <c r="F7" s="81" t="s">
        <v>393</v>
      </c>
      <c r="G7" s="81"/>
      <c r="H7" s="94">
        <v>28</v>
      </c>
      <c r="I7" s="81" t="s">
        <v>16</v>
      </c>
      <c r="J7" s="81" t="s">
        <v>481</v>
      </c>
      <c r="K7" s="81">
        <v>28</v>
      </c>
      <c r="L7" s="81" t="s">
        <v>483</v>
      </c>
      <c r="M7" s="81" t="s">
        <v>484</v>
      </c>
      <c r="N7" s="81" t="s">
        <v>1430</v>
      </c>
      <c r="O7" s="81" t="s">
        <v>1434</v>
      </c>
      <c r="P7" s="81" t="s">
        <v>414</v>
      </c>
      <c r="Q7" s="81" t="s">
        <v>509</v>
      </c>
      <c r="R7" s="81">
        <v>0</v>
      </c>
      <c r="S7" s="81">
        <v>0</v>
      </c>
      <c r="T7" s="81">
        <v>0</v>
      </c>
      <c r="U7" s="81">
        <v>0</v>
      </c>
      <c r="V7" s="81">
        <v>0</v>
      </c>
      <c r="W7" s="81">
        <v>0</v>
      </c>
      <c r="X7" s="81">
        <v>1</v>
      </c>
      <c r="Y7" s="81">
        <v>0</v>
      </c>
      <c r="Z7" s="81">
        <v>0</v>
      </c>
      <c r="AA7" s="81">
        <v>0</v>
      </c>
      <c r="AB7" s="81">
        <v>0</v>
      </c>
      <c r="AC7" s="81">
        <v>0</v>
      </c>
      <c r="AD7" s="81">
        <v>1</v>
      </c>
      <c r="AE7" s="81">
        <v>0</v>
      </c>
      <c r="AF7" s="81">
        <v>1</v>
      </c>
      <c r="AG7" s="81">
        <v>0</v>
      </c>
      <c r="AH7" s="81">
        <v>1</v>
      </c>
      <c r="AI7" s="81">
        <v>0</v>
      </c>
      <c r="AJ7" s="81">
        <v>1</v>
      </c>
      <c r="AK7" s="81">
        <v>1</v>
      </c>
      <c r="AL7" s="81">
        <v>0</v>
      </c>
      <c r="AM7" s="81">
        <v>0</v>
      </c>
      <c r="AN7" s="81">
        <v>0</v>
      </c>
      <c r="AO7" s="81">
        <v>1</v>
      </c>
      <c r="AP7" s="81">
        <v>0</v>
      </c>
      <c r="AQ7" s="81">
        <v>1</v>
      </c>
      <c r="AR7" s="81">
        <v>0</v>
      </c>
      <c r="AS7" s="81">
        <v>1</v>
      </c>
      <c r="AT7" s="81">
        <v>0</v>
      </c>
      <c r="AU7" s="81">
        <v>0</v>
      </c>
      <c r="AV7" s="81">
        <v>0</v>
      </c>
      <c r="AW7" s="81">
        <v>0</v>
      </c>
      <c r="AX7" s="81">
        <v>1</v>
      </c>
      <c r="AY7" s="81">
        <v>0</v>
      </c>
      <c r="AZ7" s="81">
        <v>1</v>
      </c>
      <c r="BA7" s="81">
        <v>0</v>
      </c>
      <c r="BB7" s="81">
        <v>0</v>
      </c>
      <c r="BC7" s="81">
        <v>1</v>
      </c>
      <c r="BD7" s="81">
        <v>0</v>
      </c>
      <c r="BE7" s="81">
        <v>0</v>
      </c>
      <c r="BF7" s="81">
        <v>1</v>
      </c>
      <c r="BG7" s="81">
        <v>0</v>
      </c>
      <c r="BH7" s="81">
        <v>0</v>
      </c>
      <c r="BI7" s="81">
        <v>0</v>
      </c>
      <c r="BJ7" s="81">
        <v>0</v>
      </c>
      <c r="BK7" s="81">
        <v>0</v>
      </c>
      <c r="BL7" s="81">
        <v>0</v>
      </c>
      <c r="BM7" s="81">
        <v>1</v>
      </c>
      <c r="BN7" s="81">
        <v>0</v>
      </c>
      <c r="BO7" s="81">
        <v>3</v>
      </c>
      <c r="BP7" s="81">
        <v>3</v>
      </c>
      <c r="BQ7" s="81">
        <v>2</v>
      </c>
      <c r="BR7" s="81">
        <v>3</v>
      </c>
      <c r="BS7" s="81">
        <v>2</v>
      </c>
      <c r="BT7" s="81">
        <v>3</v>
      </c>
      <c r="BU7" s="81">
        <v>3</v>
      </c>
      <c r="BV7" s="81">
        <v>3</v>
      </c>
      <c r="BW7" s="81">
        <v>2</v>
      </c>
      <c r="BX7" s="81">
        <v>3</v>
      </c>
      <c r="BY7" s="81">
        <v>3</v>
      </c>
      <c r="BZ7" s="81">
        <v>3</v>
      </c>
      <c r="CA7" s="81">
        <v>3</v>
      </c>
      <c r="CB7" s="81">
        <v>3</v>
      </c>
      <c r="CC7" s="81">
        <v>3</v>
      </c>
      <c r="CD7" s="81">
        <v>3</v>
      </c>
      <c r="CE7" s="81">
        <v>3</v>
      </c>
      <c r="CF7" s="81">
        <v>2</v>
      </c>
      <c r="CG7" s="81">
        <v>3</v>
      </c>
      <c r="CH7" s="81">
        <v>3</v>
      </c>
      <c r="CI7" s="81">
        <v>3</v>
      </c>
      <c r="CJ7" s="81">
        <v>3</v>
      </c>
      <c r="CK7" s="81">
        <v>3</v>
      </c>
      <c r="CL7" s="81">
        <v>3</v>
      </c>
      <c r="CM7" s="81">
        <v>3</v>
      </c>
      <c r="CN7" s="81">
        <v>0</v>
      </c>
      <c r="CO7" s="81">
        <v>3</v>
      </c>
      <c r="CP7" s="81">
        <v>3</v>
      </c>
      <c r="CQ7" s="81">
        <v>3</v>
      </c>
      <c r="CR7" s="81">
        <v>3</v>
      </c>
      <c r="CS7" s="81">
        <v>3</v>
      </c>
      <c r="CT7" s="81">
        <v>3</v>
      </c>
      <c r="CU7" s="81">
        <v>0</v>
      </c>
      <c r="CV7" s="81">
        <v>2</v>
      </c>
      <c r="CW7" s="81">
        <v>2</v>
      </c>
      <c r="CX7" s="81">
        <v>2</v>
      </c>
      <c r="CY7" s="81">
        <v>3</v>
      </c>
      <c r="CZ7" s="81">
        <v>1</v>
      </c>
      <c r="DA7" s="81">
        <v>3</v>
      </c>
    </row>
    <row r="8" spans="1:105" ht="12" customHeight="1" x14ac:dyDescent="0.3">
      <c r="A8" s="81" t="s">
        <v>510</v>
      </c>
      <c r="B8" s="81" t="s">
        <v>1428</v>
      </c>
      <c r="C8" s="81" t="s">
        <v>1435</v>
      </c>
      <c r="D8" s="81" t="s">
        <v>511</v>
      </c>
      <c r="E8" s="81" t="s">
        <v>393</v>
      </c>
      <c r="F8" s="81" t="s">
        <v>393</v>
      </c>
      <c r="G8" s="81" t="s">
        <v>395</v>
      </c>
      <c r="H8" s="94">
        <v>27</v>
      </c>
      <c r="I8" s="81" t="s">
        <v>15</v>
      </c>
      <c r="J8" s="81" t="s">
        <v>474</v>
      </c>
      <c r="K8" s="81">
        <v>27</v>
      </c>
      <c r="L8" s="81" t="s">
        <v>451</v>
      </c>
      <c r="M8" s="81" t="s">
        <v>479</v>
      </c>
      <c r="N8" s="81" t="s">
        <v>1430</v>
      </c>
      <c r="O8" s="81" t="s">
        <v>1436</v>
      </c>
      <c r="P8" s="81" t="s">
        <v>414</v>
      </c>
      <c r="Q8" s="81" t="s">
        <v>512</v>
      </c>
      <c r="R8" s="81">
        <v>0</v>
      </c>
      <c r="S8" s="81">
        <v>0</v>
      </c>
      <c r="T8" s="81">
        <v>0</v>
      </c>
      <c r="U8" s="81">
        <v>0</v>
      </c>
      <c r="V8" s="81">
        <v>0</v>
      </c>
      <c r="W8" s="81">
        <v>0</v>
      </c>
      <c r="X8" s="81">
        <v>0</v>
      </c>
      <c r="Y8" s="81">
        <v>0</v>
      </c>
      <c r="Z8" s="81">
        <v>0</v>
      </c>
      <c r="AA8" s="81">
        <v>0</v>
      </c>
      <c r="AB8" s="81">
        <v>0</v>
      </c>
      <c r="AC8" s="81">
        <v>0</v>
      </c>
      <c r="AD8" s="81">
        <v>1</v>
      </c>
      <c r="AE8" s="81">
        <v>0</v>
      </c>
      <c r="AF8" s="81">
        <v>1</v>
      </c>
      <c r="AG8" s="81">
        <v>0</v>
      </c>
      <c r="AH8" s="81">
        <v>0</v>
      </c>
      <c r="AI8" s="81">
        <v>0</v>
      </c>
      <c r="AJ8" s="81">
        <v>1</v>
      </c>
      <c r="AK8" s="81">
        <v>1</v>
      </c>
      <c r="AL8" s="81">
        <v>0</v>
      </c>
      <c r="AM8" s="81">
        <v>0</v>
      </c>
      <c r="AN8" s="81">
        <v>0</v>
      </c>
      <c r="AO8" s="81">
        <v>0</v>
      </c>
      <c r="AP8" s="81">
        <v>0</v>
      </c>
      <c r="AQ8" s="81">
        <v>0</v>
      </c>
      <c r="AR8" s="81">
        <v>0</v>
      </c>
      <c r="AS8" s="81">
        <v>1</v>
      </c>
      <c r="AT8" s="81">
        <v>0</v>
      </c>
      <c r="AU8" s="81">
        <v>1</v>
      </c>
      <c r="AV8" s="81">
        <v>0</v>
      </c>
      <c r="AW8" s="81">
        <v>0</v>
      </c>
      <c r="AX8" s="81">
        <v>1</v>
      </c>
      <c r="AY8" s="81">
        <v>0</v>
      </c>
      <c r="AZ8" s="81">
        <v>1</v>
      </c>
      <c r="BA8" s="81">
        <v>0</v>
      </c>
      <c r="BB8" s="81">
        <v>0</v>
      </c>
      <c r="BC8" s="81">
        <v>0</v>
      </c>
      <c r="BD8" s="81">
        <v>1</v>
      </c>
      <c r="BE8" s="81">
        <v>0</v>
      </c>
      <c r="BF8" s="81">
        <v>1</v>
      </c>
      <c r="BG8" s="81">
        <v>0</v>
      </c>
      <c r="BH8" s="81">
        <v>0</v>
      </c>
      <c r="BI8" s="81">
        <v>0</v>
      </c>
      <c r="BJ8" s="81">
        <v>0</v>
      </c>
      <c r="BK8" s="81">
        <v>0</v>
      </c>
      <c r="BL8" s="81">
        <v>1</v>
      </c>
      <c r="BM8" s="81">
        <v>0</v>
      </c>
      <c r="BN8" s="81">
        <v>0</v>
      </c>
      <c r="BO8" s="81">
        <v>3</v>
      </c>
      <c r="BP8" s="81">
        <v>3</v>
      </c>
      <c r="BQ8" s="81">
        <v>2</v>
      </c>
      <c r="BR8" s="81">
        <v>2</v>
      </c>
      <c r="BS8" s="81">
        <v>2</v>
      </c>
      <c r="BT8" s="81">
        <v>3</v>
      </c>
      <c r="BU8" s="81">
        <v>3</v>
      </c>
      <c r="BV8" s="81">
        <v>2</v>
      </c>
      <c r="BW8" s="81">
        <v>2</v>
      </c>
      <c r="BX8" s="81">
        <v>3</v>
      </c>
      <c r="BY8" s="81">
        <v>3</v>
      </c>
      <c r="BZ8" s="81">
        <v>2</v>
      </c>
      <c r="CA8" s="81">
        <v>3</v>
      </c>
      <c r="CB8" s="81">
        <v>3</v>
      </c>
      <c r="CC8" s="81">
        <v>3</v>
      </c>
      <c r="CD8" s="81">
        <v>2</v>
      </c>
      <c r="CE8" s="81">
        <v>3</v>
      </c>
      <c r="CF8" s="81">
        <v>2</v>
      </c>
      <c r="CG8" s="81">
        <v>3</v>
      </c>
      <c r="CH8" s="81">
        <v>3</v>
      </c>
      <c r="CI8" s="81">
        <v>3</v>
      </c>
      <c r="CJ8" s="81">
        <v>3</v>
      </c>
      <c r="CK8" s="81">
        <v>3</v>
      </c>
      <c r="CL8" s="81">
        <v>3</v>
      </c>
      <c r="CM8" s="81">
        <v>2</v>
      </c>
      <c r="CN8" s="81">
        <v>0</v>
      </c>
      <c r="CO8" s="81">
        <v>3</v>
      </c>
      <c r="CP8" s="81">
        <v>3</v>
      </c>
      <c r="CQ8" s="81">
        <v>3</v>
      </c>
      <c r="CR8" s="81">
        <v>2</v>
      </c>
      <c r="CS8" s="81">
        <v>3</v>
      </c>
      <c r="CT8" s="81">
        <v>3</v>
      </c>
      <c r="CU8" s="81">
        <v>0</v>
      </c>
      <c r="CV8" s="81">
        <v>2</v>
      </c>
      <c r="CW8" s="81">
        <v>2</v>
      </c>
      <c r="CX8" s="81">
        <v>2</v>
      </c>
      <c r="CY8" s="81">
        <v>2</v>
      </c>
      <c r="CZ8" s="81">
        <v>1</v>
      </c>
      <c r="DA8" s="81">
        <v>2</v>
      </c>
    </row>
    <row r="9" spans="1:105" ht="12" customHeight="1" x14ac:dyDescent="0.3">
      <c r="A9" s="81" t="s">
        <v>513</v>
      </c>
      <c r="B9" s="81" t="s">
        <v>1428</v>
      </c>
      <c r="C9" s="81" t="s">
        <v>1435</v>
      </c>
      <c r="D9" s="81" t="s">
        <v>511</v>
      </c>
      <c r="E9" s="81" t="s">
        <v>393</v>
      </c>
      <c r="F9" s="81" t="s">
        <v>393</v>
      </c>
      <c r="G9" s="81" t="s">
        <v>395</v>
      </c>
      <c r="H9" s="94">
        <v>26</v>
      </c>
      <c r="I9" s="81" t="s">
        <v>14</v>
      </c>
      <c r="J9" s="81" t="s">
        <v>474</v>
      </c>
      <c r="K9" s="81">
        <v>26</v>
      </c>
      <c r="L9" s="81" t="s">
        <v>451</v>
      </c>
      <c r="M9" s="81" t="s">
        <v>476</v>
      </c>
      <c r="N9" s="81" t="s">
        <v>1430</v>
      </c>
      <c r="O9" s="81" t="s">
        <v>1437</v>
      </c>
      <c r="P9" s="81" t="s">
        <v>414</v>
      </c>
      <c r="Q9" s="81" t="s">
        <v>514</v>
      </c>
      <c r="R9" s="81">
        <v>0</v>
      </c>
      <c r="S9" s="81">
        <v>0</v>
      </c>
      <c r="T9" s="81">
        <v>0</v>
      </c>
      <c r="U9" s="81">
        <v>0</v>
      </c>
      <c r="V9" s="81">
        <v>0</v>
      </c>
      <c r="W9" s="81">
        <v>0</v>
      </c>
      <c r="X9" s="81">
        <v>0</v>
      </c>
      <c r="Y9" s="81">
        <v>0</v>
      </c>
      <c r="Z9" s="81">
        <v>0</v>
      </c>
      <c r="AA9" s="81">
        <v>0</v>
      </c>
      <c r="AB9" s="81">
        <v>0</v>
      </c>
      <c r="AC9" s="81">
        <v>0</v>
      </c>
      <c r="AD9" s="81">
        <v>1</v>
      </c>
      <c r="AE9" s="81">
        <v>0</v>
      </c>
      <c r="AF9" s="81">
        <v>1</v>
      </c>
      <c r="AG9" s="81">
        <v>0</v>
      </c>
      <c r="AH9" s="81">
        <v>0</v>
      </c>
      <c r="AI9" s="81">
        <v>0</v>
      </c>
      <c r="AJ9" s="81">
        <v>1</v>
      </c>
      <c r="AK9" s="81">
        <v>1</v>
      </c>
      <c r="AL9" s="81">
        <v>0</v>
      </c>
      <c r="AM9" s="81">
        <v>0</v>
      </c>
      <c r="AN9" s="81">
        <v>0</v>
      </c>
      <c r="AO9" s="81">
        <v>0</v>
      </c>
      <c r="AP9" s="81">
        <v>0</v>
      </c>
      <c r="AQ9" s="81">
        <v>0</v>
      </c>
      <c r="AR9" s="81">
        <v>0</v>
      </c>
      <c r="AS9" s="81">
        <v>1</v>
      </c>
      <c r="AT9" s="81">
        <v>0</v>
      </c>
      <c r="AU9" s="81">
        <v>1</v>
      </c>
      <c r="AV9" s="81">
        <v>0</v>
      </c>
      <c r="AW9" s="81">
        <v>0</v>
      </c>
      <c r="AX9" s="81">
        <v>1</v>
      </c>
      <c r="AY9" s="81">
        <v>0</v>
      </c>
      <c r="AZ9" s="81">
        <v>1</v>
      </c>
      <c r="BA9" s="81">
        <v>0</v>
      </c>
      <c r="BB9" s="81">
        <v>0</v>
      </c>
      <c r="BC9" s="81">
        <v>0</v>
      </c>
      <c r="BD9" s="81">
        <v>1</v>
      </c>
      <c r="BE9" s="81">
        <v>0</v>
      </c>
      <c r="BF9" s="81">
        <v>1</v>
      </c>
      <c r="BG9" s="81">
        <v>0</v>
      </c>
      <c r="BH9" s="81">
        <v>0</v>
      </c>
      <c r="BI9" s="81">
        <v>0</v>
      </c>
      <c r="BJ9" s="81">
        <v>0</v>
      </c>
      <c r="BK9" s="81">
        <v>0</v>
      </c>
      <c r="BL9" s="81">
        <v>1</v>
      </c>
      <c r="BM9" s="81">
        <v>0</v>
      </c>
      <c r="BN9" s="81">
        <v>0</v>
      </c>
      <c r="BO9" s="81">
        <v>3</v>
      </c>
      <c r="BP9" s="81">
        <v>2</v>
      </c>
      <c r="BQ9" s="81">
        <v>2</v>
      </c>
      <c r="BR9" s="81">
        <v>2</v>
      </c>
      <c r="BS9" s="81">
        <v>2</v>
      </c>
      <c r="BT9" s="81">
        <v>3</v>
      </c>
      <c r="BU9" s="81">
        <v>2</v>
      </c>
      <c r="BV9" s="81">
        <v>2</v>
      </c>
      <c r="BW9" s="81">
        <v>2</v>
      </c>
      <c r="BX9" s="81">
        <v>3</v>
      </c>
      <c r="BY9" s="81">
        <v>2</v>
      </c>
      <c r="BZ9" s="81">
        <v>2</v>
      </c>
      <c r="CA9" s="81">
        <v>3</v>
      </c>
      <c r="CB9" s="81">
        <v>3</v>
      </c>
      <c r="CC9" s="81">
        <v>2</v>
      </c>
      <c r="CD9" s="81">
        <v>2</v>
      </c>
      <c r="CE9" s="81">
        <v>2</v>
      </c>
      <c r="CF9" s="81">
        <v>2</v>
      </c>
      <c r="CG9" s="81">
        <v>3</v>
      </c>
      <c r="CH9" s="81">
        <v>3</v>
      </c>
      <c r="CI9" s="81">
        <v>2</v>
      </c>
      <c r="CJ9" s="81">
        <v>2</v>
      </c>
      <c r="CK9" s="81">
        <v>2</v>
      </c>
      <c r="CL9" s="81">
        <v>2</v>
      </c>
      <c r="CM9" s="81">
        <v>2</v>
      </c>
      <c r="CN9" s="81">
        <v>0</v>
      </c>
      <c r="CO9" s="81">
        <v>2</v>
      </c>
      <c r="CP9" s="81">
        <v>3</v>
      </c>
      <c r="CQ9" s="81">
        <v>2</v>
      </c>
      <c r="CR9" s="81">
        <v>2</v>
      </c>
      <c r="CS9" s="81">
        <v>3</v>
      </c>
      <c r="CT9" s="81">
        <v>2</v>
      </c>
      <c r="CU9" s="81">
        <v>0</v>
      </c>
      <c r="CV9" s="81">
        <v>2</v>
      </c>
      <c r="CW9" s="81">
        <v>2</v>
      </c>
      <c r="CX9" s="81">
        <v>2</v>
      </c>
      <c r="CY9" s="81">
        <v>2</v>
      </c>
      <c r="CZ9" s="81">
        <v>1</v>
      </c>
      <c r="DA9" s="81">
        <v>2</v>
      </c>
    </row>
    <row r="10" spans="1:105" ht="12" customHeight="1" x14ac:dyDescent="0.3">
      <c r="A10" s="81" t="s">
        <v>515</v>
      </c>
      <c r="B10" s="81" t="s">
        <v>1428</v>
      </c>
      <c r="C10" s="81" t="s">
        <v>1435</v>
      </c>
      <c r="D10" s="81" t="s">
        <v>516</v>
      </c>
      <c r="E10" s="81" t="s">
        <v>393</v>
      </c>
      <c r="F10" s="81" t="s">
        <v>393</v>
      </c>
      <c r="G10" s="81" t="s">
        <v>395</v>
      </c>
      <c r="H10" s="94">
        <v>27</v>
      </c>
      <c r="I10" s="81" t="s">
        <v>15</v>
      </c>
      <c r="J10" s="81" t="s">
        <v>474</v>
      </c>
      <c r="K10" s="81">
        <v>27</v>
      </c>
      <c r="L10" s="81" t="s">
        <v>451</v>
      </c>
      <c r="M10" s="81" t="s">
        <v>479</v>
      </c>
      <c r="N10" s="81" t="s">
        <v>1430</v>
      </c>
      <c r="O10" s="81" t="s">
        <v>1436</v>
      </c>
      <c r="P10" s="81" t="s">
        <v>414</v>
      </c>
      <c r="Q10" s="81" t="s">
        <v>512</v>
      </c>
      <c r="R10" s="81">
        <v>0</v>
      </c>
      <c r="S10" s="81">
        <v>0</v>
      </c>
      <c r="T10" s="81">
        <v>0</v>
      </c>
      <c r="U10" s="81">
        <v>0</v>
      </c>
      <c r="V10" s="81">
        <v>0</v>
      </c>
      <c r="W10" s="81">
        <v>0</v>
      </c>
      <c r="X10" s="81">
        <v>0</v>
      </c>
      <c r="Y10" s="81">
        <v>0</v>
      </c>
      <c r="Z10" s="81">
        <v>0</v>
      </c>
      <c r="AA10" s="81">
        <v>0</v>
      </c>
      <c r="AB10" s="81">
        <v>0</v>
      </c>
      <c r="AC10" s="81">
        <v>0</v>
      </c>
      <c r="AD10" s="81">
        <v>1</v>
      </c>
      <c r="AE10" s="81">
        <v>0</v>
      </c>
      <c r="AF10" s="81">
        <v>1</v>
      </c>
      <c r="AG10" s="81">
        <v>0</v>
      </c>
      <c r="AH10" s="81">
        <v>0</v>
      </c>
      <c r="AI10" s="81">
        <v>0</v>
      </c>
      <c r="AJ10" s="81">
        <v>1</v>
      </c>
      <c r="AK10" s="81">
        <v>1</v>
      </c>
      <c r="AL10" s="81">
        <v>0</v>
      </c>
      <c r="AM10" s="81">
        <v>0</v>
      </c>
      <c r="AN10" s="81">
        <v>0</v>
      </c>
      <c r="AO10" s="81">
        <v>0</v>
      </c>
      <c r="AP10" s="81">
        <v>0</v>
      </c>
      <c r="AQ10" s="81">
        <v>0</v>
      </c>
      <c r="AR10" s="81">
        <v>0</v>
      </c>
      <c r="AS10" s="81">
        <v>1</v>
      </c>
      <c r="AT10" s="81">
        <v>0</v>
      </c>
      <c r="AU10" s="81">
        <v>1</v>
      </c>
      <c r="AV10" s="81">
        <v>0</v>
      </c>
      <c r="AW10" s="81">
        <v>0</v>
      </c>
      <c r="AX10" s="81">
        <v>1</v>
      </c>
      <c r="AY10" s="81">
        <v>0</v>
      </c>
      <c r="AZ10" s="81">
        <v>1</v>
      </c>
      <c r="BA10" s="81">
        <v>0</v>
      </c>
      <c r="BB10" s="81">
        <v>0</v>
      </c>
      <c r="BC10" s="81">
        <v>0</v>
      </c>
      <c r="BD10" s="81">
        <v>1</v>
      </c>
      <c r="BE10" s="81">
        <v>0</v>
      </c>
      <c r="BF10" s="81">
        <v>1</v>
      </c>
      <c r="BG10" s="81">
        <v>0</v>
      </c>
      <c r="BH10" s="81">
        <v>0</v>
      </c>
      <c r="BI10" s="81">
        <v>0</v>
      </c>
      <c r="BJ10" s="81">
        <v>0</v>
      </c>
      <c r="BK10" s="81">
        <v>0</v>
      </c>
      <c r="BL10" s="81">
        <v>1</v>
      </c>
      <c r="BM10" s="81">
        <v>0</v>
      </c>
      <c r="BN10" s="81">
        <v>0</v>
      </c>
      <c r="BO10" s="81">
        <v>3</v>
      </c>
      <c r="BP10" s="81">
        <v>3</v>
      </c>
      <c r="BQ10" s="81">
        <v>2</v>
      </c>
      <c r="BR10" s="81">
        <v>2</v>
      </c>
      <c r="BS10" s="81">
        <v>2</v>
      </c>
      <c r="BT10" s="81">
        <v>3</v>
      </c>
      <c r="BU10" s="81">
        <v>3</v>
      </c>
      <c r="BV10" s="81">
        <v>2</v>
      </c>
      <c r="BW10" s="81">
        <v>2</v>
      </c>
      <c r="BX10" s="81">
        <v>3</v>
      </c>
      <c r="BY10" s="81">
        <v>3</v>
      </c>
      <c r="BZ10" s="81">
        <v>2</v>
      </c>
      <c r="CA10" s="81">
        <v>3</v>
      </c>
      <c r="CB10" s="81">
        <v>3</v>
      </c>
      <c r="CC10" s="81">
        <v>3</v>
      </c>
      <c r="CD10" s="81">
        <v>2</v>
      </c>
      <c r="CE10" s="81">
        <v>3</v>
      </c>
      <c r="CF10" s="81">
        <v>2</v>
      </c>
      <c r="CG10" s="81">
        <v>3</v>
      </c>
      <c r="CH10" s="81">
        <v>3</v>
      </c>
      <c r="CI10" s="81">
        <v>3</v>
      </c>
      <c r="CJ10" s="81">
        <v>3</v>
      </c>
      <c r="CK10" s="81">
        <v>3</v>
      </c>
      <c r="CL10" s="81">
        <v>3</v>
      </c>
      <c r="CM10" s="81">
        <v>2</v>
      </c>
      <c r="CN10" s="81">
        <v>0</v>
      </c>
      <c r="CO10" s="81">
        <v>3</v>
      </c>
      <c r="CP10" s="81">
        <v>3</v>
      </c>
      <c r="CQ10" s="81">
        <v>3</v>
      </c>
      <c r="CR10" s="81">
        <v>2</v>
      </c>
      <c r="CS10" s="81">
        <v>3</v>
      </c>
      <c r="CT10" s="81">
        <v>3</v>
      </c>
      <c r="CU10" s="81">
        <v>0</v>
      </c>
      <c r="CV10" s="81">
        <v>2</v>
      </c>
      <c r="CW10" s="81">
        <v>2</v>
      </c>
      <c r="CX10" s="81">
        <v>2</v>
      </c>
      <c r="CY10" s="81">
        <v>2</v>
      </c>
      <c r="CZ10" s="81">
        <v>1</v>
      </c>
      <c r="DA10" s="81">
        <v>2</v>
      </c>
    </row>
    <row r="11" spans="1:105" ht="12" customHeight="1" x14ac:dyDescent="0.3">
      <c r="A11" s="81" t="s">
        <v>517</v>
      </c>
      <c r="B11" s="81" t="s">
        <v>1428</v>
      </c>
      <c r="C11" s="81" t="s">
        <v>1435</v>
      </c>
      <c r="D11" s="81" t="s">
        <v>518</v>
      </c>
      <c r="E11" s="81" t="s">
        <v>393</v>
      </c>
      <c r="F11" s="81" t="s">
        <v>393</v>
      </c>
      <c r="G11" s="81" t="s">
        <v>395</v>
      </c>
      <c r="H11" s="94">
        <v>27</v>
      </c>
      <c r="I11" s="81" t="s">
        <v>15</v>
      </c>
      <c r="J11" s="81" t="s">
        <v>474</v>
      </c>
      <c r="K11" s="81">
        <v>27</v>
      </c>
      <c r="L11" s="81" t="s">
        <v>451</v>
      </c>
      <c r="M11" s="81" t="s">
        <v>479</v>
      </c>
      <c r="N11" s="81" t="s">
        <v>1430</v>
      </c>
      <c r="O11" s="81" t="s">
        <v>1436</v>
      </c>
      <c r="P11" s="81" t="s">
        <v>414</v>
      </c>
      <c r="Q11" s="81" t="s">
        <v>512</v>
      </c>
      <c r="R11" s="81">
        <v>0</v>
      </c>
      <c r="S11" s="81">
        <v>0</v>
      </c>
      <c r="T11" s="81">
        <v>0</v>
      </c>
      <c r="U11" s="81">
        <v>0</v>
      </c>
      <c r="V11" s="81">
        <v>0</v>
      </c>
      <c r="W11" s="81">
        <v>0</v>
      </c>
      <c r="X11" s="81">
        <v>0</v>
      </c>
      <c r="Y11" s="81">
        <v>0</v>
      </c>
      <c r="Z11" s="81">
        <v>0</v>
      </c>
      <c r="AA11" s="81">
        <v>0</v>
      </c>
      <c r="AB11" s="81">
        <v>0</v>
      </c>
      <c r="AC11" s="81">
        <v>0</v>
      </c>
      <c r="AD11" s="81">
        <v>1</v>
      </c>
      <c r="AE11" s="81">
        <v>0</v>
      </c>
      <c r="AF11" s="81">
        <v>1</v>
      </c>
      <c r="AG11" s="81">
        <v>0</v>
      </c>
      <c r="AH11" s="81">
        <v>0</v>
      </c>
      <c r="AI11" s="81">
        <v>0</v>
      </c>
      <c r="AJ11" s="81">
        <v>1</v>
      </c>
      <c r="AK11" s="81">
        <v>1</v>
      </c>
      <c r="AL11" s="81">
        <v>0</v>
      </c>
      <c r="AM11" s="81">
        <v>0</v>
      </c>
      <c r="AN11" s="81">
        <v>0</v>
      </c>
      <c r="AO11" s="81">
        <v>0</v>
      </c>
      <c r="AP11" s="81">
        <v>0</v>
      </c>
      <c r="AQ11" s="81">
        <v>0</v>
      </c>
      <c r="AR11" s="81">
        <v>0</v>
      </c>
      <c r="AS11" s="81">
        <v>1</v>
      </c>
      <c r="AT11" s="81">
        <v>0</v>
      </c>
      <c r="AU11" s="81">
        <v>1</v>
      </c>
      <c r="AV11" s="81">
        <v>0</v>
      </c>
      <c r="AW11" s="81">
        <v>0</v>
      </c>
      <c r="AX11" s="81">
        <v>1</v>
      </c>
      <c r="AY11" s="81">
        <v>0</v>
      </c>
      <c r="AZ11" s="81">
        <v>1</v>
      </c>
      <c r="BA11" s="81">
        <v>0</v>
      </c>
      <c r="BB11" s="81">
        <v>0</v>
      </c>
      <c r="BC11" s="81">
        <v>0</v>
      </c>
      <c r="BD11" s="81">
        <v>1</v>
      </c>
      <c r="BE11" s="81">
        <v>0</v>
      </c>
      <c r="BF11" s="81">
        <v>1</v>
      </c>
      <c r="BG11" s="81">
        <v>0</v>
      </c>
      <c r="BH11" s="81">
        <v>0</v>
      </c>
      <c r="BI11" s="81">
        <v>0</v>
      </c>
      <c r="BJ11" s="81">
        <v>0</v>
      </c>
      <c r="BK11" s="81">
        <v>0</v>
      </c>
      <c r="BL11" s="81">
        <v>1</v>
      </c>
      <c r="BM11" s="81">
        <v>0</v>
      </c>
      <c r="BN11" s="81">
        <v>0</v>
      </c>
      <c r="BO11" s="81">
        <v>3</v>
      </c>
      <c r="BP11" s="81">
        <v>3</v>
      </c>
      <c r="BQ11" s="81">
        <v>2</v>
      </c>
      <c r="BR11" s="81">
        <v>2</v>
      </c>
      <c r="BS11" s="81">
        <v>2</v>
      </c>
      <c r="BT11" s="81">
        <v>3</v>
      </c>
      <c r="BU11" s="81">
        <v>3</v>
      </c>
      <c r="BV11" s="81">
        <v>2</v>
      </c>
      <c r="BW11" s="81">
        <v>2</v>
      </c>
      <c r="BX11" s="81">
        <v>3</v>
      </c>
      <c r="BY11" s="81">
        <v>3</v>
      </c>
      <c r="BZ11" s="81">
        <v>2</v>
      </c>
      <c r="CA11" s="81">
        <v>3</v>
      </c>
      <c r="CB11" s="81">
        <v>3</v>
      </c>
      <c r="CC11" s="81">
        <v>3</v>
      </c>
      <c r="CD11" s="81">
        <v>2</v>
      </c>
      <c r="CE11" s="81">
        <v>3</v>
      </c>
      <c r="CF11" s="81">
        <v>2</v>
      </c>
      <c r="CG11" s="81">
        <v>3</v>
      </c>
      <c r="CH11" s="81">
        <v>3</v>
      </c>
      <c r="CI11" s="81">
        <v>3</v>
      </c>
      <c r="CJ11" s="81">
        <v>3</v>
      </c>
      <c r="CK11" s="81">
        <v>3</v>
      </c>
      <c r="CL11" s="81">
        <v>3</v>
      </c>
      <c r="CM11" s="81">
        <v>2</v>
      </c>
      <c r="CN11" s="81">
        <v>0</v>
      </c>
      <c r="CO11" s="81">
        <v>3</v>
      </c>
      <c r="CP11" s="81">
        <v>3</v>
      </c>
      <c r="CQ11" s="81">
        <v>3</v>
      </c>
      <c r="CR11" s="81">
        <v>2</v>
      </c>
      <c r="CS11" s="81">
        <v>3</v>
      </c>
      <c r="CT11" s="81">
        <v>3</v>
      </c>
      <c r="CU11" s="81">
        <v>0</v>
      </c>
      <c r="CV11" s="81">
        <v>2</v>
      </c>
      <c r="CW11" s="81">
        <v>2</v>
      </c>
      <c r="CX11" s="81">
        <v>2</v>
      </c>
      <c r="CY11" s="81">
        <v>2</v>
      </c>
      <c r="CZ11" s="81">
        <v>1</v>
      </c>
      <c r="DA11" s="81">
        <v>2</v>
      </c>
    </row>
    <row r="12" spans="1:105" ht="12" customHeight="1" x14ac:dyDescent="0.3">
      <c r="A12" s="81" t="s">
        <v>519</v>
      </c>
      <c r="B12" s="81" t="s">
        <v>1428</v>
      </c>
      <c r="C12" s="81" t="s">
        <v>1435</v>
      </c>
      <c r="D12" s="81" t="s">
        <v>520</v>
      </c>
      <c r="E12" s="81" t="s">
        <v>393</v>
      </c>
      <c r="F12" s="81" t="s">
        <v>393</v>
      </c>
      <c r="G12" s="81" t="s">
        <v>395</v>
      </c>
      <c r="H12" s="94">
        <v>27</v>
      </c>
      <c r="I12" s="81" t="s">
        <v>15</v>
      </c>
      <c r="J12" s="81" t="s">
        <v>474</v>
      </c>
      <c r="K12" s="81">
        <v>27</v>
      </c>
      <c r="L12" s="81" t="s">
        <v>451</v>
      </c>
      <c r="M12" s="81" t="s">
        <v>479</v>
      </c>
      <c r="N12" s="81" t="s">
        <v>1430</v>
      </c>
      <c r="O12" s="81" t="s">
        <v>1436</v>
      </c>
      <c r="P12" s="81" t="s">
        <v>414</v>
      </c>
      <c r="Q12" s="81" t="s">
        <v>512</v>
      </c>
      <c r="R12" s="81">
        <v>0</v>
      </c>
      <c r="S12" s="81">
        <v>0</v>
      </c>
      <c r="T12" s="81">
        <v>0</v>
      </c>
      <c r="U12" s="81">
        <v>0</v>
      </c>
      <c r="V12" s="81">
        <v>0</v>
      </c>
      <c r="W12" s="81">
        <v>0</v>
      </c>
      <c r="X12" s="81">
        <v>0</v>
      </c>
      <c r="Y12" s="81">
        <v>0</v>
      </c>
      <c r="Z12" s="81">
        <v>0</v>
      </c>
      <c r="AA12" s="81">
        <v>0</v>
      </c>
      <c r="AB12" s="81">
        <v>0</v>
      </c>
      <c r="AC12" s="81">
        <v>0</v>
      </c>
      <c r="AD12" s="81">
        <v>1</v>
      </c>
      <c r="AE12" s="81">
        <v>0</v>
      </c>
      <c r="AF12" s="81">
        <v>1</v>
      </c>
      <c r="AG12" s="81">
        <v>0</v>
      </c>
      <c r="AH12" s="81">
        <v>0</v>
      </c>
      <c r="AI12" s="81">
        <v>0</v>
      </c>
      <c r="AJ12" s="81">
        <v>1</v>
      </c>
      <c r="AK12" s="81">
        <v>1</v>
      </c>
      <c r="AL12" s="81">
        <v>0</v>
      </c>
      <c r="AM12" s="81">
        <v>0</v>
      </c>
      <c r="AN12" s="81">
        <v>0</v>
      </c>
      <c r="AO12" s="81">
        <v>0</v>
      </c>
      <c r="AP12" s="81">
        <v>0</v>
      </c>
      <c r="AQ12" s="81">
        <v>0</v>
      </c>
      <c r="AR12" s="81">
        <v>0</v>
      </c>
      <c r="AS12" s="81">
        <v>1</v>
      </c>
      <c r="AT12" s="81">
        <v>0</v>
      </c>
      <c r="AU12" s="81">
        <v>1</v>
      </c>
      <c r="AV12" s="81">
        <v>0</v>
      </c>
      <c r="AW12" s="81">
        <v>0</v>
      </c>
      <c r="AX12" s="81">
        <v>1</v>
      </c>
      <c r="AY12" s="81">
        <v>0</v>
      </c>
      <c r="AZ12" s="81">
        <v>1</v>
      </c>
      <c r="BA12" s="81">
        <v>0</v>
      </c>
      <c r="BB12" s="81">
        <v>0</v>
      </c>
      <c r="BC12" s="81">
        <v>0</v>
      </c>
      <c r="BD12" s="81">
        <v>1</v>
      </c>
      <c r="BE12" s="81">
        <v>0</v>
      </c>
      <c r="BF12" s="81">
        <v>1</v>
      </c>
      <c r="BG12" s="81">
        <v>0</v>
      </c>
      <c r="BH12" s="81">
        <v>0</v>
      </c>
      <c r="BI12" s="81">
        <v>0</v>
      </c>
      <c r="BJ12" s="81">
        <v>0</v>
      </c>
      <c r="BK12" s="81">
        <v>0</v>
      </c>
      <c r="BL12" s="81">
        <v>1</v>
      </c>
      <c r="BM12" s="81">
        <v>0</v>
      </c>
      <c r="BN12" s="81">
        <v>0</v>
      </c>
      <c r="BO12" s="81">
        <v>3</v>
      </c>
      <c r="BP12" s="81">
        <v>3</v>
      </c>
      <c r="BQ12" s="81">
        <v>2</v>
      </c>
      <c r="BR12" s="81">
        <v>2</v>
      </c>
      <c r="BS12" s="81">
        <v>2</v>
      </c>
      <c r="BT12" s="81">
        <v>3</v>
      </c>
      <c r="BU12" s="81">
        <v>3</v>
      </c>
      <c r="BV12" s="81">
        <v>2</v>
      </c>
      <c r="BW12" s="81">
        <v>2</v>
      </c>
      <c r="BX12" s="81">
        <v>3</v>
      </c>
      <c r="BY12" s="81">
        <v>3</v>
      </c>
      <c r="BZ12" s="81">
        <v>2</v>
      </c>
      <c r="CA12" s="81">
        <v>3</v>
      </c>
      <c r="CB12" s="81">
        <v>3</v>
      </c>
      <c r="CC12" s="81">
        <v>3</v>
      </c>
      <c r="CD12" s="81">
        <v>2</v>
      </c>
      <c r="CE12" s="81">
        <v>3</v>
      </c>
      <c r="CF12" s="81">
        <v>2</v>
      </c>
      <c r="CG12" s="81">
        <v>3</v>
      </c>
      <c r="CH12" s="81">
        <v>3</v>
      </c>
      <c r="CI12" s="81">
        <v>3</v>
      </c>
      <c r="CJ12" s="81">
        <v>3</v>
      </c>
      <c r="CK12" s="81">
        <v>3</v>
      </c>
      <c r="CL12" s="81">
        <v>3</v>
      </c>
      <c r="CM12" s="81">
        <v>2</v>
      </c>
      <c r="CN12" s="81">
        <v>0</v>
      </c>
      <c r="CO12" s="81">
        <v>3</v>
      </c>
      <c r="CP12" s="81">
        <v>3</v>
      </c>
      <c r="CQ12" s="81">
        <v>3</v>
      </c>
      <c r="CR12" s="81">
        <v>2</v>
      </c>
      <c r="CS12" s="81">
        <v>3</v>
      </c>
      <c r="CT12" s="81">
        <v>3</v>
      </c>
      <c r="CU12" s="81">
        <v>0</v>
      </c>
      <c r="CV12" s="81">
        <v>2</v>
      </c>
      <c r="CW12" s="81">
        <v>2</v>
      </c>
      <c r="CX12" s="81">
        <v>2</v>
      </c>
      <c r="CY12" s="81">
        <v>2</v>
      </c>
      <c r="CZ12" s="81">
        <v>1</v>
      </c>
      <c r="DA12" s="81">
        <v>2</v>
      </c>
    </row>
    <row r="13" spans="1:105" ht="12" customHeight="1" x14ac:dyDescent="0.3">
      <c r="A13" s="81" t="s">
        <v>521</v>
      </c>
      <c r="B13" s="81" t="s">
        <v>1428</v>
      </c>
      <c r="C13" s="81" t="s">
        <v>1435</v>
      </c>
      <c r="D13" s="81" t="s">
        <v>522</v>
      </c>
      <c r="E13" s="81" t="s">
        <v>393</v>
      </c>
      <c r="F13" s="81" t="s">
        <v>393</v>
      </c>
      <c r="G13" s="81" t="s">
        <v>395</v>
      </c>
      <c r="H13" s="94">
        <v>27</v>
      </c>
      <c r="I13" s="81" t="s">
        <v>15</v>
      </c>
      <c r="J13" s="81" t="s">
        <v>474</v>
      </c>
      <c r="K13" s="81">
        <v>27</v>
      </c>
      <c r="L13" s="81" t="s">
        <v>451</v>
      </c>
      <c r="M13" s="81" t="s">
        <v>479</v>
      </c>
      <c r="N13" s="81" t="s">
        <v>1430</v>
      </c>
      <c r="O13" s="81" t="s">
        <v>1436</v>
      </c>
      <c r="P13" s="81" t="s">
        <v>414</v>
      </c>
      <c r="Q13" s="81" t="s">
        <v>512</v>
      </c>
      <c r="R13" s="81">
        <v>0</v>
      </c>
      <c r="S13" s="81">
        <v>0</v>
      </c>
      <c r="T13" s="81">
        <v>0</v>
      </c>
      <c r="U13" s="81">
        <v>0</v>
      </c>
      <c r="V13" s="81">
        <v>0</v>
      </c>
      <c r="W13" s="81">
        <v>0</v>
      </c>
      <c r="X13" s="81">
        <v>0</v>
      </c>
      <c r="Y13" s="81">
        <v>0</v>
      </c>
      <c r="Z13" s="81">
        <v>0</v>
      </c>
      <c r="AA13" s="81">
        <v>0</v>
      </c>
      <c r="AB13" s="81">
        <v>0</v>
      </c>
      <c r="AC13" s="81">
        <v>0</v>
      </c>
      <c r="AD13" s="81">
        <v>1</v>
      </c>
      <c r="AE13" s="81">
        <v>0</v>
      </c>
      <c r="AF13" s="81">
        <v>1</v>
      </c>
      <c r="AG13" s="81">
        <v>0</v>
      </c>
      <c r="AH13" s="81">
        <v>0</v>
      </c>
      <c r="AI13" s="81">
        <v>0</v>
      </c>
      <c r="AJ13" s="81">
        <v>1</v>
      </c>
      <c r="AK13" s="81">
        <v>1</v>
      </c>
      <c r="AL13" s="81">
        <v>0</v>
      </c>
      <c r="AM13" s="81">
        <v>0</v>
      </c>
      <c r="AN13" s="81">
        <v>0</v>
      </c>
      <c r="AO13" s="81">
        <v>0</v>
      </c>
      <c r="AP13" s="81">
        <v>0</v>
      </c>
      <c r="AQ13" s="81">
        <v>0</v>
      </c>
      <c r="AR13" s="81">
        <v>0</v>
      </c>
      <c r="AS13" s="81">
        <v>1</v>
      </c>
      <c r="AT13" s="81">
        <v>0</v>
      </c>
      <c r="AU13" s="81">
        <v>1</v>
      </c>
      <c r="AV13" s="81">
        <v>0</v>
      </c>
      <c r="AW13" s="81">
        <v>0</v>
      </c>
      <c r="AX13" s="81">
        <v>1</v>
      </c>
      <c r="AY13" s="81">
        <v>0</v>
      </c>
      <c r="AZ13" s="81">
        <v>1</v>
      </c>
      <c r="BA13" s="81">
        <v>0</v>
      </c>
      <c r="BB13" s="81">
        <v>0</v>
      </c>
      <c r="BC13" s="81">
        <v>0</v>
      </c>
      <c r="BD13" s="81">
        <v>1</v>
      </c>
      <c r="BE13" s="81">
        <v>0</v>
      </c>
      <c r="BF13" s="81">
        <v>1</v>
      </c>
      <c r="BG13" s="81">
        <v>0</v>
      </c>
      <c r="BH13" s="81">
        <v>0</v>
      </c>
      <c r="BI13" s="81">
        <v>0</v>
      </c>
      <c r="BJ13" s="81">
        <v>0</v>
      </c>
      <c r="BK13" s="81">
        <v>0</v>
      </c>
      <c r="BL13" s="81">
        <v>1</v>
      </c>
      <c r="BM13" s="81">
        <v>0</v>
      </c>
      <c r="BN13" s="81">
        <v>0</v>
      </c>
      <c r="BO13" s="81">
        <v>3</v>
      </c>
      <c r="BP13" s="81">
        <v>3</v>
      </c>
      <c r="BQ13" s="81">
        <v>2</v>
      </c>
      <c r="BR13" s="81">
        <v>2</v>
      </c>
      <c r="BS13" s="81">
        <v>2</v>
      </c>
      <c r="BT13" s="81">
        <v>3</v>
      </c>
      <c r="BU13" s="81">
        <v>3</v>
      </c>
      <c r="BV13" s="81">
        <v>2</v>
      </c>
      <c r="BW13" s="81">
        <v>2</v>
      </c>
      <c r="BX13" s="81">
        <v>3</v>
      </c>
      <c r="BY13" s="81">
        <v>3</v>
      </c>
      <c r="BZ13" s="81">
        <v>2</v>
      </c>
      <c r="CA13" s="81">
        <v>3</v>
      </c>
      <c r="CB13" s="81">
        <v>3</v>
      </c>
      <c r="CC13" s="81">
        <v>3</v>
      </c>
      <c r="CD13" s="81">
        <v>2</v>
      </c>
      <c r="CE13" s="81">
        <v>3</v>
      </c>
      <c r="CF13" s="81">
        <v>2</v>
      </c>
      <c r="CG13" s="81">
        <v>3</v>
      </c>
      <c r="CH13" s="81">
        <v>3</v>
      </c>
      <c r="CI13" s="81">
        <v>3</v>
      </c>
      <c r="CJ13" s="81">
        <v>3</v>
      </c>
      <c r="CK13" s="81">
        <v>3</v>
      </c>
      <c r="CL13" s="81">
        <v>3</v>
      </c>
      <c r="CM13" s="81">
        <v>2</v>
      </c>
      <c r="CN13" s="81">
        <v>0</v>
      </c>
      <c r="CO13" s="81">
        <v>3</v>
      </c>
      <c r="CP13" s="81">
        <v>3</v>
      </c>
      <c r="CQ13" s="81">
        <v>3</v>
      </c>
      <c r="CR13" s="81">
        <v>2</v>
      </c>
      <c r="CS13" s="81">
        <v>3</v>
      </c>
      <c r="CT13" s="81">
        <v>3</v>
      </c>
      <c r="CU13" s="81">
        <v>0</v>
      </c>
      <c r="CV13" s="81">
        <v>2</v>
      </c>
      <c r="CW13" s="81">
        <v>2</v>
      </c>
      <c r="CX13" s="81">
        <v>2</v>
      </c>
      <c r="CY13" s="81">
        <v>2</v>
      </c>
      <c r="CZ13" s="81">
        <v>1</v>
      </c>
      <c r="DA13" s="81">
        <v>2</v>
      </c>
    </row>
    <row r="14" spans="1:105" ht="12" customHeight="1" x14ac:dyDescent="0.3">
      <c r="A14" s="81" t="s">
        <v>523</v>
      </c>
      <c r="B14" s="81" t="s">
        <v>1428</v>
      </c>
      <c r="C14" s="81" t="s">
        <v>1435</v>
      </c>
      <c r="D14" s="81" t="s">
        <v>524</v>
      </c>
      <c r="E14" s="81" t="s">
        <v>393</v>
      </c>
      <c r="F14" s="81" t="s">
        <v>393</v>
      </c>
      <c r="G14" s="81"/>
      <c r="H14" s="94">
        <v>26</v>
      </c>
      <c r="I14" s="81" t="s">
        <v>14</v>
      </c>
      <c r="J14" s="81" t="s">
        <v>474</v>
      </c>
      <c r="K14" s="81">
        <v>26</v>
      </c>
      <c r="L14" s="81" t="s">
        <v>451</v>
      </c>
      <c r="M14" s="81" t="s">
        <v>476</v>
      </c>
      <c r="N14" s="81" t="s">
        <v>1430</v>
      </c>
      <c r="O14" s="81" t="s">
        <v>1437</v>
      </c>
      <c r="P14" s="81" t="s">
        <v>414</v>
      </c>
      <c r="Q14" s="81" t="s">
        <v>525</v>
      </c>
      <c r="R14" s="81">
        <v>0</v>
      </c>
      <c r="S14" s="81">
        <v>0</v>
      </c>
      <c r="T14" s="81">
        <v>0</v>
      </c>
      <c r="U14" s="81">
        <v>0</v>
      </c>
      <c r="V14" s="81">
        <v>0</v>
      </c>
      <c r="W14" s="81">
        <v>0</v>
      </c>
      <c r="X14" s="81">
        <v>0</v>
      </c>
      <c r="Y14" s="81">
        <v>0</v>
      </c>
      <c r="Z14" s="81">
        <v>0</v>
      </c>
      <c r="AA14" s="81">
        <v>0</v>
      </c>
      <c r="AB14" s="81">
        <v>0</v>
      </c>
      <c r="AC14" s="81">
        <v>0</v>
      </c>
      <c r="AD14" s="81">
        <v>1</v>
      </c>
      <c r="AE14" s="81">
        <v>0</v>
      </c>
      <c r="AF14" s="81">
        <v>1</v>
      </c>
      <c r="AG14" s="81">
        <v>0</v>
      </c>
      <c r="AH14" s="81">
        <v>0</v>
      </c>
      <c r="AI14" s="81">
        <v>0</v>
      </c>
      <c r="AJ14" s="81">
        <v>1</v>
      </c>
      <c r="AK14" s="81">
        <v>1</v>
      </c>
      <c r="AL14" s="81">
        <v>0</v>
      </c>
      <c r="AM14" s="81">
        <v>0</v>
      </c>
      <c r="AN14" s="81">
        <v>0</v>
      </c>
      <c r="AO14" s="81">
        <v>0</v>
      </c>
      <c r="AP14" s="81">
        <v>0</v>
      </c>
      <c r="AQ14" s="81">
        <v>0</v>
      </c>
      <c r="AR14" s="81">
        <v>0</v>
      </c>
      <c r="AS14" s="81">
        <v>1</v>
      </c>
      <c r="AT14" s="81">
        <v>0</v>
      </c>
      <c r="AU14" s="81">
        <v>1</v>
      </c>
      <c r="AV14" s="81">
        <v>0</v>
      </c>
      <c r="AW14" s="81">
        <v>0</v>
      </c>
      <c r="AX14" s="81">
        <v>1</v>
      </c>
      <c r="AY14" s="81">
        <v>0</v>
      </c>
      <c r="AZ14" s="81">
        <v>1</v>
      </c>
      <c r="BA14" s="81">
        <v>0</v>
      </c>
      <c r="BB14" s="81">
        <v>0</v>
      </c>
      <c r="BC14" s="81">
        <v>0</v>
      </c>
      <c r="BD14" s="81">
        <v>1</v>
      </c>
      <c r="BE14" s="81">
        <v>0</v>
      </c>
      <c r="BF14" s="81">
        <v>1</v>
      </c>
      <c r="BG14" s="81">
        <v>0</v>
      </c>
      <c r="BH14" s="81">
        <v>0</v>
      </c>
      <c r="BI14" s="81">
        <v>0</v>
      </c>
      <c r="BJ14" s="81">
        <v>0</v>
      </c>
      <c r="BK14" s="81">
        <v>0</v>
      </c>
      <c r="BL14" s="81">
        <v>1</v>
      </c>
      <c r="BM14" s="81">
        <v>0</v>
      </c>
      <c r="BN14" s="81">
        <v>0</v>
      </c>
      <c r="BO14" s="81">
        <v>3</v>
      </c>
      <c r="BP14" s="81">
        <v>2</v>
      </c>
      <c r="BQ14" s="81">
        <v>2</v>
      </c>
      <c r="BR14" s="81">
        <v>2</v>
      </c>
      <c r="BS14" s="81">
        <v>2</v>
      </c>
      <c r="BT14" s="81">
        <v>3</v>
      </c>
      <c r="BU14" s="81">
        <v>2</v>
      </c>
      <c r="BV14" s="81">
        <v>2</v>
      </c>
      <c r="BW14" s="81">
        <v>2</v>
      </c>
      <c r="BX14" s="81">
        <v>3</v>
      </c>
      <c r="BY14" s="81">
        <v>2</v>
      </c>
      <c r="BZ14" s="81">
        <v>2</v>
      </c>
      <c r="CA14" s="81">
        <v>3</v>
      </c>
      <c r="CB14" s="81">
        <v>3</v>
      </c>
      <c r="CC14" s="81">
        <v>2</v>
      </c>
      <c r="CD14" s="81">
        <v>2</v>
      </c>
      <c r="CE14" s="81">
        <v>2</v>
      </c>
      <c r="CF14" s="81">
        <v>2</v>
      </c>
      <c r="CG14" s="81">
        <v>3</v>
      </c>
      <c r="CH14" s="81">
        <v>3</v>
      </c>
      <c r="CI14" s="81">
        <v>2</v>
      </c>
      <c r="CJ14" s="81">
        <v>2</v>
      </c>
      <c r="CK14" s="81">
        <v>2</v>
      </c>
      <c r="CL14" s="81">
        <v>2</v>
      </c>
      <c r="CM14" s="81">
        <v>2</v>
      </c>
      <c r="CN14" s="81">
        <v>0</v>
      </c>
      <c r="CO14" s="81">
        <v>2</v>
      </c>
      <c r="CP14" s="81">
        <v>3</v>
      </c>
      <c r="CQ14" s="81">
        <v>2</v>
      </c>
      <c r="CR14" s="81">
        <v>2</v>
      </c>
      <c r="CS14" s="81">
        <v>3</v>
      </c>
      <c r="CT14" s="81">
        <v>2</v>
      </c>
      <c r="CU14" s="81">
        <v>0</v>
      </c>
      <c r="CV14" s="81">
        <v>2</v>
      </c>
      <c r="CW14" s="81">
        <v>2</v>
      </c>
      <c r="CX14" s="81">
        <v>2</v>
      </c>
      <c r="CY14" s="81">
        <v>2</v>
      </c>
      <c r="CZ14" s="81">
        <v>1</v>
      </c>
      <c r="DA14" s="81">
        <v>2</v>
      </c>
    </row>
    <row r="15" spans="1:105" ht="12" customHeight="1" x14ac:dyDescent="0.3">
      <c r="A15" s="81" t="s">
        <v>526</v>
      </c>
      <c r="B15" s="81" t="s">
        <v>1428</v>
      </c>
      <c r="C15" s="81" t="s">
        <v>1435</v>
      </c>
      <c r="D15" s="81" t="s">
        <v>527</v>
      </c>
      <c r="E15" s="81" t="s">
        <v>395</v>
      </c>
      <c r="F15" s="81"/>
      <c r="G15" s="81" t="s">
        <v>395</v>
      </c>
      <c r="H15" s="94">
        <v>26</v>
      </c>
      <c r="I15" s="81" t="s">
        <v>14</v>
      </c>
      <c r="J15" s="81" t="s">
        <v>474</v>
      </c>
      <c r="K15" s="81">
        <v>26</v>
      </c>
      <c r="L15" s="81" t="s">
        <v>451</v>
      </c>
      <c r="M15" s="81" t="s">
        <v>476</v>
      </c>
      <c r="N15" s="81" t="s">
        <v>1430</v>
      </c>
      <c r="O15" s="81" t="s">
        <v>1437</v>
      </c>
      <c r="P15" s="81" t="s">
        <v>414</v>
      </c>
      <c r="Q15" s="81" t="s">
        <v>528</v>
      </c>
      <c r="R15" s="81">
        <v>0</v>
      </c>
      <c r="S15" s="81">
        <v>0</v>
      </c>
      <c r="T15" s="81">
        <v>0</v>
      </c>
      <c r="U15" s="81">
        <v>0</v>
      </c>
      <c r="V15" s="81">
        <v>0</v>
      </c>
      <c r="W15" s="81">
        <v>0</v>
      </c>
      <c r="X15" s="81">
        <v>0</v>
      </c>
      <c r="Y15" s="81">
        <v>0</v>
      </c>
      <c r="Z15" s="81">
        <v>0</v>
      </c>
      <c r="AA15" s="81">
        <v>0</v>
      </c>
      <c r="AB15" s="81">
        <v>0</v>
      </c>
      <c r="AC15" s="81">
        <v>0</v>
      </c>
      <c r="AD15" s="81">
        <v>1</v>
      </c>
      <c r="AE15" s="81">
        <v>0</v>
      </c>
      <c r="AF15" s="81">
        <v>1</v>
      </c>
      <c r="AG15" s="81">
        <v>0</v>
      </c>
      <c r="AH15" s="81">
        <v>0</v>
      </c>
      <c r="AI15" s="81">
        <v>0</v>
      </c>
      <c r="AJ15" s="81">
        <v>1</v>
      </c>
      <c r="AK15" s="81">
        <v>1</v>
      </c>
      <c r="AL15" s="81">
        <v>0</v>
      </c>
      <c r="AM15" s="81">
        <v>0</v>
      </c>
      <c r="AN15" s="81">
        <v>0</v>
      </c>
      <c r="AO15" s="81">
        <v>0</v>
      </c>
      <c r="AP15" s="81">
        <v>0</v>
      </c>
      <c r="AQ15" s="81">
        <v>0</v>
      </c>
      <c r="AR15" s="81">
        <v>0</v>
      </c>
      <c r="AS15" s="81">
        <v>1</v>
      </c>
      <c r="AT15" s="81">
        <v>0</v>
      </c>
      <c r="AU15" s="81">
        <v>1</v>
      </c>
      <c r="AV15" s="81">
        <v>0</v>
      </c>
      <c r="AW15" s="81">
        <v>0</v>
      </c>
      <c r="AX15" s="81">
        <v>1</v>
      </c>
      <c r="AY15" s="81">
        <v>0</v>
      </c>
      <c r="AZ15" s="81">
        <v>1</v>
      </c>
      <c r="BA15" s="81">
        <v>0</v>
      </c>
      <c r="BB15" s="81">
        <v>0</v>
      </c>
      <c r="BC15" s="81">
        <v>0</v>
      </c>
      <c r="BD15" s="81">
        <v>1</v>
      </c>
      <c r="BE15" s="81">
        <v>0</v>
      </c>
      <c r="BF15" s="81">
        <v>1</v>
      </c>
      <c r="BG15" s="81">
        <v>0</v>
      </c>
      <c r="BH15" s="81">
        <v>0</v>
      </c>
      <c r="BI15" s="81">
        <v>0</v>
      </c>
      <c r="BJ15" s="81">
        <v>0</v>
      </c>
      <c r="BK15" s="81">
        <v>0</v>
      </c>
      <c r="BL15" s="81">
        <v>1</v>
      </c>
      <c r="BM15" s="81">
        <v>0</v>
      </c>
      <c r="BN15" s="81">
        <v>0</v>
      </c>
      <c r="BO15" s="81">
        <v>3</v>
      </c>
      <c r="BP15" s="81">
        <v>2</v>
      </c>
      <c r="BQ15" s="81">
        <v>2</v>
      </c>
      <c r="BR15" s="81">
        <v>2</v>
      </c>
      <c r="BS15" s="81">
        <v>2</v>
      </c>
      <c r="BT15" s="81">
        <v>3</v>
      </c>
      <c r="BU15" s="81">
        <v>2</v>
      </c>
      <c r="BV15" s="81">
        <v>2</v>
      </c>
      <c r="BW15" s="81">
        <v>2</v>
      </c>
      <c r="BX15" s="81">
        <v>3</v>
      </c>
      <c r="BY15" s="81">
        <v>2</v>
      </c>
      <c r="BZ15" s="81">
        <v>2</v>
      </c>
      <c r="CA15" s="81">
        <v>3</v>
      </c>
      <c r="CB15" s="81">
        <v>3</v>
      </c>
      <c r="CC15" s="81">
        <v>2</v>
      </c>
      <c r="CD15" s="81">
        <v>2</v>
      </c>
      <c r="CE15" s="81">
        <v>2</v>
      </c>
      <c r="CF15" s="81">
        <v>2</v>
      </c>
      <c r="CG15" s="81">
        <v>3</v>
      </c>
      <c r="CH15" s="81">
        <v>3</v>
      </c>
      <c r="CI15" s="81">
        <v>2</v>
      </c>
      <c r="CJ15" s="81">
        <v>2</v>
      </c>
      <c r="CK15" s="81">
        <v>2</v>
      </c>
      <c r="CL15" s="81">
        <v>2</v>
      </c>
      <c r="CM15" s="81">
        <v>2</v>
      </c>
      <c r="CN15" s="81">
        <v>0</v>
      </c>
      <c r="CO15" s="81">
        <v>2</v>
      </c>
      <c r="CP15" s="81">
        <v>3</v>
      </c>
      <c r="CQ15" s="81">
        <v>2</v>
      </c>
      <c r="CR15" s="81">
        <v>2</v>
      </c>
      <c r="CS15" s="81">
        <v>3</v>
      </c>
      <c r="CT15" s="81">
        <v>2</v>
      </c>
      <c r="CU15" s="81">
        <v>0</v>
      </c>
      <c r="CV15" s="81">
        <v>2</v>
      </c>
      <c r="CW15" s="81">
        <v>2</v>
      </c>
      <c r="CX15" s="81">
        <v>2</v>
      </c>
      <c r="CY15" s="81">
        <v>2</v>
      </c>
      <c r="CZ15" s="81">
        <v>1</v>
      </c>
      <c r="DA15" s="81">
        <v>2</v>
      </c>
    </row>
    <row r="16" spans="1:105" ht="12" customHeight="1" x14ac:dyDescent="0.3">
      <c r="A16" s="81" t="s">
        <v>529</v>
      </c>
      <c r="B16" s="81" t="s">
        <v>1438</v>
      </c>
      <c r="C16" s="81" t="s">
        <v>1439</v>
      </c>
      <c r="D16" s="81" t="s">
        <v>530</v>
      </c>
      <c r="E16" s="81" t="s">
        <v>393</v>
      </c>
      <c r="F16" s="81" t="s">
        <v>393</v>
      </c>
      <c r="G16" s="81"/>
      <c r="H16" s="94">
        <v>25</v>
      </c>
      <c r="I16" s="81" t="s">
        <v>13</v>
      </c>
      <c r="J16" s="81" t="s">
        <v>470</v>
      </c>
      <c r="K16" s="81">
        <v>25</v>
      </c>
      <c r="L16" s="81" t="s">
        <v>435</v>
      </c>
      <c r="M16" s="81" t="s">
        <v>472</v>
      </c>
      <c r="N16" s="81" t="s">
        <v>1430</v>
      </c>
      <c r="O16" s="81" t="s">
        <v>1440</v>
      </c>
      <c r="P16" s="81" t="s">
        <v>414</v>
      </c>
      <c r="Q16" s="81" t="s">
        <v>531</v>
      </c>
      <c r="R16" s="81">
        <v>0</v>
      </c>
      <c r="S16" s="81">
        <v>1</v>
      </c>
      <c r="T16" s="81">
        <v>0</v>
      </c>
      <c r="U16" s="81">
        <v>0</v>
      </c>
      <c r="V16" s="81">
        <v>0</v>
      </c>
      <c r="W16" s="81">
        <v>0</v>
      </c>
      <c r="X16" s="81">
        <v>0</v>
      </c>
      <c r="Y16" s="81">
        <v>1</v>
      </c>
      <c r="Z16" s="81">
        <v>0</v>
      </c>
      <c r="AA16" s="81">
        <v>0</v>
      </c>
      <c r="AB16" s="81">
        <v>0</v>
      </c>
      <c r="AC16" s="81">
        <v>0</v>
      </c>
      <c r="AD16" s="81">
        <v>0</v>
      </c>
      <c r="AE16" s="81">
        <v>0</v>
      </c>
      <c r="AF16" s="81">
        <v>0</v>
      </c>
      <c r="AG16" s="81">
        <v>0</v>
      </c>
      <c r="AH16" s="81">
        <v>0</v>
      </c>
      <c r="AI16" s="81">
        <v>0</v>
      </c>
      <c r="AJ16" s="81">
        <v>0</v>
      </c>
      <c r="AK16" s="81">
        <v>0</v>
      </c>
      <c r="AL16" s="81">
        <v>1</v>
      </c>
      <c r="AM16" s="81">
        <v>0</v>
      </c>
      <c r="AN16" s="81">
        <v>1</v>
      </c>
      <c r="AO16" s="81">
        <v>0</v>
      </c>
      <c r="AP16" s="81">
        <v>1</v>
      </c>
      <c r="AQ16" s="81">
        <v>0</v>
      </c>
      <c r="AR16" s="81">
        <v>1</v>
      </c>
      <c r="AS16" s="81">
        <v>0</v>
      </c>
      <c r="AT16" s="81">
        <v>1</v>
      </c>
      <c r="AU16" s="81">
        <v>0</v>
      </c>
      <c r="AV16" s="81">
        <v>1</v>
      </c>
      <c r="AW16" s="81">
        <v>1</v>
      </c>
      <c r="AX16" s="81">
        <v>0</v>
      </c>
      <c r="AY16" s="81">
        <v>0</v>
      </c>
      <c r="AZ16" s="81">
        <v>1</v>
      </c>
      <c r="BA16" s="81">
        <v>1</v>
      </c>
      <c r="BB16" s="81">
        <v>0</v>
      </c>
      <c r="BC16" s="81">
        <v>0</v>
      </c>
      <c r="BD16" s="81">
        <v>0</v>
      </c>
      <c r="BE16" s="81">
        <v>0</v>
      </c>
      <c r="BF16" s="81">
        <v>0</v>
      </c>
      <c r="BG16" s="81">
        <v>0</v>
      </c>
      <c r="BH16" s="81">
        <v>0</v>
      </c>
      <c r="BI16" s="81">
        <v>0</v>
      </c>
      <c r="BJ16" s="81">
        <v>0</v>
      </c>
      <c r="BK16" s="81">
        <v>1</v>
      </c>
      <c r="BL16" s="81">
        <v>0</v>
      </c>
      <c r="BM16" s="81">
        <v>0</v>
      </c>
      <c r="BN16" s="81">
        <v>1</v>
      </c>
      <c r="BO16" s="81">
        <v>3</v>
      </c>
      <c r="BP16" s="81">
        <v>3</v>
      </c>
      <c r="BQ16" s="81">
        <v>2</v>
      </c>
      <c r="BR16" s="81">
        <v>2</v>
      </c>
      <c r="BS16" s="81">
        <v>3</v>
      </c>
      <c r="BT16" s="81">
        <v>2</v>
      </c>
      <c r="BU16" s="81">
        <v>2</v>
      </c>
      <c r="BV16" s="81">
        <v>2</v>
      </c>
      <c r="BW16" s="81">
        <v>2</v>
      </c>
      <c r="BX16" s="81">
        <v>2</v>
      </c>
      <c r="BY16" s="81">
        <v>2</v>
      </c>
      <c r="BZ16" s="81">
        <v>1</v>
      </c>
      <c r="CA16" s="81">
        <v>3</v>
      </c>
      <c r="CB16" s="81">
        <v>3</v>
      </c>
      <c r="CC16" s="81">
        <v>3</v>
      </c>
      <c r="CD16" s="81">
        <v>2</v>
      </c>
      <c r="CE16" s="81">
        <v>2</v>
      </c>
      <c r="CF16" s="81">
        <v>2</v>
      </c>
      <c r="CG16" s="81">
        <v>3</v>
      </c>
      <c r="CH16" s="81">
        <v>0</v>
      </c>
      <c r="CI16" s="81">
        <v>1</v>
      </c>
      <c r="CJ16" s="81">
        <v>0</v>
      </c>
      <c r="CK16" s="81">
        <v>0</v>
      </c>
      <c r="CL16" s="81">
        <v>0</v>
      </c>
      <c r="CM16" s="81">
        <v>1</v>
      </c>
      <c r="CN16" s="81">
        <v>0</v>
      </c>
      <c r="CO16" s="81">
        <v>2</v>
      </c>
      <c r="CP16" s="81">
        <v>2</v>
      </c>
      <c r="CQ16" s="81">
        <v>2</v>
      </c>
      <c r="CR16" s="81">
        <v>3</v>
      </c>
      <c r="CS16" s="81">
        <v>3</v>
      </c>
      <c r="CT16" s="81">
        <v>2</v>
      </c>
      <c r="CU16" s="81">
        <v>0</v>
      </c>
      <c r="CV16" s="81">
        <v>1</v>
      </c>
      <c r="CW16" s="81">
        <v>0</v>
      </c>
      <c r="CX16" s="81">
        <v>1</v>
      </c>
      <c r="CY16" s="81">
        <v>1</v>
      </c>
      <c r="CZ16" s="81">
        <v>0</v>
      </c>
      <c r="DA16" s="81">
        <v>1</v>
      </c>
    </row>
    <row r="17" spans="1:105" ht="12" customHeight="1" x14ac:dyDescent="0.3">
      <c r="A17" s="81" t="s">
        <v>532</v>
      </c>
      <c r="B17" s="81" t="s">
        <v>1438</v>
      </c>
      <c r="C17" s="81" t="s">
        <v>1439</v>
      </c>
      <c r="D17" s="81" t="s">
        <v>533</v>
      </c>
      <c r="E17" s="81" t="s">
        <v>393</v>
      </c>
      <c r="F17" s="81" t="s">
        <v>393</v>
      </c>
      <c r="G17" s="81"/>
      <c r="H17" s="94">
        <v>25</v>
      </c>
      <c r="I17" s="81" t="s">
        <v>13</v>
      </c>
      <c r="J17" s="81" t="s">
        <v>470</v>
      </c>
      <c r="K17" s="81">
        <v>25</v>
      </c>
      <c r="L17" s="81" t="s">
        <v>435</v>
      </c>
      <c r="M17" s="81" t="s">
        <v>472</v>
      </c>
      <c r="N17" s="81" t="s">
        <v>1430</v>
      </c>
      <c r="O17" s="81" t="s">
        <v>1440</v>
      </c>
      <c r="P17" s="81" t="s">
        <v>414</v>
      </c>
      <c r="Q17" s="81" t="s">
        <v>531</v>
      </c>
      <c r="R17" s="81">
        <v>0</v>
      </c>
      <c r="S17" s="81">
        <v>1</v>
      </c>
      <c r="T17" s="81">
        <v>0</v>
      </c>
      <c r="U17" s="81">
        <v>0</v>
      </c>
      <c r="V17" s="81">
        <v>0</v>
      </c>
      <c r="W17" s="81">
        <v>0</v>
      </c>
      <c r="X17" s="81">
        <v>0</v>
      </c>
      <c r="Y17" s="81">
        <v>1</v>
      </c>
      <c r="Z17" s="81">
        <v>0</v>
      </c>
      <c r="AA17" s="81">
        <v>0</v>
      </c>
      <c r="AB17" s="81">
        <v>0</v>
      </c>
      <c r="AC17" s="81">
        <v>0</v>
      </c>
      <c r="AD17" s="81">
        <v>0</v>
      </c>
      <c r="AE17" s="81">
        <v>0</v>
      </c>
      <c r="AF17" s="81">
        <v>0</v>
      </c>
      <c r="AG17" s="81">
        <v>0</v>
      </c>
      <c r="AH17" s="81">
        <v>0</v>
      </c>
      <c r="AI17" s="81">
        <v>0</v>
      </c>
      <c r="AJ17" s="81">
        <v>0</v>
      </c>
      <c r="AK17" s="81">
        <v>0</v>
      </c>
      <c r="AL17" s="81">
        <v>1</v>
      </c>
      <c r="AM17" s="81">
        <v>0</v>
      </c>
      <c r="AN17" s="81">
        <v>1</v>
      </c>
      <c r="AO17" s="81">
        <v>0</v>
      </c>
      <c r="AP17" s="81">
        <v>1</v>
      </c>
      <c r="AQ17" s="81">
        <v>0</v>
      </c>
      <c r="AR17" s="81">
        <v>1</v>
      </c>
      <c r="AS17" s="81">
        <v>0</v>
      </c>
      <c r="AT17" s="81">
        <v>1</v>
      </c>
      <c r="AU17" s="81">
        <v>0</v>
      </c>
      <c r="AV17" s="81">
        <v>1</v>
      </c>
      <c r="AW17" s="81">
        <v>1</v>
      </c>
      <c r="AX17" s="81">
        <v>0</v>
      </c>
      <c r="AY17" s="81">
        <v>0</v>
      </c>
      <c r="AZ17" s="81">
        <v>1</v>
      </c>
      <c r="BA17" s="81">
        <v>1</v>
      </c>
      <c r="BB17" s="81">
        <v>0</v>
      </c>
      <c r="BC17" s="81">
        <v>0</v>
      </c>
      <c r="BD17" s="81">
        <v>0</v>
      </c>
      <c r="BE17" s="81">
        <v>0</v>
      </c>
      <c r="BF17" s="81">
        <v>0</v>
      </c>
      <c r="BG17" s="81">
        <v>0</v>
      </c>
      <c r="BH17" s="81">
        <v>0</v>
      </c>
      <c r="BI17" s="81">
        <v>0</v>
      </c>
      <c r="BJ17" s="81">
        <v>0</v>
      </c>
      <c r="BK17" s="81">
        <v>1</v>
      </c>
      <c r="BL17" s="81">
        <v>0</v>
      </c>
      <c r="BM17" s="81">
        <v>0</v>
      </c>
      <c r="BN17" s="81">
        <v>1</v>
      </c>
      <c r="BO17" s="81">
        <v>3</v>
      </c>
      <c r="BP17" s="81">
        <v>3</v>
      </c>
      <c r="BQ17" s="81">
        <v>2</v>
      </c>
      <c r="BR17" s="81">
        <v>2</v>
      </c>
      <c r="BS17" s="81">
        <v>3</v>
      </c>
      <c r="BT17" s="81">
        <v>2</v>
      </c>
      <c r="BU17" s="81">
        <v>2</v>
      </c>
      <c r="BV17" s="81">
        <v>2</v>
      </c>
      <c r="BW17" s="81">
        <v>2</v>
      </c>
      <c r="BX17" s="81">
        <v>2</v>
      </c>
      <c r="BY17" s="81">
        <v>2</v>
      </c>
      <c r="BZ17" s="81">
        <v>1</v>
      </c>
      <c r="CA17" s="81">
        <v>3</v>
      </c>
      <c r="CB17" s="81">
        <v>3</v>
      </c>
      <c r="CC17" s="81">
        <v>3</v>
      </c>
      <c r="CD17" s="81">
        <v>2</v>
      </c>
      <c r="CE17" s="81">
        <v>2</v>
      </c>
      <c r="CF17" s="81">
        <v>2</v>
      </c>
      <c r="CG17" s="81">
        <v>3</v>
      </c>
      <c r="CH17" s="81">
        <v>0</v>
      </c>
      <c r="CI17" s="81">
        <v>1</v>
      </c>
      <c r="CJ17" s="81">
        <v>0</v>
      </c>
      <c r="CK17" s="81">
        <v>0</v>
      </c>
      <c r="CL17" s="81">
        <v>0</v>
      </c>
      <c r="CM17" s="81">
        <v>1</v>
      </c>
      <c r="CN17" s="81">
        <v>0</v>
      </c>
      <c r="CO17" s="81">
        <v>2</v>
      </c>
      <c r="CP17" s="81">
        <v>2</v>
      </c>
      <c r="CQ17" s="81">
        <v>2</v>
      </c>
      <c r="CR17" s="81">
        <v>3</v>
      </c>
      <c r="CS17" s="81">
        <v>3</v>
      </c>
      <c r="CT17" s="81">
        <v>2</v>
      </c>
      <c r="CU17" s="81">
        <v>0</v>
      </c>
      <c r="CV17" s="81">
        <v>1</v>
      </c>
      <c r="CW17" s="81">
        <v>0</v>
      </c>
      <c r="CX17" s="81">
        <v>1</v>
      </c>
      <c r="CY17" s="81">
        <v>1</v>
      </c>
      <c r="CZ17" s="81">
        <v>0</v>
      </c>
      <c r="DA17" s="81">
        <v>1</v>
      </c>
    </row>
    <row r="18" spans="1:105" ht="12" customHeight="1" x14ac:dyDescent="0.3">
      <c r="A18" s="81" t="s">
        <v>534</v>
      </c>
      <c r="B18" s="81" t="s">
        <v>1438</v>
      </c>
      <c r="C18" s="81" t="s">
        <v>1439</v>
      </c>
      <c r="D18" s="81" t="s">
        <v>535</v>
      </c>
      <c r="E18" s="81" t="s">
        <v>393</v>
      </c>
      <c r="F18" s="81" t="s">
        <v>393</v>
      </c>
      <c r="G18" s="81"/>
      <c r="H18" s="94">
        <v>25</v>
      </c>
      <c r="I18" s="81" t="s">
        <v>13</v>
      </c>
      <c r="J18" s="81" t="s">
        <v>470</v>
      </c>
      <c r="K18" s="81">
        <v>25</v>
      </c>
      <c r="L18" s="81" t="s">
        <v>435</v>
      </c>
      <c r="M18" s="81" t="s">
        <v>472</v>
      </c>
      <c r="N18" s="81" t="s">
        <v>1430</v>
      </c>
      <c r="O18" s="81" t="s">
        <v>1440</v>
      </c>
      <c r="P18" s="81" t="s">
        <v>414</v>
      </c>
      <c r="Q18" s="81" t="s">
        <v>531</v>
      </c>
      <c r="R18" s="81">
        <v>0</v>
      </c>
      <c r="S18" s="81">
        <v>1</v>
      </c>
      <c r="T18" s="81">
        <v>0</v>
      </c>
      <c r="U18" s="81">
        <v>0</v>
      </c>
      <c r="V18" s="81">
        <v>0</v>
      </c>
      <c r="W18" s="81">
        <v>0</v>
      </c>
      <c r="X18" s="81">
        <v>0</v>
      </c>
      <c r="Y18" s="81">
        <v>1</v>
      </c>
      <c r="Z18" s="81">
        <v>0</v>
      </c>
      <c r="AA18" s="81">
        <v>0</v>
      </c>
      <c r="AB18" s="81">
        <v>0</v>
      </c>
      <c r="AC18" s="81">
        <v>0</v>
      </c>
      <c r="AD18" s="81">
        <v>0</v>
      </c>
      <c r="AE18" s="81">
        <v>0</v>
      </c>
      <c r="AF18" s="81">
        <v>0</v>
      </c>
      <c r="AG18" s="81">
        <v>0</v>
      </c>
      <c r="AH18" s="81">
        <v>0</v>
      </c>
      <c r="AI18" s="81">
        <v>0</v>
      </c>
      <c r="AJ18" s="81">
        <v>0</v>
      </c>
      <c r="AK18" s="81">
        <v>0</v>
      </c>
      <c r="AL18" s="81">
        <v>1</v>
      </c>
      <c r="AM18" s="81">
        <v>0</v>
      </c>
      <c r="AN18" s="81">
        <v>1</v>
      </c>
      <c r="AO18" s="81">
        <v>0</v>
      </c>
      <c r="AP18" s="81">
        <v>1</v>
      </c>
      <c r="AQ18" s="81">
        <v>0</v>
      </c>
      <c r="AR18" s="81">
        <v>1</v>
      </c>
      <c r="AS18" s="81">
        <v>0</v>
      </c>
      <c r="AT18" s="81">
        <v>1</v>
      </c>
      <c r="AU18" s="81">
        <v>0</v>
      </c>
      <c r="AV18" s="81">
        <v>1</v>
      </c>
      <c r="AW18" s="81">
        <v>1</v>
      </c>
      <c r="AX18" s="81">
        <v>0</v>
      </c>
      <c r="AY18" s="81">
        <v>0</v>
      </c>
      <c r="AZ18" s="81">
        <v>1</v>
      </c>
      <c r="BA18" s="81">
        <v>1</v>
      </c>
      <c r="BB18" s="81">
        <v>0</v>
      </c>
      <c r="BC18" s="81">
        <v>0</v>
      </c>
      <c r="BD18" s="81">
        <v>0</v>
      </c>
      <c r="BE18" s="81">
        <v>0</v>
      </c>
      <c r="BF18" s="81">
        <v>0</v>
      </c>
      <c r="BG18" s="81">
        <v>0</v>
      </c>
      <c r="BH18" s="81">
        <v>0</v>
      </c>
      <c r="BI18" s="81">
        <v>0</v>
      </c>
      <c r="BJ18" s="81">
        <v>0</v>
      </c>
      <c r="BK18" s="81">
        <v>1</v>
      </c>
      <c r="BL18" s="81">
        <v>0</v>
      </c>
      <c r="BM18" s="81">
        <v>0</v>
      </c>
      <c r="BN18" s="81">
        <v>1</v>
      </c>
      <c r="BO18" s="81">
        <v>3</v>
      </c>
      <c r="BP18" s="81">
        <v>3</v>
      </c>
      <c r="BQ18" s="81">
        <v>2</v>
      </c>
      <c r="BR18" s="81">
        <v>2</v>
      </c>
      <c r="BS18" s="81">
        <v>3</v>
      </c>
      <c r="BT18" s="81">
        <v>2</v>
      </c>
      <c r="BU18" s="81">
        <v>2</v>
      </c>
      <c r="BV18" s="81">
        <v>2</v>
      </c>
      <c r="BW18" s="81">
        <v>2</v>
      </c>
      <c r="BX18" s="81">
        <v>2</v>
      </c>
      <c r="BY18" s="81">
        <v>2</v>
      </c>
      <c r="BZ18" s="81">
        <v>1</v>
      </c>
      <c r="CA18" s="81">
        <v>3</v>
      </c>
      <c r="CB18" s="81">
        <v>3</v>
      </c>
      <c r="CC18" s="81">
        <v>3</v>
      </c>
      <c r="CD18" s="81">
        <v>2</v>
      </c>
      <c r="CE18" s="81">
        <v>2</v>
      </c>
      <c r="CF18" s="81">
        <v>2</v>
      </c>
      <c r="CG18" s="81">
        <v>3</v>
      </c>
      <c r="CH18" s="81">
        <v>0</v>
      </c>
      <c r="CI18" s="81">
        <v>1</v>
      </c>
      <c r="CJ18" s="81">
        <v>0</v>
      </c>
      <c r="CK18" s="81">
        <v>0</v>
      </c>
      <c r="CL18" s="81">
        <v>0</v>
      </c>
      <c r="CM18" s="81">
        <v>1</v>
      </c>
      <c r="CN18" s="81">
        <v>0</v>
      </c>
      <c r="CO18" s="81">
        <v>2</v>
      </c>
      <c r="CP18" s="81">
        <v>2</v>
      </c>
      <c r="CQ18" s="81">
        <v>2</v>
      </c>
      <c r="CR18" s="81">
        <v>3</v>
      </c>
      <c r="CS18" s="81">
        <v>3</v>
      </c>
      <c r="CT18" s="81">
        <v>2</v>
      </c>
      <c r="CU18" s="81">
        <v>0</v>
      </c>
      <c r="CV18" s="81">
        <v>1</v>
      </c>
      <c r="CW18" s="81">
        <v>0</v>
      </c>
      <c r="CX18" s="81">
        <v>1</v>
      </c>
      <c r="CY18" s="81">
        <v>1</v>
      </c>
      <c r="CZ18" s="81">
        <v>0</v>
      </c>
      <c r="DA18" s="81">
        <v>1</v>
      </c>
    </row>
    <row r="19" spans="1:105" ht="12" customHeight="1" x14ac:dyDescent="0.3">
      <c r="A19" s="81" t="s">
        <v>536</v>
      </c>
      <c r="B19" s="81" t="s">
        <v>1438</v>
      </c>
      <c r="C19" s="81" t="s">
        <v>1439</v>
      </c>
      <c r="D19" s="81" t="s">
        <v>537</v>
      </c>
      <c r="E19" s="81" t="s">
        <v>393</v>
      </c>
      <c r="F19" s="81" t="s">
        <v>393</v>
      </c>
      <c r="G19" s="81"/>
      <c r="H19" s="94">
        <v>25</v>
      </c>
      <c r="I19" s="81" t="s">
        <v>13</v>
      </c>
      <c r="J19" s="81" t="s">
        <v>470</v>
      </c>
      <c r="K19" s="81">
        <v>25</v>
      </c>
      <c r="L19" s="81" t="s">
        <v>435</v>
      </c>
      <c r="M19" s="81" t="s">
        <v>472</v>
      </c>
      <c r="N19" s="81" t="s">
        <v>1430</v>
      </c>
      <c r="O19" s="81" t="s">
        <v>1440</v>
      </c>
      <c r="P19" s="81" t="s">
        <v>414</v>
      </c>
      <c r="Q19" s="81" t="s">
        <v>531</v>
      </c>
      <c r="R19" s="81">
        <v>0</v>
      </c>
      <c r="S19" s="81">
        <v>1</v>
      </c>
      <c r="T19" s="81">
        <v>0</v>
      </c>
      <c r="U19" s="81">
        <v>0</v>
      </c>
      <c r="V19" s="81">
        <v>0</v>
      </c>
      <c r="W19" s="81">
        <v>0</v>
      </c>
      <c r="X19" s="81">
        <v>0</v>
      </c>
      <c r="Y19" s="81">
        <v>1</v>
      </c>
      <c r="Z19" s="81">
        <v>0</v>
      </c>
      <c r="AA19" s="81">
        <v>0</v>
      </c>
      <c r="AB19" s="81">
        <v>0</v>
      </c>
      <c r="AC19" s="81">
        <v>0</v>
      </c>
      <c r="AD19" s="81">
        <v>0</v>
      </c>
      <c r="AE19" s="81">
        <v>0</v>
      </c>
      <c r="AF19" s="81">
        <v>0</v>
      </c>
      <c r="AG19" s="81">
        <v>0</v>
      </c>
      <c r="AH19" s="81">
        <v>0</v>
      </c>
      <c r="AI19" s="81">
        <v>0</v>
      </c>
      <c r="AJ19" s="81">
        <v>0</v>
      </c>
      <c r="AK19" s="81">
        <v>0</v>
      </c>
      <c r="AL19" s="81">
        <v>1</v>
      </c>
      <c r="AM19" s="81">
        <v>0</v>
      </c>
      <c r="AN19" s="81">
        <v>1</v>
      </c>
      <c r="AO19" s="81">
        <v>0</v>
      </c>
      <c r="AP19" s="81">
        <v>1</v>
      </c>
      <c r="AQ19" s="81">
        <v>0</v>
      </c>
      <c r="AR19" s="81">
        <v>1</v>
      </c>
      <c r="AS19" s="81">
        <v>0</v>
      </c>
      <c r="AT19" s="81">
        <v>1</v>
      </c>
      <c r="AU19" s="81">
        <v>0</v>
      </c>
      <c r="AV19" s="81">
        <v>1</v>
      </c>
      <c r="AW19" s="81">
        <v>1</v>
      </c>
      <c r="AX19" s="81">
        <v>0</v>
      </c>
      <c r="AY19" s="81">
        <v>0</v>
      </c>
      <c r="AZ19" s="81">
        <v>1</v>
      </c>
      <c r="BA19" s="81">
        <v>1</v>
      </c>
      <c r="BB19" s="81">
        <v>0</v>
      </c>
      <c r="BC19" s="81">
        <v>0</v>
      </c>
      <c r="BD19" s="81">
        <v>0</v>
      </c>
      <c r="BE19" s="81">
        <v>0</v>
      </c>
      <c r="BF19" s="81">
        <v>0</v>
      </c>
      <c r="BG19" s="81">
        <v>0</v>
      </c>
      <c r="BH19" s="81">
        <v>0</v>
      </c>
      <c r="BI19" s="81">
        <v>0</v>
      </c>
      <c r="BJ19" s="81">
        <v>0</v>
      </c>
      <c r="BK19" s="81">
        <v>1</v>
      </c>
      <c r="BL19" s="81">
        <v>0</v>
      </c>
      <c r="BM19" s="81">
        <v>0</v>
      </c>
      <c r="BN19" s="81">
        <v>1</v>
      </c>
      <c r="BO19" s="81">
        <v>3</v>
      </c>
      <c r="BP19" s="81">
        <v>3</v>
      </c>
      <c r="BQ19" s="81">
        <v>2</v>
      </c>
      <c r="BR19" s="81">
        <v>2</v>
      </c>
      <c r="BS19" s="81">
        <v>3</v>
      </c>
      <c r="BT19" s="81">
        <v>2</v>
      </c>
      <c r="BU19" s="81">
        <v>2</v>
      </c>
      <c r="BV19" s="81">
        <v>2</v>
      </c>
      <c r="BW19" s="81">
        <v>2</v>
      </c>
      <c r="BX19" s="81">
        <v>2</v>
      </c>
      <c r="BY19" s="81">
        <v>2</v>
      </c>
      <c r="BZ19" s="81">
        <v>1</v>
      </c>
      <c r="CA19" s="81">
        <v>3</v>
      </c>
      <c r="CB19" s="81">
        <v>3</v>
      </c>
      <c r="CC19" s="81">
        <v>3</v>
      </c>
      <c r="CD19" s="81">
        <v>2</v>
      </c>
      <c r="CE19" s="81">
        <v>2</v>
      </c>
      <c r="CF19" s="81">
        <v>2</v>
      </c>
      <c r="CG19" s="81">
        <v>3</v>
      </c>
      <c r="CH19" s="81">
        <v>0</v>
      </c>
      <c r="CI19" s="81">
        <v>1</v>
      </c>
      <c r="CJ19" s="81">
        <v>0</v>
      </c>
      <c r="CK19" s="81">
        <v>0</v>
      </c>
      <c r="CL19" s="81">
        <v>0</v>
      </c>
      <c r="CM19" s="81">
        <v>1</v>
      </c>
      <c r="CN19" s="81">
        <v>0</v>
      </c>
      <c r="CO19" s="81">
        <v>2</v>
      </c>
      <c r="CP19" s="81">
        <v>2</v>
      </c>
      <c r="CQ19" s="81">
        <v>2</v>
      </c>
      <c r="CR19" s="81">
        <v>3</v>
      </c>
      <c r="CS19" s="81">
        <v>3</v>
      </c>
      <c r="CT19" s="81">
        <v>2</v>
      </c>
      <c r="CU19" s="81">
        <v>0</v>
      </c>
      <c r="CV19" s="81">
        <v>1</v>
      </c>
      <c r="CW19" s="81">
        <v>0</v>
      </c>
      <c r="CX19" s="81">
        <v>1</v>
      </c>
      <c r="CY19" s="81">
        <v>1</v>
      </c>
      <c r="CZ19" s="81">
        <v>0</v>
      </c>
      <c r="DA19" s="81">
        <v>1</v>
      </c>
    </row>
    <row r="20" spans="1:105" ht="12" customHeight="1" x14ac:dyDescent="0.3">
      <c r="A20" s="81" t="s">
        <v>538</v>
      </c>
      <c r="B20" s="81" t="s">
        <v>1438</v>
      </c>
      <c r="C20" s="81" t="s">
        <v>1439</v>
      </c>
      <c r="D20" s="81" t="s">
        <v>539</v>
      </c>
      <c r="E20" s="81" t="s">
        <v>393</v>
      </c>
      <c r="F20" s="81" t="s">
        <v>393</v>
      </c>
      <c r="G20" s="81"/>
      <c r="H20" s="94">
        <v>25</v>
      </c>
      <c r="I20" s="81" t="s">
        <v>13</v>
      </c>
      <c r="J20" s="81" t="s">
        <v>470</v>
      </c>
      <c r="K20" s="81">
        <v>25</v>
      </c>
      <c r="L20" s="81" t="s">
        <v>435</v>
      </c>
      <c r="M20" s="81" t="s">
        <v>472</v>
      </c>
      <c r="N20" s="81" t="s">
        <v>1430</v>
      </c>
      <c r="O20" s="81" t="s">
        <v>1440</v>
      </c>
      <c r="P20" s="81" t="s">
        <v>414</v>
      </c>
      <c r="Q20" s="81" t="s">
        <v>531</v>
      </c>
      <c r="R20" s="81">
        <v>0</v>
      </c>
      <c r="S20" s="81">
        <v>1</v>
      </c>
      <c r="T20" s="81">
        <v>0</v>
      </c>
      <c r="U20" s="81">
        <v>0</v>
      </c>
      <c r="V20" s="81">
        <v>0</v>
      </c>
      <c r="W20" s="81">
        <v>0</v>
      </c>
      <c r="X20" s="81">
        <v>0</v>
      </c>
      <c r="Y20" s="81">
        <v>1</v>
      </c>
      <c r="Z20" s="81">
        <v>0</v>
      </c>
      <c r="AA20" s="81">
        <v>0</v>
      </c>
      <c r="AB20" s="81">
        <v>0</v>
      </c>
      <c r="AC20" s="81">
        <v>0</v>
      </c>
      <c r="AD20" s="81">
        <v>0</v>
      </c>
      <c r="AE20" s="81">
        <v>0</v>
      </c>
      <c r="AF20" s="81">
        <v>0</v>
      </c>
      <c r="AG20" s="81">
        <v>0</v>
      </c>
      <c r="AH20" s="81">
        <v>0</v>
      </c>
      <c r="AI20" s="81">
        <v>0</v>
      </c>
      <c r="AJ20" s="81">
        <v>0</v>
      </c>
      <c r="AK20" s="81">
        <v>0</v>
      </c>
      <c r="AL20" s="81">
        <v>1</v>
      </c>
      <c r="AM20" s="81">
        <v>0</v>
      </c>
      <c r="AN20" s="81">
        <v>1</v>
      </c>
      <c r="AO20" s="81">
        <v>0</v>
      </c>
      <c r="AP20" s="81">
        <v>1</v>
      </c>
      <c r="AQ20" s="81">
        <v>0</v>
      </c>
      <c r="AR20" s="81">
        <v>1</v>
      </c>
      <c r="AS20" s="81">
        <v>0</v>
      </c>
      <c r="AT20" s="81">
        <v>1</v>
      </c>
      <c r="AU20" s="81">
        <v>0</v>
      </c>
      <c r="AV20" s="81">
        <v>1</v>
      </c>
      <c r="AW20" s="81">
        <v>1</v>
      </c>
      <c r="AX20" s="81">
        <v>0</v>
      </c>
      <c r="AY20" s="81">
        <v>0</v>
      </c>
      <c r="AZ20" s="81">
        <v>1</v>
      </c>
      <c r="BA20" s="81">
        <v>1</v>
      </c>
      <c r="BB20" s="81">
        <v>0</v>
      </c>
      <c r="BC20" s="81">
        <v>0</v>
      </c>
      <c r="BD20" s="81">
        <v>0</v>
      </c>
      <c r="BE20" s="81">
        <v>0</v>
      </c>
      <c r="BF20" s="81">
        <v>0</v>
      </c>
      <c r="BG20" s="81">
        <v>0</v>
      </c>
      <c r="BH20" s="81">
        <v>0</v>
      </c>
      <c r="BI20" s="81">
        <v>0</v>
      </c>
      <c r="BJ20" s="81">
        <v>0</v>
      </c>
      <c r="BK20" s="81">
        <v>1</v>
      </c>
      <c r="BL20" s="81">
        <v>0</v>
      </c>
      <c r="BM20" s="81">
        <v>0</v>
      </c>
      <c r="BN20" s="81">
        <v>1</v>
      </c>
      <c r="BO20" s="81">
        <v>3</v>
      </c>
      <c r="BP20" s="81">
        <v>3</v>
      </c>
      <c r="BQ20" s="81">
        <v>2</v>
      </c>
      <c r="BR20" s="81">
        <v>2</v>
      </c>
      <c r="BS20" s="81">
        <v>3</v>
      </c>
      <c r="BT20" s="81">
        <v>2</v>
      </c>
      <c r="BU20" s="81">
        <v>2</v>
      </c>
      <c r="BV20" s="81">
        <v>2</v>
      </c>
      <c r="BW20" s="81">
        <v>2</v>
      </c>
      <c r="BX20" s="81">
        <v>2</v>
      </c>
      <c r="BY20" s="81">
        <v>2</v>
      </c>
      <c r="BZ20" s="81">
        <v>1</v>
      </c>
      <c r="CA20" s="81">
        <v>3</v>
      </c>
      <c r="CB20" s="81">
        <v>3</v>
      </c>
      <c r="CC20" s="81">
        <v>3</v>
      </c>
      <c r="CD20" s="81">
        <v>2</v>
      </c>
      <c r="CE20" s="81">
        <v>2</v>
      </c>
      <c r="CF20" s="81">
        <v>2</v>
      </c>
      <c r="CG20" s="81">
        <v>3</v>
      </c>
      <c r="CH20" s="81">
        <v>0</v>
      </c>
      <c r="CI20" s="81">
        <v>1</v>
      </c>
      <c r="CJ20" s="81">
        <v>0</v>
      </c>
      <c r="CK20" s="81">
        <v>0</v>
      </c>
      <c r="CL20" s="81">
        <v>0</v>
      </c>
      <c r="CM20" s="81">
        <v>1</v>
      </c>
      <c r="CN20" s="81">
        <v>0</v>
      </c>
      <c r="CO20" s="81">
        <v>2</v>
      </c>
      <c r="CP20" s="81">
        <v>2</v>
      </c>
      <c r="CQ20" s="81">
        <v>2</v>
      </c>
      <c r="CR20" s="81">
        <v>3</v>
      </c>
      <c r="CS20" s="81">
        <v>3</v>
      </c>
      <c r="CT20" s="81">
        <v>2</v>
      </c>
      <c r="CU20" s="81">
        <v>0</v>
      </c>
      <c r="CV20" s="81">
        <v>1</v>
      </c>
      <c r="CW20" s="81">
        <v>0</v>
      </c>
      <c r="CX20" s="81">
        <v>1</v>
      </c>
      <c r="CY20" s="81">
        <v>1</v>
      </c>
      <c r="CZ20" s="81">
        <v>0</v>
      </c>
      <c r="DA20" s="81">
        <v>1</v>
      </c>
    </row>
    <row r="21" spans="1:105" ht="12" customHeight="1" x14ac:dyDescent="0.3">
      <c r="A21" s="81" t="s">
        <v>540</v>
      </c>
      <c r="B21" s="81" t="s">
        <v>1438</v>
      </c>
      <c r="C21" s="81" t="s">
        <v>1439</v>
      </c>
      <c r="D21" s="81" t="s">
        <v>541</v>
      </c>
      <c r="E21" s="81" t="s">
        <v>393</v>
      </c>
      <c r="F21" s="81" t="s">
        <v>393</v>
      </c>
      <c r="G21" s="81"/>
      <c r="H21" s="94">
        <v>25</v>
      </c>
      <c r="I21" s="81" t="s">
        <v>13</v>
      </c>
      <c r="J21" s="81" t="s">
        <v>470</v>
      </c>
      <c r="K21" s="81">
        <v>25</v>
      </c>
      <c r="L21" s="81" t="s">
        <v>435</v>
      </c>
      <c r="M21" s="81" t="s">
        <v>472</v>
      </c>
      <c r="N21" s="81" t="s">
        <v>1430</v>
      </c>
      <c r="O21" s="81" t="s">
        <v>1440</v>
      </c>
      <c r="P21" s="81" t="s">
        <v>414</v>
      </c>
      <c r="Q21" s="81" t="s">
        <v>531</v>
      </c>
      <c r="R21" s="81">
        <v>0</v>
      </c>
      <c r="S21" s="81">
        <v>1</v>
      </c>
      <c r="T21" s="81">
        <v>0</v>
      </c>
      <c r="U21" s="81">
        <v>0</v>
      </c>
      <c r="V21" s="81">
        <v>0</v>
      </c>
      <c r="W21" s="81">
        <v>0</v>
      </c>
      <c r="X21" s="81">
        <v>0</v>
      </c>
      <c r="Y21" s="81">
        <v>1</v>
      </c>
      <c r="Z21" s="81">
        <v>0</v>
      </c>
      <c r="AA21" s="81">
        <v>0</v>
      </c>
      <c r="AB21" s="81">
        <v>0</v>
      </c>
      <c r="AC21" s="81">
        <v>0</v>
      </c>
      <c r="AD21" s="81">
        <v>0</v>
      </c>
      <c r="AE21" s="81">
        <v>0</v>
      </c>
      <c r="AF21" s="81">
        <v>0</v>
      </c>
      <c r="AG21" s="81">
        <v>0</v>
      </c>
      <c r="AH21" s="81">
        <v>0</v>
      </c>
      <c r="AI21" s="81">
        <v>0</v>
      </c>
      <c r="AJ21" s="81">
        <v>0</v>
      </c>
      <c r="AK21" s="81">
        <v>0</v>
      </c>
      <c r="AL21" s="81">
        <v>1</v>
      </c>
      <c r="AM21" s="81">
        <v>0</v>
      </c>
      <c r="AN21" s="81">
        <v>1</v>
      </c>
      <c r="AO21" s="81">
        <v>0</v>
      </c>
      <c r="AP21" s="81">
        <v>1</v>
      </c>
      <c r="AQ21" s="81">
        <v>0</v>
      </c>
      <c r="AR21" s="81">
        <v>1</v>
      </c>
      <c r="AS21" s="81">
        <v>0</v>
      </c>
      <c r="AT21" s="81">
        <v>1</v>
      </c>
      <c r="AU21" s="81">
        <v>0</v>
      </c>
      <c r="AV21" s="81">
        <v>1</v>
      </c>
      <c r="AW21" s="81">
        <v>1</v>
      </c>
      <c r="AX21" s="81">
        <v>0</v>
      </c>
      <c r="AY21" s="81">
        <v>0</v>
      </c>
      <c r="AZ21" s="81">
        <v>1</v>
      </c>
      <c r="BA21" s="81">
        <v>1</v>
      </c>
      <c r="BB21" s="81">
        <v>0</v>
      </c>
      <c r="BC21" s="81">
        <v>0</v>
      </c>
      <c r="BD21" s="81">
        <v>0</v>
      </c>
      <c r="BE21" s="81">
        <v>0</v>
      </c>
      <c r="BF21" s="81">
        <v>0</v>
      </c>
      <c r="BG21" s="81">
        <v>0</v>
      </c>
      <c r="BH21" s="81">
        <v>0</v>
      </c>
      <c r="BI21" s="81">
        <v>0</v>
      </c>
      <c r="BJ21" s="81">
        <v>0</v>
      </c>
      <c r="BK21" s="81">
        <v>1</v>
      </c>
      <c r="BL21" s="81">
        <v>0</v>
      </c>
      <c r="BM21" s="81">
        <v>0</v>
      </c>
      <c r="BN21" s="81">
        <v>1</v>
      </c>
      <c r="BO21" s="81">
        <v>3</v>
      </c>
      <c r="BP21" s="81">
        <v>3</v>
      </c>
      <c r="BQ21" s="81">
        <v>2</v>
      </c>
      <c r="BR21" s="81">
        <v>2</v>
      </c>
      <c r="BS21" s="81">
        <v>3</v>
      </c>
      <c r="BT21" s="81">
        <v>2</v>
      </c>
      <c r="BU21" s="81">
        <v>2</v>
      </c>
      <c r="BV21" s="81">
        <v>2</v>
      </c>
      <c r="BW21" s="81">
        <v>2</v>
      </c>
      <c r="BX21" s="81">
        <v>2</v>
      </c>
      <c r="BY21" s="81">
        <v>2</v>
      </c>
      <c r="BZ21" s="81">
        <v>1</v>
      </c>
      <c r="CA21" s="81">
        <v>3</v>
      </c>
      <c r="CB21" s="81">
        <v>3</v>
      </c>
      <c r="CC21" s="81">
        <v>3</v>
      </c>
      <c r="CD21" s="81">
        <v>2</v>
      </c>
      <c r="CE21" s="81">
        <v>2</v>
      </c>
      <c r="CF21" s="81">
        <v>2</v>
      </c>
      <c r="CG21" s="81">
        <v>3</v>
      </c>
      <c r="CH21" s="81">
        <v>0</v>
      </c>
      <c r="CI21" s="81">
        <v>1</v>
      </c>
      <c r="CJ21" s="81">
        <v>0</v>
      </c>
      <c r="CK21" s="81">
        <v>0</v>
      </c>
      <c r="CL21" s="81">
        <v>0</v>
      </c>
      <c r="CM21" s="81">
        <v>1</v>
      </c>
      <c r="CN21" s="81">
        <v>0</v>
      </c>
      <c r="CO21" s="81">
        <v>2</v>
      </c>
      <c r="CP21" s="81">
        <v>2</v>
      </c>
      <c r="CQ21" s="81">
        <v>2</v>
      </c>
      <c r="CR21" s="81">
        <v>3</v>
      </c>
      <c r="CS21" s="81">
        <v>3</v>
      </c>
      <c r="CT21" s="81">
        <v>2</v>
      </c>
      <c r="CU21" s="81">
        <v>0</v>
      </c>
      <c r="CV21" s="81">
        <v>1</v>
      </c>
      <c r="CW21" s="81">
        <v>0</v>
      </c>
      <c r="CX21" s="81">
        <v>1</v>
      </c>
      <c r="CY21" s="81">
        <v>1</v>
      </c>
      <c r="CZ21" s="81">
        <v>0</v>
      </c>
      <c r="DA21" s="81">
        <v>1</v>
      </c>
    </row>
    <row r="22" spans="1:105" ht="12" customHeight="1" x14ac:dyDescent="0.3">
      <c r="A22" s="81" t="s">
        <v>542</v>
      </c>
      <c r="B22" s="81" t="s">
        <v>1438</v>
      </c>
      <c r="C22" s="81" t="s">
        <v>1439</v>
      </c>
      <c r="D22" s="81" t="s">
        <v>543</v>
      </c>
      <c r="E22" s="81" t="s">
        <v>393</v>
      </c>
      <c r="F22" s="81" t="s">
        <v>393</v>
      </c>
      <c r="G22" s="81"/>
      <c r="H22" s="94">
        <v>25</v>
      </c>
      <c r="I22" s="81" t="s">
        <v>13</v>
      </c>
      <c r="J22" s="81" t="s">
        <v>470</v>
      </c>
      <c r="K22" s="81">
        <v>25</v>
      </c>
      <c r="L22" s="81" t="s">
        <v>435</v>
      </c>
      <c r="M22" s="81" t="s">
        <v>472</v>
      </c>
      <c r="N22" s="81" t="s">
        <v>1430</v>
      </c>
      <c r="O22" s="81" t="s">
        <v>1440</v>
      </c>
      <c r="P22" s="81" t="s">
        <v>414</v>
      </c>
      <c r="Q22" s="81" t="s">
        <v>531</v>
      </c>
      <c r="R22" s="81">
        <v>0</v>
      </c>
      <c r="S22" s="81">
        <v>1</v>
      </c>
      <c r="T22" s="81">
        <v>0</v>
      </c>
      <c r="U22" s="81">
        <v>0</v>
      </c>
      <c r="V22" s="81">
        <v>0</v>
      </c>
      <c r="W22" s="81">
        <v>0</v>
      </c>
      <c r="X22" s="81">
        <v>0</v>
      </c>
      <c r="Y22" s="81">
        <v>1</v>
      </c>
      <c r="Z22" s="81">
        <v>0</v>
      </c>
      <c r="AA22" s="81">
        <v>0</v>
      </c>
      <c r="AB22" s="81">
        <v>0</v>
      </c>
      <c r="AC22" s="81">
        <v>0</v>
      </c>
      <c r="AD22" s="81">
        <v>0</v>
      </c>
      <c r="AE22" s="81">
        <v>0</v>
      </c>
      <c r="AF22" s="81">
        <v>0</v>
      </c>
      <c r="AG22" s="81">
        <v>0</v>
      </c>
      <c r="AH22" s="81">
        <v>0</v>
      </c>
      <c r="AI22" s="81">
        <v>0</v>
      </c>
      <c r="AJ22" s="81">
        <v>0</v>
      </c>
      <c r="AK22" s="81">
        <v>0</v>
      </c>
      <c r="AL22" s="81">
        <v>1</v>
      </c>
      <c r="AM22" s="81">
        <v>0</v>
      </c>
      <c r="AN22" s="81">
        <v>1</v>
      </c>
      <c r="AO22" s="81">
        <v>0</v>
      </c>
      <c r="AP22" s="81">
        <v>1</v>
      </c>
      <c r="AQ22" s="81">
        <v>0</v>
      </c>
      <c r="AR22" s="81">
        <v>1</v>
      </c>
      <c r="AS22" s="81">
        <v>0</v>
      </c>
      <c r="AT22" s="81">
        <v>1</v>
      </c>
      <c r="AU22" s="81">
        <v>0</v>
      </c>
      <c r="AV22" s="81">
        <v>1</v>
      </c>
      <c r="AW22" s="81">
        <v>1</v>
      </c>
      <c r="AX22" s="81">
        <v>0</v>
      </c>
      <c r="AY22" s="81">
        <v>0</v>
      </c>
      <c r="AZ22" s="81">
        <v>1</v>
      </c>
      <c r="BA22" s="81">
        <v>1</v>
      </c>
      <c r="BB22" s="81">
        <v>0</v>
      </c>
      <c r="BC22" s="81">
        <v>0</v>
      </c>
      <c r="BD22" s="81">
        <v>0</v>
      </c>
      <c r="BE22" s="81">
        <v>0</v>
      </c>
      <c r="BF22" s="81">
        <v>0</v>
      </c>
      <c r="BG22" s="81">
        <v>0</v>
      </c>
      <c r="BH22" s="81">
        <v>0</v>
      </c>
      <c r="BI22" s="81">
        <v>0</v>
      </c>
      <c r="BJ22" s="81">
        <v>0</v>
      </c>
      <c r="BK22" s="81">
        <v>1</v>
      </c>
      <c r="BL22" s="81">
        <v>0</v>
      </c>
      <c r="BM22" s="81">
        <v>0</v>
      </c>
      <c r="BN22" s="81">
        <v>1</v>
      </c>
      <c r="BO22" s="81">
        <v>3</v>
      </c>
      <c r="BP22" s="81">
        <v>3</v>
      </c>
      <c r="BQ22" s="81">
        <v>2</v>
      </c>
      <c r="BR22" s="81">
        <v>2</v>
      </c>
      <c r="BS22" s="81">
        <v>3</v>
      </c>
      <c r="BT22" s="81">
        <v>2</v>
      </c>
      <c r="BU22" s="81">
        <v>2</v>
      </c>
      <c r="BV22" s="81">
        <v>2</v>
      </c>
      <c r="BW22" s="81">
        <v>2</v>
      </c>
      <c r="BX22" s="81">
        <v>2</v>
      </c>
      <c r="BY22" s="81">
        <v>2</v>
      </c>
      <c r="BZ22" s="81">
        <v>1</v>
      </c>
      <c r="CA22" s="81">
        <v>3</v>
      </c>
      <c r="CB22" s="81">
        <v>3</v>
      </c>
      <c r="CC22" s="81">
        <v>3</v>
      </c>
      <c r="CD22" s="81">
        <v>2</v>
      </c>
      <c r="CE22" s="81">
        <v>2</v>
      </c>
      <c r="CF22" s="81">
        <v>2</v>
      </c>
      <c r="CG22" s="81">
        <v>3</v>
      </c>
      <c r="CH22" s="81">
        <v>0</v>
      </c>
      <c r="CI22" s="81">
        <v>1</v>
      </c>
      <c r="CJ22" s="81">
        <v>0</v>
      </c>
      <c r="CK22" s="81">
        <v>0</v>
      </c>
      <c r="CL22" s="81">
        <v>0</v>
      </c>
      <c r="CM22" s="81">
        <v>1</v>
      </c>
      <c r="CN22" s="81">
        <v>0</v>
      </c>
      <c r="CO22" s="81">
        <v>2</v>
      </c>
      <c r="CP22" s="81">
        <v>2</v>
      </c>
      <c r="CQ22" s="81">
        <v>2</v>
      </c>
      <c r="CR22" s="81">
        <v>3</v>
      </c>
      <c r="CS22" s="81">
        <v>3</v>
      </c>
      <c r="CT22" s="81">
        <v>2</v>
      </c>
      <c r="CU22" s="81">
        <v>0</v>
      </c>
      <c r="CV22" s="81">
        <v>1</v>
      </c>
      <c r="CW22" s="81">
        <v>0</v>
      </c>
      <c r="CX22" s="81">
        <v>1</v>
      </c>
      <c r="CY22" s="81">
        <v>1</v>
      </c>
      <c r="CZ22" s="81">
        <v>0</v>
      </c>
      <c r="DA22" s="81">
        <v>1</v>
      </c>
    </row>
    <row r="23" spans="1:105" ht="12" customHeight="1" x14ac:dyDescent="0.3">
      <c r="A23" s="81" t="s">
        <v>544</v>
      </c>
      <c r="B23" s="81" t="s">
        <v>1438</v>
      </c>
      <c r="C23" s="81" t="s">
        <v>1439</v>
      </c>
      <c r="D23" s="81" t="s">
        <v>545</v>
      </c>
      <c r="E23" s="81" t="s">
        <v>393</v>
      </c>
      <c r="F23" s="81" t="s">
        <v>393</v>
      </c>
      <c r="G23" s="81"/>
      <c r="H23" s="94">
        <v>25</v>
      </c>
      <c r="I23" s="81" t="s">
        <v>13</v>
      </c>
      <c r="J23" s="81" t="s">
        <v>470</v>
      </c>
      <c r="K23" s="81">
        <v>25</v>
      </c>
      <c r="L23" s="81" t="s">
        <v>435</v>
      </c>
      <c r="M23" s="81" t="s">
        <v>472</v>
      </c>
      <c r="N23" s="81" t="s">
        <v>1430</v>
      </c>
      <c r="O23" s="81" t="s">
        <v>1440</v>
      </c>
      <c r="P23" s="81" t="s">
        <v>414</v>
      </c>
      <c r="Q23" s="81" t="s">
        <v>531</v>
      </c>
      <c r="R23" s="81">
        <v>0</v>
      </c>
      <c r="S23" s="81">
        <v>1</v>
      </c>
      <c r="T23" s="81">
        <v>0</v>
      </c>
      <c r="U23" s="81">
        <v>0</v>
      </c>
      <c r="V23" s="81">
        <v>0</v>
      </c>
      <c r="W23" s="81">
        <v>0</v>
      </c>
      <c r="X23" s="81">
        <v>0</v>
      </c>
      <c r="Y23" s="81">
        <v>1</v>
      </c>
      <c r="Z23" s="81">
        <v>0</v>
      </c>
      <c r="AA23" s="81">
        <v>0</v>
      </c>
      <c r="AB23" s="81">
        <v>0</v>
      </c>
      <c r="AC23" s="81">
        <v>0</v>
      </c>
      <c r="AD23" s="81">
        <v>0</v>
      </c>
      <c r="AE23" s="81">
        <v>0</v>
      </c>
      <c r="AF23" s="81">
        <v>0</v>
      </c>
      <c r="AG23" s="81">
        <v>0</v>
      </c>
      <c r="AH23" s="81">
        <v>0</v>
      </c>
      <c r="AI23" s="81">
        <v>0</v>
      </c>
      <c r="AJ23" s="81">
        <v>0</v>
      </c>
      <c r="AK23" s="81">
        <v>0</v>
      </c>
      <c r="AL23" s="81">
        <v>1</v>
      </c>
      <c r="AM23" s="81">
        <v>0</v>
      </c>
      <c r="AN23" s="81">
        <v>1</v>
      </c>
      <c r="AO23" s="81">
        <v>0</v>
      </c>
      <c r="AP23" s="81">
        <v>1</v>
      </c>
      <c r="AQ23" s="81">
        <v>0</v>
      </c>
      <c r="AR23" s="81">
        <v>1</v>
      </c>
      <c r="AS23" s="81">
        <v>0</v>
      </c>
      <c r="AT23" s="81">
        <v>1</v>
      </c>
      <c r="AU23" s="81">
        <v>0</v>
      </c>
      <c r="AV23" s="81">
        <v>1</v>
      </c>
      <c r="AW23" s="81">
        <v>1</v>
      </c>
      <c r="AX23" s="81">
        <v>0</v>
      </c>
      <c r="AY23" s="81">
        <v>0</v>
      </c>
      <c r="AZ23" s="81">
        <v>1</v>
      </c>
      <c r="BA23" s="81">
        <v>1</v>
      </c>
      <c r="BB23" s="81">
        <v>0</v>
      </c>
      <c r="BC23" s="81">
        <v>0</v>
      </c>
      <c r="BD23" s="81">
        <v>0</v>
      </c>
      <c r="BE23" s="81">
        <v>0</v>
      </c>
      <c r="BF23" s="81">
        <v>0</v>
      </c>
      <c r="BG23" s="81">
        <v>0</v>
      </c>
      <c r="BH23" s="81">
        <v>0</v>
      </c>
      <c r="BI23" s="81">
        <v>0</v>
      </c>
      <c r="BJ23" s="81">
        <v>0</v>
      </c>
      <c r="BK23" s="81">
        <v>1</v>
      </c>
      <c r="BL23" s="81">
        <v>0</v>
      </c>
      <c r="BM23" s="81">
        <v>0</v>
      </c>
      <c r="BN23" s="81">
        <v>1</v>
      </c>
      <c r="BO23" s="81">
        <v>3</v>
      </c>
      <c r="BP23" s="81">
        <v>3</v>
      </c>
      <c r="BQ23" s="81">
        <v>2</v>
      </c>
      <c r="BR23" s="81">
        <v>2</v>
      </c>
      <c r="BS23" s="81">
        <v>3</v>
      </c>
      <c r="BT23" s="81">
        <v>2</v>
      </c>
      <c r="BU23" s="81">
        <v>2</v>
      </c>
      <c r="BV23" s="81">
        <v>2</v>
      </c>
      <c r="BW23" s="81">
        <v>2</v>
      </c>
      <c r="BX23" s="81">
        <v>2</v>
      </c>
      <c r="BY23" s="81">
        <v>2</v>
      </c>
      <c r="BZ23" s="81">
        <v>1</v>
      </c>
      <c r="CA23" s="81">
        <v>3</v>
      </c>
      <c r="CB23" s="81">
        <v>3</v>
      </c>
      <c r="CC23" s="81">
        <v>3</v>
      </c>
      <c r="CD23" s="81">
        <v>2</v>
      </c>
      <c r="CE23" s="81">
        <v>2</v>
      </c>
      <c r="CF23" s="81">
        <v>2</v>
      </c>
      <c r="CG23" s="81">
        <v>3</v>
      </c>
      <c r="CH23" s="81">
        <v>0</v>
      </c>
      <c r="CI23" s="81">
        <v>1</v>
      </c>
      <c r="CJ23" s="81">
        <v>0</v>
      </c>
      <c r="CK23" s="81">
        <v>0</v>
      </c>
      <c r="CL23" s="81">
        <v>0</v>
      </c>
      <c r="CM23" s="81">
        <v>1</v>
      </c>
      <c r="CN23" s="81">
        <v>0</v>
      </c>
      <c r="CO23" s="81">
        <v>2</v>
      </c>
      <c r="CP23" s="81">
        <v>2</v>
      </c>
      <c r="CQ23" s="81">
        <v>2</v>
      </c>
      <c r="CR23" s="81">
        <v>3</v>
      </c>
      <c r="CS23" s="81">
        <v>3</v>
      </c>
      <c r="CT23" s="81">
        <v>2</v>
      </c>
      <c r="CU23" s="81">
        <v>0</v>
      </c>
      <c r="CV23" s="81">
        <v>1</v>
      </c>
      <c r="CW23" s="81">
        <v>0</v>
      </c>
      <c r="CX23" s="81">
        <v>1</v>
      </c>
      <c r="CY23" s="81">
        <v>1</v>
      </c>
      <c r="CZ23" s="81">
        <v>0</v>
      </c>
      <c r="DA23" s="81">
        <v>1</v>
      </c>
    </row>
    <row r="24" spans="1:105" ht="12" customHeight="1" x14ac:dyDescent="0.3">
      <c r="A24" s="81" t="s">
        <v>546</v>
      </c>
      <c r="B24" s="81" t="s">
        <v>1438</v>
      </c>
      <c r="C24" s="81" t="s">
        <v>1439</v>
      </c>
      <c r="D24" s="81" t="s">
        <v>547</v>
      </c>
      <c r="E24" s="81" t="s">
        <v>393</v>
      </c>
      <c r="F24" s="81" t="s">
        <v>393</v>
      </c>
      <c r="G24" s="81"/>
      <c r="H24" s="94">
        <v>25</v>
      </c>
      <c r="I24" s="81" t="s">
        <v>13</v>
      </c>
      <c r="J24" s="81" t="s">
        <v>470</v>
      </c>
      <c r="K24" s="81">
        <v>25</v>
      </c>
      <c r="L24" s="81" t="s">
        <v>435</v>
      </c>
      <c r="M24" s="81" t="s">
        <v>472</v>
      </c>
      <c r="N24" s="81" t="s">
        <v>1430</v>
      </c>
      <c r="O24" s="81" t="s">
        <v>1440</v>
      </c>
      <c r="P24" s="81" t="s">
        <v>414</v>
      </c>
      <c r="Q24" s="81" t="s">
        <v>531</v>
      </c>
      <c r="R24" s="81">
        <v>0</v>
      </c>
      <c r="S24" s="81">
        <v>1</v>
      </c>
      <c r="T24" s="81">
        <v>0</v>
      </c>
      <c r="U24" s="81">
        <v>0</v>
      </c>
      <c r="V24" s="81">
        <v>0</v>
      </c>
      <c r="W24" s="81">
        <v>0</v>
      </c>
      <c r="X24" s="81">
        <v>0</v>
      </c>
      <c r="Y24" s="81">
        <v>1</v>
      </c>
      <c r="Z24" s="81">
        <v>0</v>
      </c>
      <c r="AA24" s="81">
        <v>0</v>
      </c>
      <c r="AB24" s="81">
        <v>0</v>
      </c>
      <c r="AC24" s="81">
        <v>0</v>
      </c>
      <c r="AD24" s="81">
        <v>0</v>
      </c>
      <c r="AE24" s="81">
        <v>0</v>
      </c>
      <c r="AF24" s="81">
        <v>0</v>
      </c>
      <c r="AG24" s="81">
        <v>0</v>
      </c>
      <c r="AH24" s="81">
        <v>0</v>
      </c>
      <c r="AI24" s="81">
        <v>0</v>
      </c>
      <c r="AJ24" s="81">
        <v>0</v>
      </c>
      <c r="AK24" s="81">
        <v>0</v>
      </c>
      <c r="AL24" s="81">
        <v>1</v>
      </c>
      <c r="AM24" s="81">
        <v>0</v>
      </c>
      <c r="AN24" s="81">
        <v>1</v>
      </c>
      <c r="AO24" s="81">
        <v>0</v>
      </c>
      <c r="AP24" s="81">
        <v>1</v>
      </c>
      <c r="AQ24" s="81">
        <v>0</v>
      </c>
      <c r="AR24" s="81">
        <v>1</v>
      </c>
      <c r="AS24" s="81">
        <v>0</v>
      </c>
      <c r="AT24" s="81">
        <v>1</v>
      </c>
      <c r="AU24" s="81">
        <v>0</v>
      </c>
      <c r="AV24" s="81">
        <v>1</v>
      </c>
      <c r="AW24" s="81">
        <v>1</v>
      </c>
      <c r="AX24" s="81">
        <v>0</v>
      </c>
      <c r="AY24" s="81">
        <v>0</v>
      </c>
      <c r="AZ24" s="81">
        <v>1</v>
      </c>
      <c r="BA24" s="81">
        <v>1</v>
      </c>
      <c r="BB24" s="81">
        <v>0</v>
      </c>
      <c r="BC24" s="81">
        <v>0</v>
      </c>
      <c r="BD24" s="81">
        <v>0</v>
      </c>
      <c r="BE24" s="81">
        <v>0</v>
      </c>
      <c r="BF24" s="81">
        <v>0</v>
      </c>
      <c r="BG24" s="81">
        <v>0</v>
      </c>
      <c r="BH24" s="81">
        <v>0</v>
      </c>
      <c r="BI24" s="81">
        <v>0</v>
      </c>
      <c r="BJ24" s="81">
        <v>0</v>
      </c>
      <c r="BK24" s="81">
        <v>1</v>
      </c>
      <c r="BL24" s="81">
        <v>0</v>
      </c>
      <c r="BM24" s="81">
        <v>0</v>
      </c>
      <c r="BN24" s="81">
        <v>1</v>
      </c>
      <c r="BO24" s="81">
        <v>3</v>
      </c>
      <c r="BP24" s="81">
        <v>3</v>
      </c>
      <c r="BQ24" s="81">
        <v>2</v>
      </c>
      <c r="BR24" s="81">
        <v>2</v>
      </c>
      <c r="BS24" s="81">
        <v>3</v>
      </c>
      <c r="BT24" s="81">
        <v>2</v>
      </c>
      <c r="BU24" s="81">
        <v>2</v>
      </c>
      <c r="BV24" s="81">
        <v>2</v>
      </c>
      <c r="BW24" s="81">
        <v>2</v>
      </c>
      <c r="BX24" s="81">
        <v>2</v>
      </c>
      <c r="BY24" s="81">
        <v>2</v>
      </c>
      <c r="BZ24" s="81">
        <v>1</v>
      </c>
      <c r="CA24" s="81">
        <v>3</v>
      </c>
      <c r="CB24" s="81">
        <v>3</v>
      </c>
      <c r="CC24" s="81">
        <v>3</v>
      </c>
      <c r="CD24" s="81">
        <v>2</v>
      </c>
      <c r="CE24" s="81">
        <v>2</v>
      </c>
      <c r="CF24" s="81">
        <v>2</v>
      </c>
      <c r="CG24" s="81">
        <v>3</v>
      </c>
      <c r="CH24" s="81">
        <v>0</v>
      </c>
      <c r="CI24" s="81">
        <v>1</v>
      </c>
      <c r="CJ24" s="81">
        <v>0</v>
      </c>
      <c r="CK24" s="81">
        <v>0</v>
      </c>
      <c r="CL24" s="81">
        <v>0</v>
      </c>
      <c r="CM24" s="81">
        <v>1</v>
      </c>
      <c r="CN24" s="81">
        <v>0</v>
      </c>
      <c r="CO24" s="81">
        <v>2</v>
      </c>
      <c r="CP24" s="81">
        <v>2</v>
      </c>
      <c r="CQ24" s="81">
        <v>2</v>
      </c>
      <c r="CR24" s="81">
        <v>3</v>
      </c>
      <c r="CS24" s="81">
        <v>3</v>
      </c>
      <c r="CT24" s="81">
        <v>2</v>
      </c>
      <c r="CU24" s="81">
        <v>0</v>
      </c>
      <c r="CV24" s="81">
        <v>1</v>
      </c>
      <c r="CW24" s="81">
        <v>0</v>
      </c>
      <c r="CX24" s="81">
        <v>1</v>
      </c>
      <c r="CY24" s="81">
        <v>1</v>
      </c>
      <c r="CZ24" s="81">
        <v>0</v>
      </c>
      <c r="DA24" s="81">
        <v>1</v>
      </c>
    </row>
    <row r="25" spans="1:105" ht="12" customHeight="1" x14ac:dyDescent="0.3">
      <c r="A25" s="81" t="s">
        <v>548</v>
      </c>
      <c r="B25" s="81" t="s">
        <v>1438</v>
      </c>
      <c r="C25" s="81" t="s">
        <v>1439</v>
      </c>
      <c r="D25" s="81" t="s">
        <v>549</v>
      </c>
      <c r="E25" s="81" t="s">
        <v>393</v>
      </c>
      <c r="F25" s="81" t="s">
        <v>393</v>
      </c>
      <c r="G25" s="81"/>
      <c r="H25" s="94">
        <v>25</v>
      </c>
      <c r="I25" s="81" t="s">
        <v>13</v>
      </c>
      <c r="J25" s="81" t="s">
        <v>470</v>
      </c>
      <c r="K25" s="81">
        <v>25</v>
      </c>
      <c r="L25" s="81" t="s">
        <v>435</v>
      </c>
      <c r="M25" s="81" t="s">
        <v>472</v>
      </c>
      <c r="N25" s="81" t="s">
        <v>1430</v>
      </c>
      <c r="O25" s="81" t="s">
        <v>1440</v>
      </c>
      <c r="P25" s="81" t="s">
        <v>414</v>
      </c>
      <c r="Q25" s="81" t="s">
        <v>531</v>
      </c>
      <c r="R25" s="81">
        <v>0</v>
      </c>
      <c r="S25" s="81">
        <v>1</v>
      </c>
      <c r="T25" s="81">
        <v>0</v>
      </c>
      <c r="U25" s="81">
        <v>0</v>
      </c>
      <c r="V25" s="81">
        <v>0</v>
      </c>
      <c r="W25" s="81">
        <v>0</v>
      </c>
      <c r="X25" s="81">
        <v>0</v>
      </c>
      <c r="Y25" s="81">
        <v>1</v>
      </c>
      <c r="Z25" s="81">
        <v>0</v>
      </c>
      <c r="AA25" s="81">
        <v>0</v>
      </c>
      <c r="AB25" s="81">
        <v>0</v>
      </c>
      <c r="AC25" s="81">
        <v>0</v>
      </c>
      <c r="AD25" s="81">
        <v>0</v>
      </c>
      <c r="AE25" s="81">
        <v>0</v>
      </c>
      <c r="AF25" s="81">
        <v>0</v>
      </c>
      <c r="AG25" s="81">
        <v>0</v>
      </c>
      <c r="AH25" s="81">
        <v>0</v>
      </c>
      <c r="AI25" s="81">
        <v>0</v>
      </c>
      <c r="AJ25" s="81">
        <v>0</v>
      </c>
      <c r="AK25" s="81">
        <v>0</v>
      </c>
      <c r="AL25" s="81">
        <v>1</v>
      </c>
      <c r="AM25" s="81">
        <v>0</v>
      </c>
      <c r="AN25" s="81">
        <v>1</v>
      </c>
      <c r="AO25" s="81">
        <v>0</v>
      </c>
      <c r="AP25" s="81">
        <v>1</v>
      </c>
      <c r="AQ25" s="81">
        <v>0</v>
      </c>
      <c r="AR25" s="81">
        <v>1</v>
      </c>
      <c r="AS25" s="81">
        <v>0</v>
      </c>
      <c r="AT25" s="81">
        <v>1</v>
      </c>
      <c r="AU25" s="81">
        <v>0</v>
      </c>
      <c r="AV25" s="81">
        <v>1</v>
      </c>
      <c r="AW25" s="81">
        <v>1</v>
      </c>
      <c r="AX25" s="81">
        <v>0</v>
      </c>
      <c r="AY25" s="81">
        <v>0</v>
      </c>
      <c r="AZ25" s="81">
        <v>1</v>
      </c>
      <c r="BA25" s="81">
        <v>1</v>
      </c>
      <c r="BB25" s="81">
        <v>0</v>
      </c>
      <c r="BC25" s="81">
        <v>0</v>
      </c>
      <c r="BD25" s="81">
        <v>0</v>
      </c>
      <c r="BE25" s="81">
        <v>0</v>
      </c>
      <c r="BF25" s="81">
        <v>0</v>
      </c>
      <c r="BG25" s="81">
        <v>0</v>
      </c>
      <c r="BH25" s="81">
        <v>0</v>
      </c>
      <c r="BI25" s="81">
        <v>0</v>
      </c>
      <c r="BJ25" s="81">
        <v>0</v>
      </c>
      <c r="BK25" s="81">
        <v>1</v>
      </c>
      <c r="BL25" s="81">
        <v>0</v>
      </c>
      <c r="BM25" s="81">
        <v>0</v>
      </c>
      <c r="BN25" s="81">
        <v>1</v>
      </c>
      <c r="BO25" s="81">
        <v>3</v>
      </c>
      <c r="BP25" s="81">
        <v>3</v>
      </c>
      <c r="BQ25" s="81">
        <v>2</v>
      </c>
      <c r="BR25" s="81">
        <v>2</v>
      </c>
      <c r="BS25" s="81">
        <v>3</v>
      </c>
      <c r="BT25" s="81">
        <v>2</v>
      </c>
      <c r="BU25" s="81">
        <v>2</v>
      </c>
      <c r="BV25" s="81">
        <v>2</v>
      </c>
      <c r="BW25" s="81">
        <v>2</v>
      </c>
      <c r="BX25" s="81">
        <v>2</v>
      </c>
      <c r="BY25" s="81">
        <v>2</v>
      </c>
      <c r="BZ25" s="81">
        <v>1</v>
      </c>
      <c r="CA25" s="81">
        <v>3</v>
      </c>
      <c r="CB25" s="81">
        <v>3</v>
      </c>
      <c r="CC25" s="81">
        <v>3</v>
      </c>
      <c r="CD25" s="81">
        <v>2</v>
      </c>
      <c r="CE25" s="81">
        <v>2</v>
      </c>
      <c r="CF25" s="81">
        <v>2</v>
      </c>
      <c r="CG25" s="81">
        <v>3</v>
      </c>
      <c r="CH25" s="81">
        <v>0</v>
      </c>
      <c r="CI25" s="81">
        <v>1</v>
      </c>
      <c r="CJ25" s="81">
        <v>0</v>
      </c>
      <c r="CK25" s="81">
        <v>0</v>
      </c>
      <c r="CL25" s="81">
        <v>0</v>
      </c>
      <c r="CM25" s="81">
        <v>1</v>
      </c>
      <c r="CN25" s="81">
        <v>0</v>
      </c>
      <c r="CO25" s="81">
        <v>2</v>
      </c>
      <c r="CP25" s="81">
        <v>2</v>
      </c>
      <c r="CQ25" s="81">
        <v>2</v>
      </c>
      <c r="CR25" s="81">
        <v>3</v>
      </c>
      <c r="CS25" s="81">
        <v>3</v>
      </c>
      <c r="CT25" s="81">
        <v>2</v>
      </c>
      <c r="CU25" s="81">
        <v>0</v>
      </c>
      <c r="CV25" s="81">
        <v>1</v>
      </c>
      <c r="CW25" s="81">
        <v>0</v>
      </c>
      <c r="CX25" s="81">
        <v>1</v>
      </c>
      <c r="CY25" s="81">
        <v>1</v>
      </c>
      <c r="CZ25" s="81">
        <v>0</v>
      </c>
      <c r="DA25" s="81">
        <v>1</v>
      </c>
    </row>
    <row r="26" spans="1:105" ht="12" customHeight="1" x14ac:dyDescent="0.3">
      <c r="A26" s="81" t="s">
        <v>550</v>
      </c>
      <c r="B26" s="81" t="s">
        <v>1438</v>
      </c>
      <c r="C26" s="81" t="s">
        <v>1439</v>
      </c>
      <c r="D26" s="81" t="s">
        <v>551</v>
      </c>
      <c r="E26" s="81" t="s">
        <v>393</v>
      </c>
      <c r="F26" s="81" t="s">
        <v>393</v>
      </c>
      <c r="G26" s="81"/>
      <c r="H26" s="94">
        <v>25</v>
      </c>
      <c r="I26" s="81" t="s">
        <v>13</v>
      </c>
      <c r="J26" s="81" t="s">
        <v>470</v>
      </c>
      <c r="K26" s="81">
        <v>25</v>
      </c>
      <c r="L26" s="81" t="s">
        <v>435</v>
      </c>
      <c r="M26" s="81" t="s">
        <v>472</v>
      </c>
      <c r="N26" s="81" t="s">
        <v>1430</v>
      </c>
      <c r="O26" s="81" t="s">
        <v>1440</v>
      </c>
      <c r="P26" s="81" t="s">
        <v>414</v>
      </c>
      <c r="Q26" s="81" t="s">
        <v>531</v>
      </c>
      <c r="R26" s="81">
        <v>0</v>
      </c>
      <c r="S26" s="81">
        <v>1</v>
      </c>
      <c r="T26" s="81">
        <v>0</v>
      </c>
      <c r="U26" s="81">
        <v>0</v>
      </c>
      <c r="V26" s="81">
        <v>0</v>
      </c>
      <c r="W26" s="81">
        <v>0</v>
      </c>
      <c r="X26" s="81">
        <v>0</v>
      </c>
      <c r="Y26" s="81">
        <v>1</v>
      </c>
      <c r="Z26" s="81">
        <v>0</v>
      </c>
      <c r="AA26" s="81">
        <v>0</v>
      </c>
      <c r="AB26" s="81">
        <v>0</v>
      </c>
      <c r="AC26" s="81">
        <v>0</v>
      </c>
      <c r="AD26" s="81">
        <v>0</v>
      </c>
      <c r="AE26" s="81">
        <v>0</v>
      </c>
      <c r="AF26" s="81">
        <v>0</v>
      </c>
      <c r="AG26" s="81">
        <v>0</v>
      </c>
      <c r="AH26" s="81">
        <v>0</v>
      </c>
      <c r="AI26" s="81">
        <v>0</v>
      </c>
      <c r="AJ26" s="81">
        <v>0</v>
      </c>
      <c r="AK26" s="81">
        <v>0</v>
      </c>
      <c r="AL26" s="81">
        <v>1</v>
      </c>
      <c r="AM26" s="81">
        <v>0</v>
      </c>
      <c r="AN26" s="81">
        <v>1</v>
      </c>
      <c r="AO26" s="81">
        <v>0</v>
      </c>
      <c r="AP26" s="81">
        <v>1</v>
      </c>
      <c r="AQ26" s="81">
        <v>0</v>
      </c>
      <c r="AR26" s="81">
        <v>1</v>
      </c>
      <c r="AS26" s="81">
        <v>0</v>
      </c>
      <c r="AT26" s="81">
        <v>1</v>
      </c>
      <c r="AU26" s="81">
        <v>0</v>
      </c>
      <c r="AV26" s="81">
        <v>1</v>
      </c>
      <c r="AW26" s="81">
        <v>1</v>
      </c>
      <c r="AX26" s="81">
        <v>0</v>
      </c>
      <c r="AY26" s="81">
        <v>0</v>
      </c>
      <c r="AZ26" s="81">
        <v>1</v>
      </c>
      <c r="BA26" s="81">
        <v>1</v>
      </c>
      <c r="BB26" s="81">
        <v>0</v>
      </c>
      <c r="BC26" s="81">
        <v>0</v>
      </c>
      <c r="BD26" s="81">
        <v>0</v>
      </c>
      <c r="BE26" s="81">
        <v>0</v>
      </c>
      <c r="BF26" s="81">
        <v>0</v>
      </c>
      <c r="BG26" s="81">
        <v>0</v>
      </c>
      <c r="BH26" s="81">
        <v>0</v>
      </c>
      <c r="BI26" s="81">
        <v>0</v>
      </c>
      <c r="BJ26" s="81">
        <v>0</v>
      </c>
      <c r="BK26" s="81">
        <v>1</v>
      </c>
      <c r="BL26" s="81">
        <v>0</v>
      </c>
      <c r="BM26" s="81">
        <v>0</v>
      </c>
      <c r="BN26" s="81">
        <v>1</v>
      </c>
      <c r="BO26" s="81">
        <v>3</v>
      </c>
      <c r="BP26" s="81">
        <v>3</v>
      </c>
      <c r="BQ26" s="81">
        <v>2</v>
      </c>
      <c r="BR26" s="81">
        <v>2</v>
      </c>
      <c r="BS26" s="81">
        <v>3</v>
      </c>
      <c r="BT26" s="81">
        <v>2</v>
      </c>
      <c r="BU26" s="81">
        <v>2</v>
      </c>
      <c r="BV26" s="81">
        <v>2</v>
      </c>
      <c r="BW26" s="81">
        <v>2</v>
      </c>
      <c r="BX26" s="81">
        <v>2</v>
      </c>
      <c r="BY26" s="81">
        <v>2</v>
      </c>
      <c r="BZ26" s="81">
        <v>1</v>
      </c>
      <c r="CA26" s="81">
        <v>3</v>
      </c>
      <c r="CB26" s="81">
        <v>3</v>
      </c>
      <c r="CC26" s="81">
        <v>3</v>
      </c>
      <c r="CD26" s="81">
        <v>2</v>
      </c>
      <c r="CE26" s="81">
        <v>2</v>
      </c>
      <c r="CF26" s="81">
        <v>2</v>
      </c>
      <c r="CG26" s="81">
        <v>3</v>
      </c>
      <c r="CH26" s="81">
        <v>0</v>
      </c>
      <c r="CI26" s="81">
        <v>1</v>
      </c>
      <c r="CJ26" s="81">
        <v>0</v>
      </c>
      <c r="CK26" s="81">
        <v>0</v>
      </c>
      <c r="CL26" s="81">
        <v>0</v>
      </c>
      <c r="CM26" s="81">
        <v>1</v>
      </c>
      <c r="CN26" s="81">
        <v>0</v>
      </c>
      <c r="CO26" s="81">
        <v>2</v>
      </c>
      <c r="CP26" s="81">
        <v>2</v>
      </c>
      <c r="CQ26" s="81">
        <v>2</v>
      </c>
      <c r="CR26" s="81">
        <v>3</v>
      </c>
      <c r="CS26" s="81">
        <v>3</v>
      </c>
      <c r="CT26" s="81">
        <v>2</v>
      </c>
      <c r="CU26" s="81">
        <v>0</v>
      </c>
      <c r="CV26" s="81">
        <v>1</v>
      </c>
      <c r="CW26" s="81">
        <v>0</v>
      </c>
      <c r="CX26" s="81">
        <v>1</v>
      </c>
      <c r="CY26" s="81">
        <v>1</v>
      </c>
      <c r="CZ26" s="81">
        <v>0</v>
      </c>
      <c r="DA26" s="81">
        <v>1</v>
      </c>
    </row>
    <row r="27" spans="1:105" ht="12" customHeight="1" x14ac:dyDescent="0.3">
      <c r="A27" s="81" t="s">
        <v>552</v>
      </c>
      <c r="B27" s="81" t="s">
        <v>1438</v>
      </c>
      <c r="C27" s="81" t="s">
        <v>1439</v>
      </c>
      <c r="D27" s="81" t="s">
        <v>553</v>
      </c>
      <c r="E27" s="81" t="s">
        <v>393</v>
      </c>
      <c r="F27" s="81" t="s">
        <v>393</v>
      </c>
      <c r="G27" s="81"/>
      <c r="H27" s="94">
        <v>25</v>
      </c>
      <c r="I27" s="81" t="s">
        <v>13</v>
      </c>
      <c r="J27" s="81" t="s">
        <v>470</v>
      </c>
      <c r="K27" s="81">
        <v>25</v>
      </c>
      <c r="L27" s="81" t="s">
        <v>435</v>
      </c>
      <c r="M27" s="81" t="s">
        <v>472</v>
      </c>
      <c r="N27" s="81" t="s">
        <v>1430</v>
      </c>
      <c r="O27" s="81" t="s">
        <v>1440</v>
      </c>
      <c r="P27" s="81" t="s">
        <v>414</v>
      </c>
      <c r="Q27" s="81" t="s">
        <v>531</v>
      </c>
      <c r="R27" s="81">
        <v>0</v>
      </c>
      <c r="S27" s="81">
        <v>1</v>
      </c>
      <c r="T27" s="81">
        <v>0</v>
      </c>
      <c r="U27" s="81">
        <v>0</v>
      </c>
      <c r="V27" s="81">
        <v>0</v>
      </c>
      <c r="W27" s="81">
        <v>0</v>
      </c>
      <c r="X27" s="81">
        <v>0</v>
      </c>
      <c r="Y27" s="81">
        <v>1</v>
      </c>
      <c r="Z27" s="81">
        <v>0</v>
      </c>
      <c r="AA27" s="81">
        <v>0</v>
      </c>
      <c r="AB27" s="81">
        <v>0</v>
      </c>
      <c r="AC27" s="81">
        <v>0</v>
      </c>
      <c r="AD27" s="81">
        <v>0</v>
      </c>
      <c r="AE27" s="81">
        <v>0</v>
      </c>
      <c r="AF27" s="81">
        <v>0</v>
      </c>
      <c r="AG27" s="81">
        <v>0</v>
      </c>
      <c r="AH27" s="81">
        <v>0</v>
      </c>
      <c r="AI27" s="81">
        <v>0</v>
      </c>
      <c r="AJ27" s="81">
        <v>0</v>
      </c>
      <c r="AK27" s="81">
        <v>0</v>
      </c>
      <c r="AL27" s="81">
        <v>1</v>
      </c>
      <c r="AM27" s="81">
        <v>0</v>
      </c>
      <c r="AN27" s="81">
        <v>1</v>
      </c>
      <c r="AO27" s="81">
        <v>0</v>
      </c>
      <c r="AP27" s="81">
        <v>1</v>
      </c>
      <c r="AQ27" s="81">
        <v>0</v>
      </c>
      <c r="AR27" s="81">
        <v>1</v>
      </c>
      <c r="AS27" s="81">
        <v>0</v>
      </c>
      <c r="AT27" s="81">
        <v>1</v>
      </c>
      <c r="AU27" s="81">
        <v>0</v>
      </c>
      <c r="AV27" s="81">
        <v>1</v>
      </c>
      <c r="AW27" s="81">
        <v>1</v>
      </c>
      <c r="AX27" s="81">
        <v>0</v>
      </c>
      <c r="AY27" s="81">
        <v>0</v>
      </c>
      <c r="AZ27" s="81">
        <v>1</v>
      </c>
      <c r="BA27" s="81">
        <v>1</v>
      </c>
      <c r="BB27" s="81">
        <v>0</v>
      </c>
      <c r="BC27" s="81">
        <v>0</v>
      </c>
      <c r="BD27" s="81">
        <v>0</v>
      </c>
      <c r="BE27" s="81">
        <v>0</v>
      </c>
      <c r="BF27" s="81">
        <v>0</v>
      </c>
      <c r="BG27" s="81">
        <v>0</v>
      </c>
      <c r="BH27" s="81">
        <v>0</v>
      </c>
      <c r="BI27" s="81">
        <v>0</v>
      </c>
      <c r="BJ27" s="81">
        <v>0</v>
      </c>
      <c r="BK27" s="81">
        <v>1</v>
      </c>
      <c r="BL27" s="81">
        <v>0</v>
      </c>
      <c r="BM27" s="81">
        <v>0</v>
      </c>
      <c r="BN27" s="81">
        <v>1</v>
      </c>
      <c r="BO27" s="81">
        <v>3</v>
      </c>
      <c r="BP27" s="81">
        <v>3</v>
      </c>
      <c r="BQ27" s="81">
        <v>2</v>
      </c>
      <c r="BR27" s="81">
        <v>2</v>
      </c>
      <c r="BS27" s="81">
        <v>3</v>
      </c>
      <c r="BT27" s="81">
        <v>2</v>
      </c>
      <c r="BU27" s="81">
        <v>2</v>
      </c>
      <c r="BV27" s="81">
        <v>2</v>
      </c>
      <c r="BW27" s="81">
        <v>2</v>
      </c>
      <c r="BX27" s="81">
        <v>2</v>
      </c>
      <c r="BY27" s="81">
        <v>2</v>
      </c>
      <c r="BZ27" s="81">
        <v>1</v>
      </c>
      <c r="CA27" s="81">
        <v>3</v>
      </c>
      <c r="CB27" s="81">
        <v>3</v>
      </c>
      <c r="CC27" s="81">
        <v>3</v>
      </c>
      <c r="CD27" s="81">
        <v>2</v>
      </c>
      <c r="CE27" s="81">
        <v>2</v>
      </c>
      <c r="CF27" s="81">
        <v>2</v>
      </c>
      <c r="CG27" s="81">
        <v>3</v>
      </c>
      <c r="CH27" s="81">
        <v>0</v>
      </c>
      <c r="CI27" s="81">
        <v>1</v>
      </c>
      <c r="CJ27" s="81">
        <v>0</v>
      </c>
      <c r="CK27" s="81">
        <v>0</v>
      </c>
      <c r="CL27" s="81">
        <v>0</v>
      </c>
      <c r="CM27" s="81">
        <v>1</v>
      </c>
      <c r="CN27" s="81">
        <v>0</v>
      </c>
      <c r="CO27" s="81">
        <v>2</v>
      </c>
      <c r="CP27" s="81">
        <v>2</v>
      </c>
      <c r="CQ27" s="81">
        <v>2</v>
      </c>
      <c r="CR27" s="81">
        <v>3</v>
      </c>
      <c r="CS27" s="81">
        <v>3</v>
      </c>
      <c r="CT27" s="81">
        <v>2</v>
      </c>
      <c r="CU27" s="81">
        <v>0</v>
      </c>
      <c r="CV27" s="81">
        <v>1</v>
      </c>
      <c r="CW27" s="81">
        <v>0</v>
      </c>
      <c r="CX27" s="81">
        <v>1</v>
      </c>
      <c r="CY27" s="81">
        <v>1</v>
      </c>
      <c r="CZ27" s="81">
        <v>0</v>
      </c>
      <c r="DA27" s="81">
        <v>1</v>
      </c>
    </row>
    <row r="28" spans="1:105" ht="12" customHeight="1" x14ac:dyDescent="0.3">
      <c r="A28" s="81" t="s">
        <v>554</v>
      </c>
      <c r="B28" s="81" t="s">
        <v>1438</v>
      </c>
      <c r="C28" s="81" t="s">
        <v>1439</v>
      </c>
      <c r="D28" s="81" t="s">
        <v>555</v>
      </c>
      <c r="E28" s="81" t="s">
        <v>393</v>
      </c>
      <c r="F28" s="81" t="s">
        <v>393</v>
      </c>
      <c r="G28" s="81"/>
      <c r="H28" s="94">
        <v>25</v>
      </c>
      <c r="I28" s="81" t="s">
        <v>13</v>
      </c>
      <c r="J28" s="81" t="s">
        <v>470</v>
      </c>
      <c r="K28" s="81">
        <v>25</v>
      </c>
      <c r="L28" s="81" t="s">
        <v>435</v>
      </c>
      <c r="M28" s="81" t="s">
        <v>472</v>
      </c>
      <c r="N28" s="81" t="s">
        <v>1430</v>
      </c>
      <c r="O28" s="81" t="s">
        <v>1440</v>
      </c>
      <c r="P28" s="81" t="s">
        <v>414</v>
      </c>
      <c r="Q28" s="81" t="s">
        <v>531</v>
      </c>
      <c r="R28" s="81">
        <v>0</v>
      </c>
      <c r="S28" s="81">
        <v>1</v>
      </c>
      <c r="T28" s="81">
        <v>0</v>
      </c>
      <c r="U28" s="81">
        <v>0</v>
      </c>
      <c r="V28" s="81">
        <v>0</v>
      </c>
      <c r="W28" s="81">
        <v>0</v>
      </c>
      <c r="X28" s="81">
        <v>0</v>
      </c>
      <c r="Y28" s="81">
        <v>1</v>
      </c>
      <c r="Z28" s="81">
        <v>0</v>
      </c>
      <c r="AA28" s="81">
        <v>0</v>
      </c>
      <c r="AB28" s="81">
        <v>0</v>
      </c>
      <c r="AC28" s="81">
        <v>0</v>
      </c>
      <c r="AD28" s="81">
        <v>0</v>
      </c>
      <c r="AE28" s="81">
        <v>0</v>
      </c>
      <c r="AF28" s="81">
        <v>0</v>
      </c>
      <c r="AG28" s="81">
        <v>0</v>
      </c>
      <c r="AH28" s="81">
        <v>0</v>
      </c>
      <c r="AI28" s="81">
        <v>0</v>
      </c>
      <c r="AJ28" s="81">
        <v>0</v>
      </c>
      <c r="AK28" s="81">
        <v>0</v>
      </c>
      <c r="AL28" s="81">
        <v>1</v>
      </c>
      <c r="AM28" s="81">
        <v>0</v>
      </c>
      <c r="AN28" s="81">
        <v>1</v>
      </c>
      <c r="AO28" s="81">
        <v>0</v>
      </c>
      <c r="AP28" s="81">
        <v>1</v>
      </c>
      <c r="AQ28" s="81">
        <v>0</v>
      </c>
      <c r="AR28" s="81">
        <v>1</v>
      </c>
      <c r="AS28" s="81">
        <v>0</v>
      </c>
      <c r="AT28" s="81">
        <v>1</v>
      </c>
      <c r="AU28" s="81">
        <v>0</v>
      </c>
      <c r="AV28" s="81">
        <v>1</v>
      </c>
      <c r="AW28" s="81">
        <v>1</v>
      </c>
      <c r="AX28" s="81">
        <v>0</v>
      </c>
      <c r="AY28" s="81">
        <v>0</v>
      </c>
      <c r="AZ28" s="81">
        <v>1</v>
      </c>
      <c r="BA28" s="81">
        <v>1</v>
      </c>
      <c r="BB28" s="81">
        <v>0</v>
      </c>
      <c r="BC28" s="81">
        <v>0</v>
      </c>
      <c r="BD28" s="81">
        <v>0</v>
      </c>
      <c r="BE28" s="81">
        <v>0</v>
      </c>
      <c r="BF28" s="81">
        <v>0</v>
      </c>
      <c r="BG28" s="81">
        <v>0</v>
      </c>
      <c r="BH28" s="81">
        <v>0</v>
      </c>
      <c r="BI28" s="81">
        <v>0</v>
      </c>
      <c r="BJ28" s="81">
        <v>0</v>
      </c>
      <c r="BK28" s="81">
        <v>1</v>
      </c>
      <c r="BL28" s="81">
        <v>0</v>
      </c>
      <c r="BM28" s="81">
        <v>0</v>
      </c>
      <c r="BN28" s="81">
        <v>1</v>
      </c>
      <c r="BO28" s="81">
        <v>3</v>
      </c>
      <c r="BP28" s="81">
        <v>3</v>
      </c>
      <c r="BQ28" s="81">
        <v>2</v>
      </c>
      <c r="BR28" s="81">
        <v>2</v>
      </c>
      <c r="BS28" s="81">
        <v>3</v>
      </c>
      <c r="BT28" s="81">
        <v>2</v>
      </c>
      <c r="BU28" s="81">
        <v>2</v>
      </c>
      <c r="BV28" s="81">
        <v>2</v>
      </c>
      <c r="BW28" s="81">
        <v>2</v>
      </c>
      <c r="BX28" s="81">
        <v>2</v>
      </c>
      <c r="BY28" s="81">
        <v>2</v>
      </c>
      <c r="BZ28" s="81">
        <v>1</v>
      </c>
      <c r="CA28" s="81">
        <v>3</v>
      </c>
      <c r="CB28" s="81">
        <v>3</v>
      </c>
      <c r="CC28" s="81">
        <v>3</v>
      </c>
      <c r="CD28" s="81">
        <v>2</v>
      </c>
      <c r="CE28" s="81">
        <v>2</v>
      </c>
      <c r="CF28" s="81">
        <v>2</v>
      </c>
      <c r="CG28" s="81">
        <v>3</v>
      </c>
      <c r="CH28" s="81">
        <v>0</v>
      </c>
      <c r="CI28" s="81">
        <v>1</v>
      </c>
      <c r="CJ28" s="81">
        <v>0</v>
      </c>
      <c r="CK28" s="81">
        <v>0</v>
      </c>
      <c r="CL28" s="81">
        <v>0</v>
      </c>
      <c r="CM28" s="81">
        <v>1</v>
      </c>
      <c r="CN28" s="81">
        <v>0</v>
      </c>
      <c r="CO28" s="81">
        <v>2</v>
      </c>
      <c r="CP28" s="81">
        <v>2</v>
      </c>
      <c r="CQ28" s="81">
        <v>2</v>
      </c>
      <c r="CR28" s="81">
        <v>3</v>
      </c>
      <c r="CS28" s="81">
        <v>3</v>
      </c>
      <c r="CT28" s="81">
        <v>2</v>
      </c>
      <c r="CU28" s="81">
        <v>0</v>
      </c>
      <c r="CV28" s="81">
        <v>1</v>
      </c>
      <c r="CW28" s="81">
        <v>0</v>
      </c>
      <c r="CX28" s="81">
        <v>1</v>
      </c>
      <c r="CY28" s="81">
        <v>1</v>
      </c>
      <c r="CZ28" s="81">
        <v>0</v>
      </c>
      <c r="DA28" s="81">
        <v>1</v>
      </c>
    </row>
    <row r="29" spans="1:105" ht="12" customHeight="1" x14ac:dyDescent="0.3">
      <c r="A29" s="81" t="s">
        <v>556</v>
      </c>
      <c r="B29" s="81" t="s">
        <v>1438</v>
      </c>
      <c r="C29" s="81" t="s">
        <v>1439</v>
      </c>
      <c r="D29" s="81" t="s">
        <v>557</v>
      </c>
      <c r="E29" s="81" t="s">
        <v>393</v>
      </c>
      <c r="F29" s="81" t="s">
        <v>393</v>
      </c>
      <c r="G29" s="81"/>
      <c r="H29" s="94">
        <v>25</v>
      </c>
      <c r="I29" s="81" t="s">
        <v>13</v>
      </c>
      <c r="J29" s="81" t="s">
        <v>470</v>
      </c>
      <c r="K29" s="81">
        <v>25</v>
      </c>
      <c r="L29" s="81" t="s">
        <v>435</v>
      </c>
      <c r="M29" s="81" t="s">
        <v>472</v>
      </c>
      <c r="N29" s="81" t="s">
        <v>1430</v>
      </c>
      <c r="O29" s="81" t="s">
        <v>1440</v>
      </c>
      <c r="P29" s="81" t="s">
        <v>414</v>
      </c>
      <c r="Q29" s="81" t="s">
        <v>531</v>
      </c>
      <c r="R29" s="81">
        <v>0</v>
      </c>
      <c r="S29" s="81">
        <v>1</v>
      </c>
      <c r="T29" s="81">
        <v>0</v>
      </c>
      <c r="U29" s="81">
        <v>0</v>
      </c>
      <c r="V29" s="81">
        <v>0</v>
      </c>
      <c r="W29" s="81">
        <v>0</v>
      </c>
      <c r="X29" s="81">
        <v>0</v>
      </c>
      <c r="Y29" s="81">
        <v>1</v>
      </c>
      <c r="Z29" s="81">
        <v>0</v>
      </c>
      <c r="AA29" s="81">
        <v>0</v>
      </c>
      <c r="AB29" s="81">
        <v>0</v>
      </c>
      <c r="AC29" s="81">
        <v>0</v>
      </c>
      <c r="AD29" s="81">
        <v>0</v>
      </c>
      <c r="AE29" s="81">
        <v>0</v>
      </c>
      <c r="AF29" s="81">
        <v>0</v>
      </c>
      <c r="AG29" s="81">
        <v>0</v>
      </c>
      <c r="AH29" s="81">
        <v>0</v>
      </c>
      <c r="AI29" s="81">
        <v>0</v>
      </c>
      <c r="AJ29" s="81">
        <v>0</v>
      </c>
      <c r="AK29" s="81">
        <v>0</v>
      </c>
      <c r="AL29" s="81">
        <v>1</v>
      </c>
      <c r="AM29" s="81">
        <v>0</v>
      </c>
      <c r="AN29" s="81">
        <v>1</v>
      </c>
      <c r="AO29" s="81">
        <v>0</v>
      </c>
      <c r="AP29" s="81">
        <v>1</v>
      </c>
      <c r="AQ29" s="81">
        <v>0</v>
      </c>
      <c r="AR29" s="81">
        <v>1</v>
      </c>
      <c r="AS29" s="81">
        <v>0</v>
      </c>
      <c r="AT29" s="81">
        <v>1</v>
      </c>
      <c r="AU29" s="81">
        <v>0</v>
      </c>
      <c r="AV29" s="81">
        <v>1</v>
      </c>
      <c r="AW29" s="81">
        <v>1</v>
      </c>
      <c r="AX29" s="81">
        <v>0</v>
      </c>
      <c r="AY29" s="81">
        <v>0</v>
      </c>
      <c r="AZ29" s="81">
        <v>1</v>
      </c>
      <c r="BA29" s="81">
        <v>1</v>
      </c>
      <c r="BB29" s="81">
        <v>0</v>
      </c>
      <c r="BC29" s="81">
        <v>0</v>
      </c>
      <c r="BD29" s="81">
        <v>0</v>
      </c>
      <c r="BE29" s="81">
        <v>0</v>
      </c>
      <c r="BF29" s="81">
        <v>0</v>
      </c>
      <c r="BG29" s="81">
        <v>0</v>
      </c>
      <c r="BH29" s="81">
        <v>0</v>
      </c>
      <c r="BI29" s="81">
        <v>0</v>
      </c>
      <c r="BJ29" s="81">
        <v>0</v>
      </c>
      <c r="BK29" s="81">
        <v>1</v>
      </c>
      <c r="BL29" s="81">
        <v>0</v>
      </c>
      <c r="BM29" s="81">
        <v>0</v>
      </c>
      <c r="BN29" s="81">
        <v>1</v>
      </c>
      <c r="BO29" s="81">
        <v>3</v>
      </c>
      <c r="BP29" s="81">
        <v>3</v>
      </c>
      <c r="BQ29" s="81">
        <v>2</v>
      </c>
      <c r="BR29" s="81">
        <v>2</v>
      </c>
      <c r="BS29" s="81">
        <v>3</v>
      </c>
      <c r="BT29" s="81">
        <v>2</v>
      </c>
      <c r="BU29" s="81">
        <v>2</v>
      </c>
      <c r="BV29" s="81">
        <v>2</v>
      </c>
      <c r="BW29" s="81">
        <v>2</v>
      </c>
      <c r="BX29" s="81">
        <v>2</v>
      </c>
      <c r="BY29" s="81">
        <v>2</v>
      </c>
      <c r="BZ29" s="81">
        <v>1</v>
      </c>
      <c r="CA29" s="81">
        <v>3</v>
      </c>
      <c r="CB29" s="81">
        <v>3</v>
      </c>
      <c r="CC29" s="81">
        <v>3</v>
      </c>
      <c r="CD29" s="81">
        <v>2</v>
      </c>
      <c r="CE29" s="81">
        <v>2</v>
      </c>
      <c r="CF29" s="81">
        <v>2</v>
      </c>
      <c r="CG29" s="81">
        <v>3</v>
      </c>
      <c r="CH29" s="81">
        <v>0</v>
      </c>
      <c r="CI29" s="81">
        <v>1</v>
      </c>
      <c r="CJ29" s="81">
        <v>0</v>
      </c>
      <c r="CK29" s="81">
        <v>0</v>
      </c>
      <c r="CL29" s="81">
        <v>0</v>
      </c>
      <c r="CM29" s="81">
        <v>1</v>
      </c>
      <c r="CN29" s="81">
        <v>0</v>
      </c>
      <c r="CO29" s="81">
        <v>2</v>
      </c>
      <c r="CP29" s="81">
        <v>2</v>
      </c>
      <c r="CQ29" s="81">
        <v>2</v>
      </c>
      <c r="CR29" s="81">
        <v>3</v>
      </c>
      <c r="CS29" s="81">
        <v>3</v>
      </c>
      <c r="CT29" s="81">
        <v>2</v>
      </c>
      <c r="CU29" s="81">
        <v>0</v>
      </c>
      <c r="CV29" s="81">
        <v>1</v>
      </c>
      <c r="CW29" s="81">
        <v>0</v>
      </c>
      <c r="CX29" s="81">
        <v>1</v>
      </c>
      <c r="CY29" s="81">
        <v>1</v>
      </c>
      <c r="CZ29" s="81">
        <v>0</v>
      </c>
      <c r="DA29" s="81">
        <v>1</v>
      </c>
    </row>
    <row r="30" spans="1:105" ht="12" customHeight="1" x14ac:dyDescent="0.3">
      <c r="A30" s="81" t="s">
        <v>558</v>
      </c>
      <c r="B30" s="81" t="s">
        <v>1438</v>
      </c>
      <c r="C30" s="81" t="s">
        <v>1439</v>
      </c>
      <c r="D30" s="81" t="s">
        <v>559</v>
      </c>
      <c r="E30" s="81" t="s">
        <v>393</v>
      </c>
      <c r="F30" s="81" t="s">
        <v>393</v>
      </c>
      <c r="G30" s="81"/>
      <c r="H30" s="94">
        <v>25</v>
      </c>
      <c r="I30" s="81" t="s">
        <v>13</v>
      </c>
      <c r="J30" s="81" t="s">
        <v>470</v>
      </c>
      <c r="K30" s="81">
        <v>25</v>
      </c>
      <c r="L30" s="81" t="s">
        <v>435</v>
      </c>
      <c r="M30" s="81" t="s">
        <v>472</v>
      </c>
      <c r="N30" s="81" t="s">
        <v>1430</v>
      </c>
      <c r="O30" s="81" t="s">
        <v>1440</v>
      </c>
      <c r="P30" s="81" t="s">
        <v>414</v>
      </c>
      <c r="Q30" s="81" t="s">
        <v>531</v>
      </c>
      <c r="R30" s="81">
        <v>0</v>
      </c>
      <c r="S30" s="81">
        <v>1</v>
      </c>
      <c r="T30" s="81">
        <v>0</v>
      </c>
      <c r="U30" s="81">
        <v>0</v>
      </c>
      <c r="V30" s="81">
        <v>0</v>
      </c>
      <c r="W30" s="81">
        <v>0</v>
      </c>
      <c r="X30" s="81">
        <v>0</v>
      </c>
      <c r="Y30" s="81">
        <v>1</v>
      </c>
      <c r="Z30" s="81">
        <v>0</v>
      </c>
      <c r="AA30" s="81">
        <v>0</v>
      </c>
      <c r="AB30" s="81">
        <v>0</v>
      </c>
      <c r="AC30" s="81">
        <v>0</v>
      </c>
      <c r="AD30" s="81">
        <v>0</v>
      </c>
      <c r="AE30" s="81">
        <v>0</v>
      </c>
      <c r="AF30" s="81">
        <v>0</v>
      </c>
      <c r="AG30" s="81">
        <v>0</v>
      </c>
      <c r="AH30" s="81">
        <v>0</v>
      </c>
      <c r="AI30" s="81">
        <v>0</v>
      </c>
      <c r="AJ30" s="81">
        <v>0</v>
      </c>
      <c r="AK30" s="81">
        <v>0</v>
      </c>
      <c r="AL30" s="81">
        <v>1</v>
      </c>
      <c r="AM30" s="81">
        <v>0</v>
      </c>
      <c r="AN30" s="81">
        <v>1</v>
      </c>
      <c r="AO30" s="81">
        <v>0</v>
      </c>
      <c r="AP30" s="81">
        <v>1</v>
      </c>
      <c r="AQ30" s="81">
        <v>0</v>
      </c>
      <c r="AR30" s="81">
        <v>1</v>
      </c>
      <c r="AS30" s="81">
        <v>0</v>
      </c>
      <c r="AT30" s="81">
        <v>1</v>
      </c>
      <c r="AU30" s="81">
        <v>0</v>
      </c>
      <c r="AV30" s="81">
        <v>1</v>
      </c>
      <c r="AW30" s="81">
        <v>1</v>
      </c>
      <c r="AX30" s="81">
        <v>0</v>
      </c>
      <c r="AY30" s="81">
        <v>0</v>
      </c>
      <c r="AZ30" s="81">
        <v>1</v>
      </c>
      <c r="BA30" s="81">
        <v>1</v>
      </c>
      <c r="BB30" s="81">
        <v>0</v>
      </c>
      <c r="BC30" s="81">
        <v>0</v>
      </c>
      <c r="BD30" s="81">
        <v>0</v>
      </c>
      <c r="BE30" s="81">
        <v>0</v>
      </c>
      <c r="BF30" s="81">
        <v>0</v>
      </c>
      <c r="BG30" s="81">
        <v>0</v>
      </c>
      <c r="BH30" s="81">
        <v>0</v>
      </c>
      <c r="BI30" s="81">
        <v>0</v>
      </c>
      <c r="BJ30" s="81">
        <v>0</v>
      </c>
      <c r="BK30" s="81">
        <v>1</v>
      </c>
      <c r="BL30" s="81">
        <v>0</v>
      </c>
      <c r="BM30" s="81">
        <v>0</v>
      </c>
      <c r="BN30" s="81">
        <v>1</v>
      </c>
      <c r="BO30" s="81">
        <v>3</v>
      </c>
      <c r="BP30" s="81">
        <v>3</v>
      </c>
      <c r="BQ30" s="81">
        <v>2</v>
      </c>
      <c r="BR30" s="81">
        <v>2</v>
      </c>
      <c r="BS30" s="81">
        <v>3</v>
      </c>
      <c r="BT30" s="81">
        <v>2</v>
      </c>
      <c r="BU30" s="81">
        <v>2</v>
      </c>
      <c r="BV30" s="81">
        <v>2</v>
      </c>
      <c r="BW30" s="81">
        <v>2</v>
      </c>
      <c r="BX30" s="81">
        <v>2</v>
      </c>
      <c r="BY30" s="81">
        <v>2</v>
      </c>
      <c r="BZ30" s="81">
        <v>1</v>
      </c>
      <c r="CA30" s="81">
        <v>3</v>
      </c>
      <c r="CB30" s="81">
        <v>3</v>
      </c>
      <c r="CC30" s="81">
        <v>3</v>
      </c>
      <c r="CD30" s="81">
        <v>2</v>
      </c>
      <c r="CE30" s="81">
        <v>2</v>
      </c>
      <c r="CF30" s="81">
        <v>2</v>
      </c>
      <c r="CG30" s="81">
        <v>3</v>
      </c>
      <c r="CH30" s="81">
        <v>0</v>
      </c>
      <c r="CI30" s="81">
        <v>1</v>
      </c>
      <c r="CJ30" s="81">
        <v>0</v>
      </c>
      <c r="CK30" s="81">
        <v>0</v>
      </c>
      <c r="CL30" s="81">
        <v>0</v>
      </c>
      <c r="CM30" s="81">
        <v>1</v>
      </c>
      <c r="CN30" s="81">
        <v>0</v>
      </c>
      <c r="CO30" s="81">
        <v>2</v>
      </c>
      <c r="CP30" s="81">
        <v>2</v>
      </c>
      <c r="CQ30" s="81">
        <v>2</v>
      </c>
      <c r="CR30" s="81">
        <v>3</v>
      </c>
      <c r="CS30" s="81">
        <v>3</v>
      </c>
      <c r="CT30" s="81">
        <v>2</v>
      </c>
      <c r="CU30" s="81">
        <v>0</v>
      </c>
      <c r="CV30" s="81">
        <v>1</v>
      </c>
      <c r="CW30" s="81">
        <v>0</v>
      </c>
      <c r="CX30" s="81">
        <v>1</v>
      </c>
      <c r="CY30" s="81">
        <v>1</v>
      </c>
      <c r="CZ30" s="81">
        <v>0</v>
      </c>
      <c r="DA30" s="81">
        <v>1</v>
      </c>
    </row>
    <row r="31" spans="1:105" ht="12" customHeight="1" x14ac:dyDescent="0.3">
      <c r="A31" s="81" t="s">
        <v>560</v>
      </c>
      <c r="B31" s="81" t="s">
        <v>1438</v>
      </c>
      <c r="C31" s="81" t="s">
        <v>1439</v>
      </c>
      <c r="D31" s="81" t="s">
        <v>561</v>
      </c>
      <c r="E31" s="81" t="s">
        <v>393</v>
      </c>
      <c r="F31" s="81" t="s">
        <v>393</v>
      </c>
      <c r="G31" s="81"/>
      <c r="H31" s="94">
        <v>25</v>
      </c>
      <c r="I31" s="81" t="s">
        <v>13</v>
      </c>
      <c r="J31" s="81" t="s">
        <v>470</v>
      </c>
      <c r="K31" s="81">
        <v>25</v>
      </c>
      <c r="L31" s="81" t="s">
        <v>435</v>
      </c>
      <c r="M31" s="81" t="s">
        <v>472</v>
      </c>
      <c r="N31" s="81" t="s">
        <v>1430</v>
      </c>
      <c r="O31" s="81" t="s">
        <v>1440</v>
      </c>
      <c r="P31" s="81" t="s">
        <v>414</v>
      </c>
      <c r="Q31" s="81" t="s">
        <v>531</v>
      </c>
      <c r="R31" s="81">
        <v>0</v>
      </c>
      <c r="S31" s="81">
        <v>1</v>
      </c>
      <c r="T31" s="81">
        <v>0</v>
      </c>
      <c r="U31" s="81">
        <v>0</v>
      </c>
      <c r="V31" s="81">
        <v>0</v>
      </c>
      <c r="W31" s="81">
        <v>0</v>
      </c>
      <c r="X31" s="81">
        <v>0</v>
      </c>
      <c r="Y31" s="81">
        <v>1</v>
      </c>
      <c r="Z31" s="81">
        <v>0</v>
      </c>
      <c r="AA31" s="81">
        <v>0</v>
      </c>
      <c r="AB31" s="81">
        <v>0</v>
      </c>
      <c r="AC31" s="81">
        <v>0</v>
      </c>
      <c r="AD31" s="81">
        <v>0</v>
      </c>
      <c r="AE31" s="81">
        <v>0</v>
      </c>
      <c r="AF31" s="81">
        <v>0</v>
      </c>
      <c r="AG31" s="81">
        <v>0</v>
      </c>
      <c r="AH31" s="81">
        <v>0</v>
      </c>
      <c r="AI31" s="81">
        <v>0</v>
      </c>
      <c r="AJ31" s="81">
        <v>0</v>
      </c>
      <c r="AK31" s="81">
        <v>0</v>
      </c>
      <c r="AL31" s="81">
        <v>1</v>
      </c>
      <c r="AM31" s="81">
        <v>0</v>
      </c>
      <c r="AN31" s="81">
        <v>1</v>
      </c>
      <c r="AO31" s="81">
        <v>0</v>
      </c>
      <c r="AP31" s="81">
        <v>1</v>
      </c>
      <c r="AQ31" s="81">
        <v>0</v>
      </c>
      <c r="AR31" s="81">
        <v>1</v>
      </c>
      <c r="AS31" s="81">
        <v>0</v>
      </c>
      <c r="AT31" s="81">
        <v>1</v>
      </c>
      <c r="AU31" s="81">
        <v>0</v>
      </c>
      <c r="AV31" s="81">
        <v>1</v>
      </c>
      <c r="AW31" s="81">
        <v>1</v>
      </c>
      <c r="AX31" s="81">
        <v>0</v>
      </c>
      <c r="AY31" s="81">
        <v>0</v>
      </c>
      <c r="AZ31" s="81">
        <v>1</v>
      </c>
      <c r="BA31" s="81">
        <v>1</v>
      </c>
      <c r="BB31" s="81">
        <v>0</v>
      </c>
      <c r="BC31" s="81">
        <v>0</v>
      </c>
      <c r="BD31" s="81">
        <v>0</v>
      </c>
      <c r="BE31" s="81">
        <v>0</v>
      </c>
      <c r="BF31" s="81">
        <v>0</v>
      </c>
      <c r="BG31" s="81">
        <v>0</v>
      </c>
      <c r="BH31" s="81">
        <v>0</v>
      </c>
      <c r="BI31" s="81">
        <v>0</v>
      </c>
      <c r="BJ31" s="81">
        <v>0</v>
      </c>
      <c r="BK31" s="81">
        <v>1</v>
      </c>
      <c r="BL31" s="81">
        <v>0</v>
      </c>
      <c r="BM31" s="81">
        <v>0</v>
      </c>
      <c r="BN31" s="81">
        <v>1</v>
      </c>
      <c r="BO31" s="81">
        <v>3</v>
      </c>
      <c r="BP31" s="81">
        <v>3</v>
      </c>
      <c r="BQ31" s="81">
        <v>2</v>
      </c>
      <c r="BR31" s="81">
        <v>2</v>
      </c>
      <c r="BS31" s="81">
        <v>3</v>
      </c>
      <c r="BT31" s="81">
        <v>2</v>
      </c>
      <c r="BU31" s="81">
        <v>2</v>
      </c>
      <c r="BV31" s="81">
        <v>2</v>
      </c>
      <c r="BW31" s="81">
        <v>2</v>
      </c>
      <c r="BX31" s="81">
        <v>2</v>
      </c>
      <c r="BY31" s="81">
        <v>2</v>
      </c>
      <c r="BZ31" s="81">
        <v>1</v>
      </c>
      <c r="CA31" s="81">
        <v>3</v>
      </c>
      <c r="CB31" s="81">
        <v>3</v>
      </c>
      <c r="CC31" s="81">
        <v>3</v>
      </c>
      <c r="CD31" s="81">
        <v>2</v>
      </c>
      <c r="CE31" s="81">
        <v>2</v>
      </c>
      <c r="CF31" s="81">
        <v>2</v>
      </c>
      <c r="CG31" s="81">
        <v>3</v>
      </c>
      <c r="CH31" s="81">
        <v>0</v>
      </c>
      <c r="CI31" s="81">
        <v>1</v>
      </c>
      <c r="CJ31" s="81">
        <v>0</v>
      </c>
      <c r="CK31" s="81">
        <v>0</v>
      </c>
      <c r="CL31" s="81">
        <v>0</v>
      </c>
      <c r="CM31" s="81">
        <v>1</v>
      </c>
      <c r="CN31" s="81">
        <v>0</v>
      </c>
      <c r="CO31" s="81">
        <v>2</v>
      </c>
      <c r="CP31" s="81">
        <v>2</v>
      </c>
      <c r="CQ31" s="81">
        <v>2</v>
      </c>
      <c r="CR31" s="81">
        <v>3</v>
      </c>
      <c r="CS31" s="81">
        <v>3</v>
      </c>
      <c r="CT31" s="81">
        <v>2</v>
      </c>
      <c r="CU31" s="81">
        <v>0</v>
      </c>
      <c r="CV31" s="81">
        <v>1</v>
      </c>
      <c r="CW31" s="81">
        <v>0</v>
      </c>
      <c r="CX31" s="81">
        <v>1</v>
      </c>
      <c r="CY31" s="81">
        <v>1</v>
      </c>
      <c r="CZ31" s="81">
        <v>0</v>
      </c>
      <c r="DA31" s="81">
        <v>1</v>
      </c>
    </row>
    <row r="32" spans="1:105" ht="12" customHeight="1" x14ac:dyDescent="0.3">
      <c r="A32" s="81" t="s">
        <v>562</v>
      </c>
      <c r="B32" s="81" t="s">
        <v>1438</v>
      </c>
      <c r="C32" s="81" t="s">
        <v>1439</v>
      </c>
      <c r="D32" s="81" t="s">
        <v>563</v>
      </c>
      <c r="E32" s="81" t="s">
        <v>393</v>
      </c>
      <c r="F32" s="81" t="s">
        <v>393</v>
      </c>
      <c r="G32" s="81"/>
      <c r="H32" s="94">
        <v>25</v>
      </c>
      <c r="I32" s="81" t="s">
        <v>13</v>
      </c>
      <c r="J32" s="81" t="s">
        <v>470</v>
      </c>
      <c r="K32" s="81">
        <v>25</v>
      </c>
      <c r="L32" s="81" t="s">
        <v>435</v>
      </c>
      <c r="M32" s="81" t="s">
        <v>472</v>
      </c>
      <c r="N32" s="81" t="s">
        <v>1430</v>
      </c>
      <c r="O32" s="81" t="s">
        <v>1440</v>
      </c>
      <c r="P32" s="81" t="s">
        <v>414</v>
      </c>
      <c r="Q32" s="81" t="s">
        <v>531</v>
      </c>
      <c r="R32" s="81">
        <v>0</v>
      </c>
      <c r="S32" s="81">
        <v>1</v>
      </c>
      <c r="T32" s="81">
        <v>0</v>
      </c>
      <c r="U32" s="81">
        <v>0</v>
      </c>
      <c r="V32" s="81">
        <v>0</v>
      </c>
      <c r="W32" s="81">
        <v>0</v>
      </c>
      <c r="X32" s="81">
        <v>0</v>
      </c>
      <c r="Y32" s="81">
        <v>1</v>
      </c>
      <c r="Z32" s="81">
        <v>0</v>
      </c>
      <c r="AA32" s="81">
        <v>0</v>
      </c>
      <c r="AB32" s="81">
        <v>0</v>
      </c>
      <c r="AC32" s="81">
        <v>0</v>
      </c>
      <c r="AD32" s="81">
        <v>0</v>
      </c>
      <c r="AE32" s="81">
        <v>0</v>
      </c>
      <c r="AF32" s="81">
        <v>0</v>
      </c>
      <c r="AG32" s="81">
        <v>0</v>
      </c>
      <c r="AH32" s="81">
        <v>0</v>
      </c>
      <c r="AI32" s="81">
        <v>0</v>
      </c>
      <c r="AJ32" s="81">
        <v>0</v>
      </c>
      <c r="AK32" s="81">
        <v>0</v>
      </c>
      <c r="AL32" s="81">
        <v>1</v>
      </c>
      <c r="AM32" s="81">
        <v>0</v>
      </c>
      <c r="AN32" s="81">
        <v>1</v>
      </c>
      <c r="AO32" s="81">
        <v>0</v>
      </c>
      <c r="AP32" s="81">
        <v>1</v>
      </c>
      <c r="AQ32" s="81">
        <v>0</v>
      </c>
      <c r="AR32" s="81">
        <v>1</v>
      </c>
      <c r="AS32" s="81">
        <v>0</v>
      </c>
      <c r="AT32" s="81">
        <v>1</v>
      </c>
      <c r="AU32" s="81">
        <v>0</v>
      </c>
      <c r="AV32" s="81">
        <v>1</v>
      </c>
      <c r="AW32" s="81">
        <v>1</v>
      </c>
      <c r="AX32" s="81">
        <v>0</v>
      </c>
      <c r="AY32" s="81">
        <v>0</v>
      </c>
      <c r="AZ32" s="81">
        <v>1</v>
      </c>
      <c r="BA32" s="81">
        <v>1</v>
      </c>
      <c r="BB32" s="81">
        <v>0</v>
      </c>
      <c r="BC32" s="81">
        <v>0</v>
      </c>
      <c r="BD32" s="81">
        <v>0</v>
      </c>
      <c r="BE32" s="81">
        <v>0</v>
      </c>
      <c r="BF32" s="81">
        <v>0</v>
      </c>
      <c r="BG32" s="81">
        <v>0</v>
      </c>
      <c r="BH32" s="81">
        <v>0</v>
      </c>
      <c r="BI32" s="81">
        <v>0</v>
      </c>
      <c r="BJ32" s="81">
        <v>0</v>
      </c>
      <c r="BK32" s="81">
        <v>1</v>
      </c>
      <c r="BL32" s="81">
        <v>0</v>
      </c>
      <c r="BM32" s="81">
        <v>0</v>
      </c>
      <c r="BN32" s="81">
        <v>1</v>
      </c>
      <c r="BO32" s="81">
        <v>3</v>
      </c>
      <c r="BP32" s="81">
        <v>3</v>
      </c>
      <c r="BQ32" s="81">
        <v>2</v>
      </c>
      <c r="BR32" s="81">
        <v>2</v>
      </c>
      <c r="BS32" s="81">
        <v>3</v>
      </c>
      <c r="BT32" s="81">
        <v>2</v>
      </c>
      <c r="BU32" s="81">
        <v>2</v>
      </c>
      <c r="BV32" s="81">
        <v>2</v>
      </c>
      <c r="BW32" s="81">
        <v>2</v>
      </c>
      <c r="BX32" s="81">
        <v>2</v>
      </c>
      <c r="BY32" s="81">
        <v>2</v>
      </c>
      <c r="BZ32" s="81">
        <v>1</v>
      </c>
      <c r="CA32" s="81">
        <v>3</v>
      </c>
      <c r="CB32" s="81">
        <v>3</v>
      </c>
      <c r="CC32" s="81">
        <v>3</v>
      </c>
      <c r="CD32" s="81">
        <v>2</v>
      </c>
      <c r="CE32" s="81">
        <v>2</v>
      </c>
      <c r="CF32" s="81">
        <v>2</v>
      </c>
      <c r="CG32" s="81">
        <v>3</v>
      </c>
      <c r="CH32" s="81">
        <v>0</v>
      </c>
      <c r="CI32" s="81">
        <v>1</v>
      </c>
      <c r="CJ32" s="81">
        <v>0</v>
      </c>
      <c r="CK32" s="81">
        <v>0</v>
      </c>
      <c r="CL32" s="81">
        <v>0</v>
      </c>
      <c r="CM32" s="81">
        <v>1</v>
      </c>
      <c r="CN32" s="81">
        <v>0</v>
      </c>
      <c r="CO32" s="81">
        <v>2</v>
      </c>
      <c r="CP32" s="81">
        <v>2</v>
      </c>
      <c r="CQ32" s="81">
        <v>2</v>
      </c>
      <c r="CR32" s="81">
        <v>3</v>
      </c>
      <c r="CS32" s="81">
        <v>3</v>
      </c>
      <c r="CT32" s="81">
        <v>2</v>
      </c>
      <c r="CU32" s="81">
        <v>0</v>
      </c>
      <c r="CV32" s="81">
        <v>1</v>
      </c>
      <c r="CW32" s="81">
        <v>0</v>
      </c>
      <c r="CX32" s="81">
        <v>1</v>
      </c>
      <c r="CY32" s="81">
        <v>1</v>
      </c>
      <c r="CZ32" s="81">
        <v>0</v>
      </c>
      <c r="DA32" s="81">
        <v>1</v>
      </c>
    </row>
    <row r="33" spans="1:105" ht="12" customHeight="1" x14ac:dyDescent="0.3">
      <c r="A33" s="81" t="s">
        <v>564</v>
      </c>
      <c r="B33" s="81" t="s">
        <v>1438</v>
      </c>
      <c r="C33" s="81" t="s">
        <v>1439</v>
      </c>
      <c r="D33" s="81" t="s">
        <v>565</v>
      </c>
      <c r="E33" s="81" t="s">
        <v>393</v>
      </c>
      <c r="F33" s="81" t="s">
        <v>393</v>
      </c>
      <c r="G33" s="81"/>
      <c r="H33" s="94">
        <v>25</v>
      </c>
      <c r="I33" s="81" t="s">
        <v>13</v>
      </c>
      <c r="J33" s="81" t="s">
        <v>470</v>
      </c>
      <c r="K33" s="81">
        <v>25</v>
      </c>
      <c r="L33" s="81" t="s">
        <v>435</v>
      </c>
      <c r="M33" s="81" t="s">
        <v>472</v>
      </c>
      <c r="N33" s="81" t="s">
        <v>1430</v>
      </c>
      <c r="O33" s="81" t="s">
        <v>1440</v>
      </c>
      <c r="P33" s="81" t="s">
        <v>414</v>
      </c>
      <c r="Q33" s="81" t="s">
        <v>531</v>
      </c>
      <c r="R33" s="81">
        <v>0</v>
      </c>
      <c r="S33" s="81">
        <v>1</v>
      </c>
      <c r="T33" s="81">
        <v>0</v>
      </c>
      <c r="U33" s="81">
        <v>0</v>
      </c>
      <c r="V33" s="81">
        <v>0</v>
      </c>
      <c r="W33" s="81">
        <v>0</v>
      </c>
      <c r="X33" s="81">
        <v>0</v>
      </c>
      <c r="Y33" s="81">
        <v>1</v>
      </c>
      <c r="Z33" s="81">
        <v>0</v>
      </c>
      <c r="AA33" s="81">
        <v>0</v>
      </c>
      <c r="AB33" s="81">
        <v>0</v>
      </c>
      <c r="AC33" s="81">
        <v>0</v>
      </c>
      <c r="AD33" s="81">
        <v>0</v>
      </c>
      <c r="AE33" s="81">
        <v>0</v>
      </c>
      <c r="AF33" s="81">
        <v>0</v>
      </c>
      <c r="AG33" s="81">
        <v>0</v>
      </c>
      <c r="AH33" s="81">
        <v>0</v>
      </c>
      <c r="AI33" s="81">
        <v>0</v>
      </c>
      <c r="AJ33" s="81">
        <v>0</v>
      </c>
      <c r="AK33" s="81">
        <v>0</v>
      </c>
      <c r="AL33" s="81">
        <v>1</v>
      </c>
      <c r="AM33" s="81">
        <v>0</v>
      </c>
      <c r="AN33" s="81">
        <v>1</v>
      </c>
      <c r="AO33" s="81">
        <v>0</v>
      </c>
      <c r="AP33" s="81">
        <v>1</v>
      </c>
      <c r="AQ33" s="81">
        <v>0</v>
      </c>
      <c r="AR33" s="81">
        <v>1</v>
      </c>
      <c r="AS33" s="81">
        <v>0</v>
      </c>
      <c r="AT33" s="81">
        <v>1</v>
      </c>
      <c r="AU33" s="81">
        <v>0</v>
      </c>
      <c r="AV33" s="81">
        <v>1</v>
      </c>
      <c r="AW33" s="81">
        <v>1</v>
      </c>
      <c r="AX33" s="81">
        <v>0</v>
      </c>
      <c r="AY33" s="81">
        <v>0</v>
      </c>
      <c r="AZ33" s="81">
        <v>1</v>
      </c>
      <c r="BA33" s="81">
        <v>1</v>
      </c>
      <c r="BB33" s="81">
        <v>0</v>
      </c>
      <c r="BC33" s="81">
        <v>0</v>
      </c>
      <c r="BD33" s="81">
        <v>0</v>
      </c>
      <c r="BE33" s="81">
        <v>0</v>
      </c>
      <c r="BF33" s="81">
        <v>0</v>
      </c>
      <c r="BG33" s="81">
        <v>0</v>
      </c>
      <c r="BH33" s="81">
        <v>0</v>
      </c>
      <c r="BI33" s="81">
        <v>0</v>
      </c>
      <c r="BJ33" s="81">
        <v>0</v>
      </c>
      <c r="BK33" s="81">
        <v>1</v>
      </c>
      <c r="BL33" s="81">
        <v>0</v>
      </c>
      <c r="BM33" s="81">
        <v>0</v>
      </c>
      <c r="BN33" s="81">
        <v>1</v>
      </c>
      <c r="BO33" s="81">
        <v>3</v>
      </c>
      <c r="BP33" s="81">
        <v>3</v>
      </c>
      <c r="BQ33" s="81">
        <v>2</v>
      </c>
      <c r="BR33" s="81">
        <v>2</v>
      </c>
      <c r="BS33" s="81">
        <v>3</v>
      </c>
      <c r="BT33" s="81">
        <v>2</v>
      </c>
      <c r="BU33" s="81">
        <v>2</v>
      </c>
      <c r="BV33" s="81">
        <v>2</v>
      </c>
      <c r="BW33" s="81">
        <v>2</v>
      </c>
      <c r="BX33" s="81">
        <v>2</v>
      </c>
      <c r="BY33" s="81">
        <v>2</v>
      </c>
      <c r="BZ33" s="81">
        <v>1</v>
      </c>
      <c r="CA33" s="81">
        <v>3</v>
      </c>
      <c r="CB33" s="81">
        <v>3</v>
      </c>
      <c r="CC33" s="81">
        <v>3</v>
      </c>
      <c r="CD33" s="81">
        <v>2</v>
      </c>
      <c r="CE33" s="81">
        <v>2</v>
      </c>
      <c r="CF33" s="81">
        <v>2</v>
      </c>
      <c r="CG33" s="81">
        <v>3</v>
      </c>
      <c r="CH33" s="81">
        <v>0</v>
      </c>
      <c r="CI33" s="81">
        <v>1</v>
      </c>
      <c r="CJ33" s="81">
        <v>0</v>
      </c>
      <c r="CK33" s="81">
        <v>0</v>
      </c>
      <c r="CL33" s="81">
        <v>0</v>
      </c>
      <c r="CM33" s="81">
        <v>1</v>
      </c>
      <c r="CN33" s="81">
        <v>0</v>
      </c>
      <c r="CO33" s="81">
        <v>2</v>
      </c>
      <c r="CP33" s="81">
        <v>2</v>
      </c>
      <c r="CQ33" s="81">
        <v>2</v>
      </c>
      <c r="CR33" s="81">
        <v>3</v>
      </c>
      <c r="CS33" s="81">
        <v>3</v>
      </c>
      <c r="CT33" s="81">
        <v>2</v>
      </c>
      <c r="CU33" s="81">
        <v>0</v>
      </c>
      <c r="CV33" s="81">
        <v>1</v>
      </c>
      <c r="CW33" s="81">
        <v>0</v>
      </c>
      <c r="CX33" s="81">
        <v>1</v>
      </c>
      <c r="CY33" s="81">
        <v>1</v>
      </c>
      <c r="CZ33" s="81">
        <v>0</v>
      </c>
      <c r="DA33" s="81">
        <v>1</v>
      </c>
    </row>
    <row r="34" spans="1:105" ht="12" customHeight="1" x14ac:dyDescent="0.3">
      <c r="A34" s="81" t="s">
        <v>566</v>
      </c>
      <c r="B34" s="81" t="s">
        <v>1438</v>
      </c>
      <c r="C34" s="81" t="s">
        <v>1439</v>
      </c>
      <c r="D34" s="81" t="s">
        <v>567</v>
      </c>
      <c r="E34" s="81" t="s">
        <v>393</v>
      </c>
      <c r="F34" s="81" t="s">
        <v>393</v>
      </c>
      <c r="G34" s="81"/>
      <c r="H34" s="94">
        <v>25</v>
      </c>
      <c r="I34" s="81" t="s">
        <v>13</v>
      </c>
      <c r="J34" s="81" t="s">
        <v>470</v>
      </c>
      <c r="K34" s="81">
        <v>25</v>
      </c>
      <c r="L34" s="81" t="s">
        <v>435</v>
      </c>
      <c r="M34" s="81" t="s">
        <v>472</v>
      </c>
      <c r="N34" s="81" t="s">
        <v>1430</v>
      </c>
      <c r="O34" s="81" t="s">
        <v>1440</v>
      </c>
      <c r="P34" s="81" t="s">
        <v>414</v>
      </c>
      <c r="Q34" s="81" t="s">
        <v>531</v>
      </c>
      <c r="R34" s="81">
        <v>0</v>
      </c>
      <c r="S34" s="81">
        <v>1</v>
      </c>
      <c r="T34" s="81">
        <v>0</v>
      </c>
      <c r="U34" s="81">
        <v>0</v>
      </c>
      <c r="V34" s="81">
        <v>0</v>
      </c>
      <c r="W34" s="81">
        <v>0</v>
      </c>
      <c r="X34" s="81">
        <v>0</v>
      </c>
      <c r="Y34" s="81">
        <v>1</v>
      </c>
      <c r="Z34" s="81">
        <v>0</v>
      </c>
      <c r="AA34" s="81">
        <v>0</v>
      </c>
      <c r="AB34" s="81">
        <v>0</v>
      </c>
      <c r="AC34" s="81">
        <v>0</v>
      </c>
      <c r="AD34" s="81">
        <v>0</v>
      </c>
      <c r="AE34" s="81">
        <v>0</v>
      </c>
      <c r="AF34" s="81">
        <v>0</v>
      </c>
      <c r="AG34" s="81">
        <v>0</v>
      </c>
      <c r="AH34" s="81">
        <v>0</v>
      </c>
      <c r="AI34" s="81">
        <v>0</v>
      </c>
      <c r="AJ34" s="81">
        <v>0</v>
      </c>
      <c r="AK34" s="81">
        <v>0</v>
      </c>
      <c r="AL34" s="81">
        <v>1</v>
      </c>
      <c r="AM34" s="81">
        <v>0</v>
      </c>
      <c r="AN34" s="81">
        <v>1</v>
      </c>
      <c r="AO34" s="81">
        <v>0</v>
      </c>
      <c r="AP34" s="81">
        <v>1</v>
      </c>
      <c r="AQ34" s="81">
        <v>0</v>
      </c>
      <c r="AR34" s="81">
        <v>1</v>
      </c>
      <c r="AS34" s="81">
        <v>0</v>
      </c>
      <c r="AT34" s="81">
        <v>1</v>
      </c>
      <c r="AU34" s="81">
        <v>0</v>
      </c>
      <c r="AV34" s="81">
        <v>1</v>
      </c>
      <c r="AW34" s="81">
        <v>1</v>
      </c>
      <c r="AX34" s="81">
        <v>0</v>
      </c>
      <c r="AY34" s="81">
        <v>0</v>
      </c>
      <c r="AZ34" s="81">
        <v>1</v>
      </c>
      <c r="BA34" s="81">
        <v>1</v>
      </c>
      <c r="BB34" s="81">
        <v>0</v>
      </c>
      <c r="BC34" s="81">
        <v>0</v>
      </c>
      <c r="BD34" s="81">
        <v>0</v>
      </c>
      <c r="BE34" s="81">
        <v>0</v>
      </c>
      <c r="BF34" s="81">
        <v>0</v>
      </c>
      <c r="BG34" s="81">
        <v>0</v>
      </c>
      <c r="BH34" s="81">
        <v>0</v>
      </c>
      <c r="BI34" s="81">
        <v>0</v>
      </c>
      <c r="BJ34" s="81">
        <v>0</v>
      </c>
      <c r="BK34" s="81">
        <v>1</v>
      </c>
      <c r="BL34" s="81">
        <v>0</v>
      </c>
      <c r="BM34" s="81">
        <v>0</v>
      </c>
      <c r="BN34" s="81">
        <v>1</v>
      </c>
      <c r="BO34" s="81">
        <v>3</v>
      </c>
      <c r="BP34" s="81">
        <v>3</v>
      </c>
      <c r="BQ34" s="81">
        <v>2</v>
      </c>
      <c r="BR34" s="81">
        <v>2</v>
      </c>
      <c r="BS34" s="81">
        <v>3</v>
      </c>
      <c r="BT34" s="81">
        <v>2</v>
      </c>
      <c r="BU34" s="81">
        <v>2</v>
      </c>
      <c r="BV34" s="81">
        <v>2</v>
      </c>
      <c r="BW34" s="81">
        <v>2</v>
      </c>
      <c r="BX34" s="81">
        <v>2</v>
      </c>
      <c r="BY34" s="81">
        <v>2</v>
      </c>
      <c r="BZ34" s="81">
        <v>1</v>
      </c>
      <c r="CA34" s="81">
        <v>3</v>
      </c>
      <c r="CB34" s="81">
        <v>3</v>
      </c>
      <c r="CC34" s="81">
        <v>3</v>
      </c>
      <c r="CD34" s="81">
        <v>2</v>
      </c>
      <c r="CE34" s="81">
        <v>2</v>
      </c>
      <c r="CF34" s="81">
        <v>2</v>
      </c>
      <c r="CG34" s="81">
        <v>3</v>
      </c>
      <c r="CH34" s="81">
        <v>0</v>
      </c>
      <c r="CI34" s="81">
        <v>1</v>
      </c>
      <c r="CJ34" s="81">
        <v>0</v>
      </c>
      <c r="CK34" s="81">
        <v>0</v>
      </c>
      <c r="CL34" s="81">
        <v>0</v>
      </c>
      <c r="CM34" s="81">
        <v>1</v>
      </c>
      <c r="CN34" s="81">
        <v>0</v>
      </c>
      <c r="CO34" s="81">
        <v>2</v>
      </c>
      <c r="CP34" s="81">
        <v>2</v>
      </c>
      <c r="CQ34" s="81">
        <v>2</v>
      </c>
      <c r="CR34" s="81">
        <v>3</v>
      </c>
      <c r="CS34" s="81">
        <v>3</v>
      </c>
      <c r="CT34" s="81">
        <v>2</v>
      </c>
      <c r="CU34" s="81">
        <v>0</v>
      </c>
      <c r="CV34" s="81">
        <v>1</v>
      </c>
      <c r="CW34" s="81">
        <v>0</v>
      </c>
      <c r="CX34" s="81">
        <v>1</v>
      </c>
      <c r="CY34" s="81">
        <v>1</v>
      </c>
      <c r="CZ34" s="81">
        <v>0</v>
      </c>
      <c r="DA34" s="81">
        <v>1</v>
      </c>
    </row>
    <row r="35" spans="1:105" ht="12" customHeight="1" x14ac:dyDescent="0.3">
      <c r="A35" s="81" t="s">
        <v>568</v>
      </c>
      <c r="B35" s="81" t="s">
        <v>1438</v>
      </c>
      <c r="C35" s="81" t="s">
        <v>1439</v>
      </c>
      <c r="D35" s="81" t="s">
        <v>569</v>
      </c>
      <c r="E35" s="81" t="s">
        <v>393</v>
      </c>
      <c r="F35" s="81" t="s">
        <v>393</v>
      </c>
      <c r="G35" s="81"/>
      <c r="H35" s="94">
        <v>25</v>
      </c>
      <c r="I35" s="81" t="s">
        <v>13</v>
      </c>
      <c r="J35" s="81" t="s">
        <v>470</v>
      </c>
      <c r="K35" s="81">
        <v>25</v>
      </c>
      <c r="L35" s="81" t="s">
        <v>435</v>
      </c>
      <c r="M35" s="81" t="s">
        <v>472</v>
      </c>
      <c r="N35" s="81" t="s">
        <v>1430</v>
      </c>
      <c r="O35" s="81" t="s">
        <v>1440</v>
      </c>
      <c r="P35" s="81" t="s">
        <v>414</v>
      </c>
      <c r="Q35" s="81" t="s">
        <v>531</v>
      </c>
      <c r="R35" s="81">
        <v>0</v>
      </c>
      <c r="S35" s="81">
        <v>1</v>
      </c>
      <c r="T35" s="81">
        <v>0</v>
      </c>
      <c r="U35" s="81">
        <v>0</v>
      </c>
      <c r="V35" s="81">
        <v>0</v>
      </c>
      <c r="W35" s="81">
        <v>0</v>
      </c>
      <c r="X35" s="81">
        <v>0</v>
      </c>
      <c r="Y35" s="81">
        <v>1</v>
      </c>
      <c r="Z35" s="81">
        <v>0</v>
      </c>
      <c r="AA35" s="81">
        <v>0</v>
      </c>
      <c r="AB35" s="81">
        <v>0</v>
      </c>
      <c r="AC35" s="81">
        <v>0</v>
      </c>
      <c r="AD35" s="81">
        <v>0</v>
      </c>
      <c r="AE35" s="81">
        <v>0</v>
      </c>
      <c r="AF35" s="81">
        <v>0</v>
      </c>
      <c r="AG35" s="81">
        <v>0</v>
      </c>
      <c r="AH35" s="81">
        <v>0</v>
      </c>
      <c r="AI35" s="81">
        <v>0</v>
      </c>
      <c r="AJ35" s="81">
        <v>0</v>
      </c>
      <c r="AK35" s="81">
        <v>0</v>
      </c>
      <c r="AL35" s="81">
        <v>1</v>
      </c>
      <c r="AM35" s="81">
        <v>0</v>
      </c>
      <c r="AN35" s="81">
        <v>1</v>
      </c>
      <c r="AO35" s="81">
        <v>0</v>
      </c>
      <c r="AP35" s="81">
        <v>1</v>
      </c>
      <c r="AQ35" s="81">
        <v>0</v>
      </c>
      <c r="AR35" s="81">
        <v>1</v>
      </c>
      <c r="AS35" s="81">
        <v>0</v>
      </c>
      <c r="AT35" s="81">
        <v>1</v>
      </c>
      <c r="AU35" s="81">
        <v>0</v>
      </c>
      <c r="AV35" s="81">
        <v>1</v>
      </c>
      <c r="AW35" s="81">
        <v>1</v>
      </c>
      <c r="AX35" s="81">
        <v>0</v>
      </c>
      <c r="AY35" s="81">
        <v>0</v>
      </c>
      <c r="AZ35" s="81">
        <v>1</v>
      </c>
      <c r="BA35" s="81">
        <v>1</v>
      </c>
      <c r="BB35" s="81">
        <v>0</v>
      </c>
      <c r="BC35" s="81">
        <v>0</v>
      </c>
      <c r="BD35" s="81">
        <v>0</v>
      </c>
      <c r="BE35" s="81">
        <v>0</v>
      </c>
      <c r="BF35" s="81">
        <v>0</v>
      </c>
      <c r="BG35" s="81">
        <v>0</v>
      </c>
      <c r="BH35" s="81">
        <v>0</v>
      </c>
      <c r="BI35" s="81">
        <v>0</v>
      </c>
      <c r="BJ35" s="81">
        <v>0</v>
      </c>
      <c r="BK35" s="81">
        <v>1</v>
      </c>
      <c r="BL35" s="81">
        <v>0</v>
      </c>
      <c r="BM35" s="81">
        <v>0</v>
      </c>
      <c r="BN35" s="81">
        <v>1</v>
      </c>
      <c r="BO35" s="81">
        <v>3</v>
      </c>
      <c r="BP35" s="81">
        <v>3</v>
      </c>
      <c r="BQ35" s="81">
        <v>2</v>
      </c>
      <c r="BR35" s="81">
        <v>2</v>
      </c>
      <c r="BS35" s="81">
        <v>3</v>
      </c>
      <c r="BT35" s="81">
        <v>2</v>
      </c>
      <c r="BU35" s="81">
        <v>2</v>
      </c>
      <c r="BV35" s="81">
        <v>2</v>
      </c>
      <c r="BW35" s="81">
        <v>2</v>
      </c>
      <c r="BX35" s="81">
        <v>2</v>
      </c>
      <c r="BY35" s="81">
        <v>2</v>
      </c>
      <c r="BZ35" s="81">
        <v>1</v>
      </c>
      <c r="CA35" s="81">
        <v>3</v>
      </c>
      <c r="CB35" s="81">
        <v>3</v>
      </c>
      <c r="CC35" s="81">
        <v>3</v>
      </c>
      <c r="CD35" s="81">
        <v>2</v>
      </c>
      <c r="CE35" s="81">
        <v>2</v>
      </c>
      <c r="CF35" s="81">
        <v>2</v>
      </c>
      <c r="CG35" s="81">
        <v>3</v>
      </c>
      <c r="CH35" s="81">
        <v>0</v>
      </c>
      <c r="CI35" s="81">
        <v>1</v>
      </c>
      <c r="CJ35" s="81">
        <v>0</v>
      </c>
      <c r="CK35" s="81">
        <v>0</v>
      </c>
      <c r="CL35" s="81">
        <v>0</v>
      </c>
      <c r="CM35" s="81">
        <v>1</v>
      </c>
      <c r="CN35" s="81">
        <v>0</v>
      </c>
      <c r="CO35" s="81">
        <v>2</v>
      </c>
      <c r="CP35" s="81">
        <v>2</v>
      </c>
      <c r="CQ35" s="81">
        <v>2</v>
      </c>
      <c r="CR35" s="81">
        <v>3</v>
      </c>
      <c r="CS35" s="81">
        <v>3</v>
      </c>
      <c r="CT35" s="81">
        <v>2</v>
      </c>
      <c r="CU35" s="81">
        <v>0</v>
      </c>
      <c r="CV35" s="81">
        <v>1</v>
      </c>
      <c r="CW35" s="81">
        <v>0</v>
      </c>
      <c r="CX35" s="81">
        <v>1</v>
      </c>
      <c r="CY35" s="81">
        <v>1</v>
      </c>
      <c r="CZ35" s="81">
        <v>0</v>
      </c>
      <c r="DA35" s="81">
        <v>1</v>
      </c>
    </row>
    <row r="36" spans="1:105" ht="12" customHeight="1" x14ac:dyDescent="0.3">
      <c r="A36" s="81" t="s">
        <v>570</v>
      </c>
      <c r="B36" s="81" t="s">
        <v>1438</v>
      </c>
      <c r="C36" s="81" t="s">
        <v>1439</v>
      </c>
      <c r="D36" s="81" t="s">
        <v>571</v>
      </c>
      <c r="E36" s="81" t="s">
        <v>393</v>
      </c>
      <c r="F36" s="81" t="s">
        <v>393</v>
      </c>
      <c r="G36" s="81"/>
      <c r="H36" s="94">
        <v>25</v>
      </c>
      <c r="I36" s="81" t="s">
        <v>13</v>
      </c>
      <c r="J36" s="81" t="s">
        <v>470</v>
      </c>
      <c r="K36" s="81">
        <v>25</v>
      </c>
      <c r="L36" s="81" t="s">
        <v>435</v>
      </c>
      <c r="M36" s="81" t="s">
        <v>472</v>
      </c>
      <c r="N36" s="81" t="s">
        <v>1430</v>
      </c>
      <c r="O36" s="81" t="s">
        <v>1440</v>
      </c>
      <c r="P36" s="81" t="s">
        <v>414</v>
      </c>
      <c r="Q36" s="81" t="s">
        <v>531</v>
      </c>
      <c r="R36" s="81">
        <v>0</v>
      </c>
      <c r="S36" s="81">
        <v>1</v>
      </c>
      <c r="T36" s="81">
        <v>0</v>
      </c>
      <c r="U36" s="81">
        <v>0</v>
      </c>
      <c r="V36" s="81">
        <v>0</v>
      </c>
      <c r="W36" s="81">
        <v>0</v>
      </c>
      <c r="X36" s="81">
        <v>0</v>
      </c>
      <c r="Y36" s="81">
        <v>1</v>
      </c>
      <c r="Z36" s="81">
        <v>0</v>
      </c>
      <c r="AA36" s="81">
        <v>0</v>
      </c>
      <c r="AB36" s="81">
        <v>0</v>
      </c>
      <c r="AC36" s="81">
        <v>0</v>
      </c>
      <c r="AD36" s="81">
        <v>0</v>
      </c>
      <c r="AE36" s="81">
        <v>0</v>
      </c>
      <c r="AF36" s="81">
        <v>0</v>
      </c>
      <c r="AG36" s="81">
        <v>0</v>
      </c>
      <c r="AH36" s="81">
        <v>0</v>
      </c>
      <c r="AI36" s="81">
        <v>0</v>
      </c>
      <c r="AJ36" s="81">
        <v>0</v>
      </c>
      <c r="AK36" s="81">
        <v>0</v>
      </c>
      <c r="AL36" s="81">
        <v>1</v>
      </c>
      <c r="AM36" s="81">
        <v>0</v>
      </c>
      <c r="AN36" s="81">
        <v>1</v>
      </c>
      <c r="AO36" s="81">
        <v>0</v>
      </c>
      <c r="AP36" s="81">
        <v>1</v>
      </c>
      <c r="AQ36" s="81">
        <v>0</v>
      </c>
      <c r="AR36" s="81">
        <v>1</v>
      </c>
      <c r="AS36" s="81">
        <v>0</v>
      </c>
      <c r="AT36" s="81">
        <v>1</v>
      </c>
      <c r="AU36" s="81">
        <v>0</v>
      </c>
      <c r="AV36" s="81">
        <v>1</v>
      </c>
      <c r="AW36" s="81">
        <v>1</v>
      </c>
      <c r="AX36" s="81">
        <v>0</v>
      </c>
      <c r="AY36" s="81">
        <v>0</v>
      </c>
      <c r="AZ36" s="81">
        <v>1</v>
      </c>
      <c r="BA36" s="81">
        <v>1</v>
      </c>
      <c r="BB36" s="81">
        <v>0</v>
      </c>
      <c r="BC36" s="81">
        <v>0</v>
      </c>
      <c r="BD36" s="81">
        <v>0</v>
      </c>
      <c r="BE36" s="81">
        <v>0</v>
      </c>
      <c r="BF36" s="81">
        <v>0</v>
      </c>
      <c r="BG36" s="81">
        <v>0</v>
      </c>
      <c r="BH36" s="81">
        <v>0</v>
      </c>
      <c r="BI36" s="81">
        <v>0</v>
      </c>
      <c r="BJ36" s="81">
        <v>0</v>
      </c>
      <c r="BK36" s="81">
        <v>1</v>
      </c>
      <c r="BL36" s="81">
        <v>0</v>
      </c>
      <c r="BM36" s="81">
        <v>0</v>
      </c>
      <c r="BN36" s="81">
        <v>1</v>
      </c>
      <c r="BO36" s="81">
        <v>3</v>
      </c>
      <c r="BP36" s="81">
        <v>3</v>
      </c>
      <c r="BQ36" s="81">
        <v>2</v>
      </c>
      <c r="BR36" s="81">
        <v>2</v>
      </c>
      <c r="BS36" s="81">
        <v>3</v>
      </c>
      <c r="BT36" s="81">
        <v>2</v>
      </c>
      <c r="BU36" s="81">
        <v>2</v>
      </c>
      <c r="BV36" s="81">
        <v>2</v>
      </c>
      <c r="BW36" s="81">
        <v>2</v>
      </c>
      <c r="BX36" s="81">
        <v>2</v>
      </c>
      <c r="BY36" s="81">
        <v>2</v>
      </c>
      <c r="BZ36" s="81">
        <v>1</v>
      </c>
      <c r="CA36" s="81">
        <v>3</v>
      </c>
      <c r="CB36" s="81">
        <v>3</v>
      </c>
      <c r="CC36" s="81">
        <v>3</v>
      </c>
      <c r="CD36" s="81">
        <v>2</v>
      </c>
      <c r="CE36" s="81">
        <v>2</v>
      </c>
      <c r="CF36" s="81">
        <v>2</v>
      </c>
      <c r="CG36" s="81">
        <v>3</v>
      </c>
      <c r="CH36" s="81">
        <v>0</v>
      </c>
      <c r="CI36" s="81">
        <v>1</v>
      </c>
      <c r="CJ36" s="81">
        <v>0</v>
      </c>
      <c r="CK36" s="81">
        <v>0</v>
      </c>
      <c r="CL36" s="81">
        <v>0</v>
      </c>
      <c r="CM36" s="81">
        <v>1</v>
      </c>
      <c r="CN36" s="81">
        <v>0</v>
      </c>
      <c r="CO36" s="81">
        <v>2</v>
      </c>
      <c r="CP36" s="81">
        <v>2</v>
      </c>
      <c r="CQ36" s="81">
        <v>2</v>
      </c>
      <c r="CR36" s="81">
        <v>3</v>
      </c>
      <c r="CS36" s="81">
        <v>3</v>
      </c>
      <c r="CT36" s="81">
        <v>2</v>
      </c>
      <c r="CU36" s="81">
        <v>0</v>
      </c>
      <c r="CV36" s="81">
        <v>1</v>
      </c>
      <c r="CW36" s="81">
        <v>0</v>
      </c>
      <c r="CX36" s="81">
        <v>1</v>
      </c>
      <c r="CY36" s="81">
        <v>1</v>
      </c>
      <c r="CZ36" s="81">
        <v>0</v>
      </c>
      <c r="DA36" s="81">
        <v>1</v>
      </c>
    </row>
    <row r="37" spans="1:105" ht="12" customHeight="1" x14ac:dyDescent="0.3">
      <c r="A37" s="81" t="s">
        <v>572</v>
      </c>
      <c r="B37" s="81" t="s">
        <v>1438</v>
      </c>
      <c r="C37" s="81" t="s">
        <v>1441</v>
      </c>
      <c r="D37" s="81" t="s">
        <v>573</v>
      </c>
      <c r="E37" s="81" t="s">
        <v>395</v>
      </c>
      <c r="F37" s="81" t="s">
        <v>395</v>
      </c>
      <c r="G37" s="81"/>
      <c r="H37" s="94">
        <v>24</v>
      </c>
      <c r="I37" s="81" t="s">
        <v>12</v>
      </c>
      <c r="J37" s="81" t="s">
        <v>466</v>
      </c>
      <c r="K37" s="81">
        <v>24</v>
      </c>
      <c r="L37" s="81" t="s">
        <v>435</v>
      </c>
      <c r="M37" s="81" t="s">
        <v>468</v>
      </c>
      <c r="N37" s="81" t="s">
        <v>1430</v>
      </c>
      <c r="O37" s="81" t="s">
        <v>1442</v>
      </c>
      <c r="P37" s="81" t="s">
        <v>414</v>
      </c>
      <c r="Q37" s="81" t="s">
        <v>574</v>
      </c>
      <c r="R37" s="81">
        <v>0</v>
      </c>
      <c r="S37" s="81">
        <v>1</v>
      </c>
      <c r="T37" s="81">
        <v>0</v>
      </c>
      <c r="U37" s="81">
        <v>0</v>
      </c>
      <c r="V37" s="81">
        <v>0</v>
      </c>
      <c r="W37" s="81">
        <v>0</v>
      </c>
      <c r="X37" s="81">
        <v>0</v>
      </c>
      <c r="Y37" s="81">
        <v>1</v>
      </c>
      <c r="Z37" s="81">
        <v>0</v>
      </c>
      <c r="AA37" s="81">
        <v>0</v>
      </c>
      <c r="AB37" s="81">
        <v>0</v>
      </c>
      <c r="AC37" s="81">
        <v>0</v>
      </c>
      <c r="AD37" s="81">
        <v>0</v>
      </c>
      <c r="AE37" s="81">
        <v>0</v>
      </c>
      <c r="AF37" s="81">
        <v>0</v>
      </c>
      <c r="AG37" s="81">
        <v>0</v>
      </c>
      <c r="AH37" s="81">
        <v>0</v>
      </c>
      <c r="AI37" s="81">
        <v>0</v>
      </c>
      <c r="AJ37" s="81">
        <v>0</v>
      </c>
      <c r="AK37" s="81">
        <v>0</v>
      </c>
      <c r="AL37" s="81">
        <v>1</v>
      </c>
      <c r="AM37" s="81">
        <v>0</v>
      </c>
      <c r="AN37" s="81">
        <v>1</v>
      </c>
      <c r="AO37" s="81">
        <v>0</v>
      </c>
      <c r="AP37" s="81">
        <v>1</v>
      </c>
      <c r="AQ37" s="81">
        <v>0</v>
      </c>
      <c r="AR37" s="81">
        <v>1</v>
      </c>
      <c r="AS37" s="81">
        <v>0</v>
      </c>
      <c r="AT37" s="81">
        <v>1</v>
      </c>
      <c r="AU37" s="81">
        <v>0</v>
      </c>
      <c r="AV37" s="81">
        <v>1</v>
      </c>
      <c r="AW37" s="81">
        <v>0</v>
      </c>
      <c r="AX37" s="81">
        <v>0</v>
      </c>
      <c r="AY37" s="81">
        <v>0</v>
      </c>
      <c r="AZ37" s="81">
        <v>1</v>
      </c>
      <c r="BA37" s="81">
        <v>1</v>
      </c>
      <c r="BB37" s="81">
        <v>0</v>
      </c>
      <c r="BC37" s="81">
        <v>0</v>
      </c>
      <c r="BD37" s="81">
        <v>0</v>
      </c>
      <c r="BE37" s="81">
        <v>0</v>
      </c>
      <c r="BF37" s="81">
        <v>0</v>
      </c>
      <c r="BG37" s="81">
        <v>0</v>
      </c>
      <c r="BH37" s="81">
        <v>0</v>
      </c>
      <c r="BI37" s="81">
        <v>0</v>
      </c>
      <c r="BJ37" s="81">
        <v>0</v>
      </c>
      <c r="BK37" s="81">
        <v>1</v>
      </c>
      <c r="BL37" s="81">
        <v>0</v>
      </c>
      <c r="BM37" s="81">
        <v>0</v>
      </c>
      <c r="BN37" s="81">
        <v>0</v>
      </c>
      <c r="BO37" s="81">
        <v>3</v>
      </c>
      <c r="BP37" s="81">
        <v>2</v>
      </c>
      <c r="BQ37" s="81">
        <v>2</v>
      </c>
      <c r="BR37" s="81">
        <v>2</v>
      </c>
      <c r="BS37" s="81">
        <v>3</v>
      </c>
      <c r="BT37" s="81">
        <v>2</v>
      </c>
      <c r="BU37" s="81">
        <v>2</v>
      </c>
      <c r="BV37" s="81">
        <v>1</v>
      </c>
      <c r="BW37" s="81">
        <v>2</v>
      </c>
      <c r="BX37" s="81">
        <v>2</v>
      </c>
      <c r="BY37" s="81">
        <v>2</v>
      </c>
      <c r="BZ37" s="81">
        <v>1</v>
      </c>
      <c r="CA37" s="81">
        <v>3</v>
      </c>
      <c r="CB37" s="81">
        <v>3</v>
      </c>
      <c r="CC37" s="81">
        <v>3</v>
      </c>
      <c r="CD37" s="81">
        <v>2</v>
      </c>
      <c r="CE37" s="81">
        <v>2</v>
      </c>
      <c r="CF37" s="81">
        <v>2</v>
      </c>
      <c r="CG37" s="81">
        <v>3</v>
      </c>
      <c r="CH37" s="81">
        <v>0</v>
      </c>
      <c r="CI37" s="81">
        <v>1</v>
      </c>
      <c r="CJ37" s="81">
        <v>0</v>
      </c>
      <c r="CK37" s="81">
        <v>0</v>
      </c>
      <c r="CL37" s="81">
        <v>0</v>
      </c>
      <c r="CM37" s="81">
        <v>1</v>
      </c>
      <c r="CN37" s="81">
        <v>0</v>
      </c>
      <c r="CO37" s="81">
        <v>2</v>
      </c>
      <c r="CP37" s="81">
        <v>2</v>
      </c>
      <c r="CQ37" s="81">
        <v>2</v>
      </c>
      <c r="CR37" s="81">
        <v>2</v>
      </c>
      <c r="CS37" s="81">
        <v>3</v>
      </c>
      <c r="CT37" s="81">
        <v>2</v>
      </c>
      <c r="CU37" s="81">
        <v>0</v>
      </c>
      <c r="CV37" s="81">
        <v>1</v>
      </c>
      <c r="CW37" s="81">
        <v>0</v>
      </c>
      <c r="CX37" s="81">
        <v>1</v>
      </c>
      <c r="CY37" s="81">
        <v>1</v>
      </c>
      <c r="CZ37" s="81">
        <v>0</v>
      </c>
      <c r="DA37" s="81">
        <v>1</v>
      </c>
    </row>
    <row r="38" spans="1:105" ht="12" customHeight="1" x14ac:dyDescent="0.3">
      <c r="A38" s="81" t="s">
        <v>575</v>
      </c>
      <c r="B38" s="81" t="s">
        <v>1438</v>
      </c>
      <c r="C38" s="81" t="s">
        <v>1441</v>
      </c>
      <c r="D38" s="81" t="s">
        <v>576</v>
      </c>
      <c r="E38" s="81" t="s">
        <v>395</v>
      </c>
      <c r="F38" s="81" t="s">
        <v>395</v>
      </c>
      <c r="G38" s="81"/>
      <c r="H38" s="94">
        <v>24</v>
      </c>
      <c r="I38" s="81" t="s">
        <v>12</v>
      </c>
      <c r="J38" s="81" t="s">
        <v>466</v>
      </c>
      <c r="K38" s="81">
        <v>24</v>
      </c>
      <c r="L38" s="81" t="s">
        <v>435</v>
      </c>
      <c r="M38" s="81" t="s">
        <v>468</v>
      </c>
      <c r="N38" s="81" t="s">
        <v>1430</v>
      </c>
      <c r="O38" s="81" t="s">
        <v>1442</v>
      </c>
      <c r="P38" s="81" t="s">
        <v>414</v>
      </c>
      <c r="Q38" s="81" t="s">
        <v>574</v>
      </c>
      <c r="R38" s="81">
        <v>0</v>
      </c>
      <c r="S38" s="81">
        <v>1</v>
      </c>
      <c r="T38" s="81">
        <v>0</v>
      </c>
      <c r="U38" s="81">
        <v>0</v>
      </c>
      <c r="V38" s="81">
        <v>0</v>
      </c>
      <c r="W38" s="81">
        <v>0</v>
      </c>
      <c r="X38" s="81">
        <v>0</v>
      </c>
      <c r="Y38" s="81">
        <v>1</v>
      </c>
      <c r="Z38" s="81">
        <v>0</v>
      </c>
      <c r="AA38" s="81">
        <v>0</v>
      </c>
      <c r="AB38" s="81">
        <v>0</v>
      </c>
      <c r="AC38" s="81">
        <v>0</v>
      </c>
      <c r="AD38" s="81">
        <v>0</v>
      </c>
      <c r="AE38" s="81">
        <v>0</v>
      </c>
      <c r="AF38" s="81">
        <v>0</v>
      </c>
      <c r="AG38" s="81">
        <v>0</v>
      </c>
      <c r="AH38" s="81">
        <v>0</v>
      </c>
      <c r="AI38" s="81">
        <v>0</v>
      </c>
      <c r="AJ38" s="81">
        <v>0</v>
      </c>
      <c r="AK38" s="81">
        <v>0</v>
      </c>
      <c r="AL38" s="81">
        <v>1</v>
      </c>
      <c r="AM38" s="81">
        <v>0</v>
      </c>
      <c r="AN38" s="81">
        <v>1</v>
      </c>
      <c r="AO38" s="81">
        <v>0</v>
      </c>
      <c r="AP38" s="81">
        <v>1</v>
      </c>
      <c r="AQ38" s="81">
        <v>0</v>
      </c>
      <c r="AR38" s="81">
        <v>1</v>
      </c>
      <c r="AS38" s="81">
        <v>0</v>
      </c>
      <c r="AT38" s="81">
        <v>1</v>
      </c>
      <c r="AU38" s="81">
        <v>0</v>
      </c>
      <c r="AV38" s="81">
        <v>1</v>
      </c>
      <c r="AW38" s="81">
        <v>0</v>
      </c>
      <c r="AX38" s="81">
        <v>0</v>
      </c>
      <c r="AY38" s="81">
        <v>0</v>
      </c>
      <c r="AZ38" s="81">
        <v>1</v>
      </c>
      <c r="BA38" s="81">
        <v>1</v>
      </c>
      <c r="BB38" s="81">
        <v>0</v>
      </c>
      <c r="BC38" s="81">
        <v>0</v>
      </c>
      <c r="BD38" s="81">
        <v>0</v>
      </c>
      <c r="BE38" s="81">
        <v>0</v>
      </c>
      <c r="BF38" s="81">
        <v>0</v>
      </c>
      <c r="BG38" s="81">
        <v>0</v>
      </c>
      <c r="BH38" s="81">
        <v>0</v>
      </c>
      <c r="BI38" s="81">
        <v>0</v>
      </c>
      <c r="BJ38" s="81">
        <v>0</v>
      </c>
      <c r="BK38" s="81">
        <v>1</v>
      </c>
      <c r="BL38" s="81">
        <v>0</v>
      </c>
      <c r="BM38" s="81">
        <v>0</v>
      </c>
      <c r="BN38" s="81">
        <v>0</v>
      </c>
      <c r="BO38" s="81">
        <v>3</v>
      </c>
      <c r="BP38" s="81">
        <v>2</v>
      </c>
      <c r="BQ38" s="81">
        <v>2</v>
      </c>
      <c r="BR38" s="81">
        <v>2</v>
      </c>
      <c r="BS38" s="81">
        <v>3</v>
      </c>
      <c r="BT38" s="81">
        <v>2</v>
      </c>
      <c r="BU38" s="81">
        <v>2</v>
      </c>
      <c r="BV38" s="81">
        <v>1</v>
      </c>
      <c r="BW38" s="81">
        <v>2</v>
      </c>
      <c r="BX38" s="81">
        <v>2</v>
      </c>
      <c r="BY38" s="81">
        <v>2</v>
      </c>
      <c r="BZ38" s="81">
        <v>1</v>
      </c>
      <c r="CA38" s="81">
        <v>3</v>
      </c>
      <c r="CB38" s="81">
        <v>3</v>
      </c>
      <c r="CC38" s="81">
        <v>3</v>
      </c>
      <c r="CD38" s="81">
        <v>2</v>
      </c>
      <c r="CE38" s="81">
        <v>2</v>
      </c>
      <c r="CF38" s="81">
        <v>2</v>
      </c>
      <c r="CG38" s="81">
        <v>3</v>
      </c>
      <c r="CH38" s="81">
        <v>0</v>
      </c>
      <c r="CI38" s="81">
        <v>1</v>
      </c>
      <c r="CJ38" s="81">
        <v>0</v>
      </c>
      <c r="CK38" s="81">
        <v>0</v>
      </c>
      <c r="CL38" s="81">
        <v>0</v>
      </c>
      <c r="CM38" s="81">
        <v>1</v>
      </c>
      <c r="CN38" s="81">
        <v>0</v>
      </c>
      <c r="CO38" s="81">
        <v>2</v>
      </c>
      <c r="CP38" s="81">
        <v>2</v>
      </c>
      <c r="CQ38" s="81">
        <v>2</v>
      </c>
      <c r="CR38" s="81">
        <v>2</v>
      </c>
      <c r="CS38" s="81">
        <v>3</v>
      </c>
      <c r="CT38" s="81">
        <v>2</v>
      </c>
      <c r="CU38" s="81">
        <v>0</v>
      </c>
      <c r="CV38" s="81">
        <v>1</v>
      </c>
      <c r="CW38" s="81">
        <v>0</v>
      </c>
      <c r="CX38" s="81">
        <v>1</v>
      </c>
      <c r="CY38" s="81">
        <v>1</v>
      </c>
      <c r="CZ38" s="81">
        <v>0</v>
      </c>
      <c r="DA38" s="81">
        <v>1</v>
      </c>
    </row>
    <row r="39" spans="1:105" ht="12" customHeight="1" x14ac:dyDescent="0.3">
      <c r="A39" s="81" t="s">
        <v>577</v>
      </c>
      <c r="B39" s="81" t="s">
        <v>1438</v>
      </c>
      <c r="C39" s="81" t="s">
        <v>1441</v>
      </c>
      <c r="D39" s="81" t="s">
        <v>578</v>
      </c>
      <c r="E39" s="81" t="s">
        <v>395</v>
      </c>
      <c r="F39" s="81" t="s">
        <v>395</v>
      </c>
      <c r="G39" s="81"/>
      <c r="H39" s="94">
        <v>24</v>
      </c>
      <c r="I39" s="81" t="s">
        <v>12</v>
      </c>
      <c r="J39" s="81" t="s">
        <v>466</v>
      </c>
      <c r="K39" s="81">
        <v>24</v>
      </c>
      <c r="L39" s="81" t="s">
        <v>435</v>
      </c>
      <c r="M39" s="81" t="s">
        <v>468</v>
      </c>
      <c r="N39" s="81" t="s">
        <v>1430</v>
      </c>
      <c r="O39" s="81" t="s">
        <v>1442</v>
      </c>
      <c r="P39" s="81" t="s">
        <v>414</v>
      </c>
      <c r="Q39" s="81" t="s">
        <v>574</v>
      </c>
      <c r="R39" s="81">
        <v>0</v>
      </c>
      <c r="S39" s="81">
        <v>1</v>
      </c>
      <c r="T39" s="81">
        <v>0</v>
      </c>
      <c r="U39" s="81">
        <v>0</v>
      </c>
      <c r="V39" s="81">
        <v>0</v>
      </c>
      <c r="W39" s="81">
        <v>0</v>
      </c>
      <c r="X39" s="81">
        <v>0</v>
      </c>
      <c r="Y39" s="81">
        <v>1</v>
      </c>
      <c r="Z39" s="81">
        <v>0</v>
      </c>
      <c r="AA39" s="81">
        <v>0</v>
      </c>
      <c r="AB39" s="81">
        <v>0</v>
      </c>
      <c r="AC39" s="81">
        <v>0</v>
      </c>
      <c r="AD39" s="81">
        <v>0</v>
      </c>
      <c r="AE39" s="81">
        <v>0</v>
      </c>
      <c r="AF39" s="81">
        <v>0</v>
      </c>
      <c r="AG39" s="81">
        <v>0</v>
      </c>
      <c r="AH39" s="81">
        <v>0</v>
      </c>
      <c r="AI39" s="81">
        <v>0</v>
      </c>
      <c r="AJ39" s="81">
        <v>0</v>
      </c>
      <c r="AK39" s="81">
        <v>0</v>
      </c>
      <c r="AL39" s="81">
        <v>1</v>
      </c>
      <c r="AM39" s="81">
        <v>0</v>
      </c>
      <c r="AN39" s="81">
        <v>1</v>
      </c>
      <c r="AO39" s="81">
        <v>0</v>
      </c>
      <c r="AP39" s="81">
        <v>1</v>
      </c>
      <c r="AQ39" s="81">
        <v>0</v>
      </c>
      <c r="AR39" s="81">
        <v>1</v>
      </c>
      <c r="AS39" s="81">
        <v>0</v>
      </c>
      <c r="AT39" s="81">
        <v>1</v>
      </c>
      <c r="AU39" s="81">
        <v>0</v>
      </c>
      <c r="AV39" s="81">
        <v>1</v>
      </c>
      <c r="AW39" s="81">
        <v>0</v>
      </c>
      <c r="AX39" s="81">
        <v>0</v>
      </c>
      <c r="AY39" s="81">
        <v>0</v>
      </c>
      <c r="AZ39" s="81">
        <v>1</v>
      </c>
      <c r="BA39" s="81">
        <v>1</v>
      </c>
      <c r="BB39" s="81">
        <v>0</v>
      </c>
      <c r="BC39" s="81">
        <v>0</v>
      </c>
      <c r="BD39" s="81">
        <v>0</v>
      </c>
      <c r="BE39" s="81">
        <v>0</v>
      </c>
      <c r="BF39" s="81">
        <v>0</v>
      </c>
      <c r="BG39" s="81">
        <v>0</v>
      </c>
      <c r="BH39" s="81">
        <v>0</v>
      </c>
      <c r="BI39" s="81">
        <v>0</v>
      </c>
      <c r="BJ39" s="81">
        <v>0</v>
      </c>
      <c r="BK39" s="81">
        <v>1</v>
      </c>
      <c r="BL39" s="81">
        <v>0</v>
      </c>
      <c r="BM39" s="81">
        <v>0</v>
      </c>
      <c r="BN39" s="81">
        <v>0</v>
      </c>
      <c r="BO39" s="81">
        <v>3</v>
      </c>
      <c r="BP39" s="81">
        <v>2</v>
      </c>
      <c r="BQ39" s="81">
        <v>2</v>
      </c>
      <c r="BR39" s="81">
        <v>2</v>
      </c>
      <c r="BS39" s="81">
        <v>3</v>
      </c>
      <c r="BT39" s="81">
        <v>2</v>
      </c>
      <c r="BU39" s="81">
        <v>2</v>
      </c>
      <c r="BV39" s="81">
        <v>1</v>
      </c>
      <c r="BW39" s="81">
        <v>2</v>
      </c>
      <c r="BX39" s="81">
        <v>2</v>
      </c>
      <c r="BY39" s="81">
        <v>2</v>
      </c>
      <c r="BZ39" s="81">
        <v>1</v>
      </c>
      <c r="CA39" s="81">
        <v>3</v>
      </c>
      <c r="CB39" s="81">
        <v>3</v>
      </c>
      <c r="CC39" s="81">
        <v>3</v>
      </c>
      <c r="CD39" s="81">
        <v>2</v>
      </c>
      <c r="CE39" s="81">
        <v>2</v>
      </c>
      <c r="CF39" s="81">
        <v>2</v>
      </c>
      <c r="CG39" s="81">
        <v>3</v>
      </c>
      <c r="CH39" s="81">
        <v>0</v>
      </c>
      <c r="CI39" s="81">
        <v>1</v>
      </c>
      <c r="CJ39" s="81">
        <v>0</v>
      </c>
      <c r="CK39" s="81">
        <v>0</v>
      </c>
      <c r="CL39" s="81">
        <v>0</v>
      </c>
      <c r="CM39" s="81">
        <v>1</v>
      </c>
      <c r="CN39" s="81">
        <v>0</v>
      </c>
      <c r="CO39" s="81">
        <v>2</v>
      </c>
      <c r="CP39" s="81">
        <v>2</v>
      </c>
      <c r="CQ39" s="81">
        <v>2</v>
      </c>
      <c r="CR39" s="81">
        <v>2</v>
      </c>
      <c r="CS39" s="81">
        <v>3</v>
      </c>
      <c r="CT39" s="81">
        <v>2</v>
      </c>
      <c r="CU39" s="81">
        <v>0</v>
      </c>
      <c r="CV39" s="81">
        <v>1</v>
      </c>
      <c r="CW39" s="81">
        <v>0</v>
      </c>
      <c r="CX39" s="81">
        <v>1</v>
      </c>
      <c r="CY39" s="81">
        <v>1</v>
      </c>
      <c r="CZ39" s="81">
        <v>0</v>
      </c>
      <c r="DA39" s="81">
        <v>1</v>
      </c>
    </row>
    <row r="40" spans="1:105" ht="12" customHeight="1" x14ac:dyDescent="0.3">
      <c r="A40" s="81" t="s">
        <v>579</v>
      </c>
      <c r="B40" s="81" t="s">
        <v>1438</v>
      </c>
      <c r="C40" s="81" t="s">
        <v>1441</v>
      </c>
      <c r="D40" s="81" t="s">
        <v>580</v>
      </c>
      <c r="E40" s="81" t="s">
        <v>395</v>
      </c>
      <c r="F40" s="81" t="s">
        <v>395</v>
      </c>
      <c r="G40" s="81"/>
      <c r="H40" s="94">
        <v>24</v>
      </c>
      <c r="I40" s="81" t="s">
        <v>12</v>
      </c>
      <c r="J40" s="81" t="s">
        <v>466</v>
      </c>
      <c r="K40" s="81">
        <v>24</v>
      </c>
      <c r="L40" s="81" t="s">
        <v>435</v>
      </c>
      <c r="M40" s="81" t="s">
        <v>468</v>
      </c>
      <c r="N40" s="81" t="s">
        <v>1430</v>
      </c>
      <c r="O40" s="81" t="s">
        <v>1442</v>
      </c>
      <c r="P40" s="81" t="s">
        <v>414</v>
      </c>
      <c r="Q40" s="81" t="s">
        <v>574</v>
      </c>
      <c r="R40" s="81">
        <v>0</v>
      </c>
      <c r="S40" s="81">
        <v>1</v>
      </c>
      <c r="T40" s="81">
        <v>0</v>
      </c>
      <c r="U40" s="81">
        <v>0</v>
      </c>
      <c r="V40" s="81">
        <v>0</v>
      </c>
      <c r="W40" s="81">
        <v>0</v>
      </c>
      <c r="X40" s="81">
        <v>0</v>
      </c>
      <c r="Y40" s="81">
        <v>1</v>
      </c>
      <c r="Z40" s="81">
        <v>0</v>
      </c>
      <c r="AA40" s="81">
        <v>0</v>
      </c>
      <c r="AB40" s="81">
        <v>0</v>
      </c>
      <c r="AC40" s="81">
        <v>0</v>
      </c>
      <c r="AD40" s="81">
        <v>0</v>
      </c>
      <c r="AE40" s="81">
        <v>0</v>
      </c>
      <c r="AF40" s="81">
        <v>0</v>
      </c>
      <c r="AG40" s="81">
        <v>0</v>
      </c>
      <c r="AH40" s="81">
        <v>0</v>
      </c>
      <c r="AI40" s="81">
        <v>0</v>
      </c>
      <c r="AJ40" s="81">
        <v>0</v>
      </c>
      <c r="AK40" s="81">
        <v>0</v>
      </c>
      <c r="AL40" s="81">
        <v>1</v>
      </c>
      <c r="AM40" s="81">
        <v>0</v>
      </c>
      <c r="AN40" s="81">
        <v>1</v>
      </c>
      <c r="AO40" s="81">
        <v>0</v>
      </c>
      <c r="AP40" s="81">
        <v>1</v>
      </c>
      <c r="AQ40" s="81">
        <v>0</v>
      </c>
      <c r="AR40" s="81">
        <v>1</v>
      </c>
      <c r="AS40" s="81">
        <v>0</v>
      </c>
      <c r="AT40" s="81">
        <v>1</v>
      </c>
      <c r="AU40" s="81">
        <v>0</v>
      </c>
      <c r="AV40" s="81">
        <v>1</v>
      </c>
      <c r="AW40" s="81">
        <v>0</v>
      </c>
      <c r="AX40" s="81">
        <v>0</v>
      </c>
      <c r="AY40" s="81">
        <v>0</v>
      </c>
      <c r="AZ40" s="81">
        <v>1</v>
      </c>
      <c r="BA40" s="81">
        <v>1</v>
      </c>
      <c r="BB40" s="81">
        <v>0</v>
      </c>
      <c r="BC40" s="81">
        <v>0</v>
      </c>
      <c r="BD40" s="81">
        <v>0</v>
      </c>
      <c r="BE40" s="81">
        <v>0</v>
      </c>
      <c r="BF40" s="81">
        <v>0</v>
      </c>
      <c r="BG40" s="81">
        <v>0</v>
      </c>
      <c r="BH40" s="81">
        <v>0</v>
      </c>
      <c r="BI40" s="81">
        <v>0</v>
      </c>
      <c r="BJ40" s="81">
        <v>0</v>
      </c>
      <c r="BK40" s="81">
        <v>1</v>
      </c>
      <c r="BL40" s="81">
        <v>0</v>
      </c>
      <c r="BM40" s="81">
        <v>0</v>
      </c>
      <c r="BN40" s="81">
        <v>0</v>
      </c>
      <c r="BO40" s="81">
        <v>3</v>
      </c>
      <c r="BP40" s="81">
        <v>2</v>
      </c>
      <c r="BQ40" s="81">
        <v>2</v>
      </c>
      <c r="BR40" s="81">
        <v>2</v>
      </c>
      <c r="BS40" s="81">
        <v>3</v>
      </c>
      <c r="BT40" s="81">
        <v>2</v>
      </c>
      <c r="BU40" s="81">
        <v>2</v>
      </c>
      <c r="BV40" s="81">
        <v>1</v>
      </c>
      <c r="BW40" s="81">
        <v>2</v>
      </c>
      <c r="BX40" s="81">
        <v>2</v>
      </c>
      <c r="BY40" s="81">
        <v>2</v>
      </c>
      <c r="BZ40" s="81">
        <v>1</v>
      </c>
      <c r="CA40" s="81">
        <v>3</v>
      </c>
      <c r="CB40" s="81">
        <v>3</v>
      </c>
      <c r="CC40" s="81">
        <v>3</v>
      </c>
      <c r="CD40" s="81">
        <v>2</v>
      </c>
      <c r="CE40" s="81">
        <v>2</v>
      </c>
      <c r="CF40" s="81">
        <v>2</v>
      </c>
      <c r="CG40" s="81">
        <v>3</v>
      </c>
      <c r="CH40" s="81">
        <v>0</v>
      </c>
      <c r="CI40" s="81">
        <v>1</v>
      </c>
      <c r="CJ40" s="81">
        <v>0</v>
      </c>
      <c r="CK40" s="81">
        <v>0</v>
      </c>
      <c r="CL40" s="81">
        <v>0</v>
      </c>
      <c r="CM40" s="81">
        <v>1</v>
      </c>
      <c r="CN40" s="81">
        <v>0</v>
      </c>
      <c r="CO40" s="81">
        <v>2</v>
      </c>
      <c r="CP40" s="81">
        <v>2</v>
      </c>
      <c r="CQ40" s="81">
        <v>2</v>
      </c>
      <c r="CR40" s="81">
        <v>2</v>
      </c>
      <c r="CS40" s="81">
        <v>3</v>
      </c>
      <c r="CT40" s="81">
        <v>2</v>
      </c>
      <c r="CU40" s="81">
        <v>0</v>
      </c>
      <c r="CV40" s="81">
        <v>1</v>
      </c>
      <c r="CW40" s="81">
        <v>0</v>
      </c>
      <c r="CX40" s="81">
        <v>1</v>
      </c>
      <c r="CY40" s="81">
        <v>1</v>
      </c>
      <c r="CZ40" s="81">
        <v>0</v>
      </c>
      <c r="DA40" s="81">
        <v>1</v>
      </c>
    </row>
    <row r="41" spans="1:105" ht="12" customHeight="1" x14ac:dyDescent="0.3">
      <c r="A41" s="81" t="s">
        <v>581</v>
      </c>
      <c r="B41" s="81" t="s">
        <v>1438</v>
      </c>
      <c r="C41" s="81" t="s">
        <v>1441</v>
      </c>
      <c r="D41" s="81" t="s">
        <v>582</v>
      </c>
      <c r="E41" s="81" t="s">
        <v>395</v>
      </c>
      <c r="F41" s="81" t="s">
        <v>395</v>
      </c>
      <c r="G41" s="81"/>
      <c r="H41" s="94">
        <v>24</v>
      </c>
      <c r="I41" s="81" t="s">
        <v>12</v>
      </c>
      <c r="J41" s="81" t="s">
        <v>466</v>
      </c>
      <c r="K41" s="81">
        <v>24</v>
      </c>
      <c r="L41" s="81" t="s">
        <v>435</v>
      </c>
      <c r="M41" s="81" t="s">
        <v>468</v>
      </c>
      <c r="N41" s="81" t="s">
        <v>1430</v>
      </c>
      <c r="O41" s="81" t="s">
        <v>1442</v>
      </c>
      <c r="P41" s="81" t="s">
        <v>414</v>
      </c>
      <c r="Q41" s="81" t="s">
        <v>574</v>
      </c>
      <c r="R41" s="81">
        <v>0</v>
      </c>
      <c r="S41" s="81">
        <v>1</v>
      </c>
      <c r="T41" s="81">
        <v>0</v>
      </c>
      <c r="U41" s="81">
        <v>0</v>
      </c>
      <c r="V41" s="81">
        <v>0</v>
      </c>
      <c r="W41" s="81">
        <v>0</v>
      </c>
      <c r="X41" s="81">
        <v>0</v>
      </c>
      <c r="Y41" s="81">
        <v>1</v>
      </c>
      <c r="Z41" s="81">
        <v>0</v>
      </c>
      <c r="AA41" s="81">
        <v>0</v>
      </c>
      <c r="AB41" s="81">
        <v>0</v>
      </c>
      <c r="AC41" s="81">
        <v>0</v>
      </c>
      <c r="AD41" s="81">
        <v>0</v>
      </c>
      <c r="AE41" s="81">
        <v>0</v>
      </c>
      <c r="AF41" s="81">
        <v>0</v>
      </c>
      <c r="AG41" s="81">
        <v>0</v>
      </c>
      <c r="AH41" s="81">
        <v>0</v>
      </c>
      <c r="AI41" s="81">
        <v>0</v>
      </c>
      <c r="AJ41" s="81">
        <v>0</v>
      </c>
      <c r="AK41" s="81">
        <v>0</v>
      </c>
      <c r="AL41" s="81">
        <v>1</v>
      </c>
      <c r="AM41" s="81">
        <v>0</v>
      </c>
      <c r="AN41" s="81">
        <v>1</v>
      </c>
      <c r="AO41" s="81">
        <v>0</v>
      </c>
      <c r="AP41" s="81">
        <v>1</v>
      </c>
      <c r="AQ41" s="81">
        <v>0</v>
      </c>
      <c r="AR41" s="81">
        <v>1</v>
      </c>
      <c r="AS41" s="81">
        <v>0</v>
      </c>
      <c r="AT41" s="81">
        <v>1</v>
      </c>
      <c r="AU41" s="81">
        <v>0</v>
      </c>
      <c r="AV41" s="81">
        <v>1</v>
      </c>
      <c r="AW41" s="81">
        <v>0</v>
      </c>
      <c r="AX41" s="81">
        <v>0</v>
      </c>
      <c r="AY41" s="81">
        <v>0</v>
      </c>
      <c r="AZ41" s="81">
        <v>1</v>
      </c>
      <c r="BA41" s="81">
        <v>1</v>
      </c>
      <c r="BB41" s="81">
        <v>0</v>
      </c>
      <c r="BC41" s="81">
        <v>0</v>
      </c>
      <c r="BD41" s="81">
        <v>0</v>
      </c>
      <c r="BE41" s="81">
        <v>0</v>
      </c>
      <c r="BF41" s="81">
        <v>0</v>
      </c>
      <c r="BG41" s="81">
        <v>0</v>
      </c>
      <c r="BH41" s="81">
        <v>0</v>
      </c>
      <c r="BI41" s="81">
        <v>0</v>
      </c>
      <c r="BJ41" s="81">
        <v>0</v>
      </c>
      <c r="BK41" s="81">
        <v>1</v>
      </c>
      <c r="BL41" s="81">
        <v>0</v>
      </c>
      <c r="BM41" s="81">
        <v>0</v>
      </c>
      <c r="BN41" s="81">
        <v>0</v>
      </c>
      <c r="BO41" s="81">
        <v>3</v>
      </c>
      <c r="BP41" s="81">
        <v>2</v>
      </c>
      <c r="BQ41" s="81">
        <v>2</v>
      </c>
      <c r="BR41" s="81">
        <v>2</v>
      </c>
      <c r="BS41" s="81">
        <v>3</v>
      </c>
      <c r="BT41" s="81">
        <v>2</v>
      </c>
      <c r="BU41" s="81">
        <v>2</v>
      </c>
      <c r="BV41" s="81">
        <v>1</v>
      </c>
      <c r="BW41" s="81">
        <v>2</v>
      </c>
      <c r="BX41" s="81">
        <v>2</v>
      </c>
      <c r="BY41" s="81">
        <v>2</v>
      </c>
      <c r="BZ41" s="81">
        <v>1</v>
      </c>
      <c r="CA41" s="81">
        <v>3</v>
      </c>
      <c r="CB41" s="81">
        <v>3</v>
      </c>
      <c r="CC41" s="81">
        <v>3</v>
      </c>
      <c r="CD41" s="81">
        <v>2</v>
      </c>
      <c r="CE41" s="81">
        <v>2</v>
      </c>
      <c r="CF41" s="81">
        <v>2</v>
      </c>
      <c r="CG41" s="81">
        <v>3</v>
      </c>
      <c r="CH41" s="81">
        <v>0</v>
      </c>
      <c r="CI41" s="81">
        <v>1</v>
      </c>
      <c r="CJ41" s="81">
        <v>0</v>
      </c>
      <c r="CK41" s="81">
        <v>0</v>
      </c>
      <c r="CL41" s="81">
        <v>0</v>
      </c>
      <c r="CM41" s="81">
        <v>1</v>
      </c>
      <c r="CN41" s="81">
        <v>0</v>
      </c>
      <c r="CO41" s="81">
        <v>2</v>
      </c>
      <c r="CP41" s="81">
        <v>2</v>
      </c>
      <c r="CQ41" s="81">
        <v>2</v>
      </c>
      <c r="CR41" s="81">
        <v>2</v>
      </c>
      <c r="CS41" s="81">
        <v>3</v>
      </c>
      <c r="CT41" s="81">
        <v>2</v>
      </c>
      <c r="CU41" s="81">
        <v>0</v>
      </c>
      <c r="CV41" s="81">
        <v>1</v>
      </c>
      <c r="CW41" s="81">
        <v>0</v>
      </c>
      <c r="CX41" s="81">
        <v>1</v>
      </c>
      <c r="CY41" s="81">
        <v>1</v>
      </c>
      <c r="CZ41" s="81">
        <v>0</v>
      </c>
      <c r="DA41" s="81">
        <v>1</v>
      </c>
    </row>
    <row r="42" spans="1:105" ht="12" customHeight="1" x14ac:dyDescent="0.3">
      <c r="A42" s="81" t="s">
        <v>583</v>
      </c>
      <c r="B42" s="81" t="s">
        <v>1438</v>
      </c>
      <c r="C42" s="81" t="s">
        <v>1441</v>
      </c>
      <c r="D42" s="81" t="s">
        <v>584</v>
      </c>
      <c r="E42" s="81" t="s">
        <v>395</v>
      </c>
      <c r="F42" s="81" t="s">
        <v>395</v>
      </c>
      <c r="G42" s="81"/>
      <c r="H42" s="94">
        <v>24</v>
      </c>
      <c r="I42" s="81" t="s">
        <v>12</v>
      </c>
      <c r="J42" s="81" t="s">
        <v>466</v>
      </c>
      <c r="K42" s="81">
        <v>24</v>
      </c>
      <c r="L42" s="81" t="s">
        <v>435</v>
      </c>
      <c r="M42" s="81" t="s">
        <v>468</v>
      </c>
      <c r="N42" s="81" t="s">
        <v>1430</v>
      </c>
      <c r="O42" s="81" t="s">
        <v>1442</v>
      </c>
      <c r="P42" s="81" t="s">
        <v>414</v>
      </c>
      <c r="Q42" s="81" t="s">
        <v>574</v>
      </c>
      <c r="R42" s="81">
        <v>0</v>
      </c>
      <c r="S42" s="81">
        <v>1</v>
      </c>
      <c r="T42" s="81">
        <v>0</v>
      </c>
      <c r="U42" s="81">
        <v>0</v>
      </c>
      <c r="V42" s="81">
        <v>0</v>
      </c>
      <c r="W42" s="81">
        <v>0</v>
      </c>
      <c r="X42" s="81">
        <v>0</v>
      </c>
      <c r="Y42" s="81">
        <v>1</v>
      </c>
      <c r="Z42" s="81">
        <v>0</v>
      </c>
      <c r="AA42" s="81">
        <v>0</v>
      </c>
      <c r="AB42" s="81">
        <v>0</v>
      </c>
      <c r="AC42" s="81">
        <v>0</v>
      </c>
      <c r="AD42" s="81">
        <v>0</v>
      </c>
      <c r="AE42" s="81">
        <v>0</v>
      </c>
      <c r="AF42" s="81">
        <v>0</v>
      </c>
      <c r="AG42" s="81">
        <v>0</v>
      </c>
      <c r="AH42" s="81">
        <v>0</v>
      </c>
      <c r="AI42" s="81">
        <v>0</v>
      </c>
      <c r="AJ42" s="81">
        <v>0</v>
      </c>
      <c r="AK42" s="81">
        <v>0</v>
      </c>
      <c r="AL42" s="81">
        <v>1</v>
      </c>
      <c r="AM42" s="81">
        <v>0</v>
      </c>
      <c r="AN42" s="81">
        <v>1</v>
      </c>
      <c r="AO42" s="81">
        <v>0</v>
      </c>
      <c r="AP42" s="81">
        <v>1</v>
      </c>
      <c r="AQ42" s="81">
        <v>0</v>
      </c>
      <c r="AR42" s="81">
        <v>1</v>
      </c>
      <c r="AS42" s="81">
        <v>0</v>
      </c>
      <c r="AT42" s="81">
        <v>1</v>
      </c>
      <c r="AU42" s="81">
        <v>0</v>
      </c>
      <c r="AV42" s="81">
        <v>1</v>
      </c>
      <c r="AW42" s="81">
        <v>0</v>
      </c>
      <c r="AX42" s="81">
        <v>0</v>
      </c>
      <c r="AY42" s="81">
        <v>0</v>
      </c>
      <c r="AZ42" s="81">
        <v>1</v>
      </c>
      <c r="BA42" s="81">
        <v>1</v>
      </c>
      <c r="BB42" s="81">
        <v>0</v>
      </c>
      <c r="BC42" s="81">
        <v>0</v>
      </c>
      <c r="BD42" s="81">
        <v>0</v>
      </c>
      <c r="BE42" s="81">
        <v>0</v>
      </c>
      <c r="BF42" s="81">
        <v>0</v>
      </c>
      <c r="BG42" s="81">
        <v>0</v>
      </c>
      <c r="BH42" s="81">
        <v>0</v>
      </c>
      <c r="BI42" s="81">
        <v>0</v>
      </c>
      <c r="BJ42" s="81">
        <v>0</v>
      </c>
      <c r="BK42" s="81">
        <v>1</v>
      </c>
      <c r="BL42" s="81">
        <v>0</v>
      </c>
      <c r="BM42" s="81">
        <v>0</v>
      </c>
      <c r="BN42" s="81">
        <v>0</v>
      </c>
      <c r="BO42" s="81">
        <v>3</v>
      </c>
      <c r="BP42" s="81">
        <v>2</v>
      </c>
      <c r="BQ42" s="81">
        <v>2</v>
      </c>
      <c r="BR42" s="81">
        <v>2</v>
      </c>
      <c r="BS42" s="81">
        <v>3</v>
      </c>
      <c r="BT42" s="81">
        <v>2</v>
      </c>
      <c r="BU42" s="81">
        <v>2</v>
      </c>
      <c r="BV42" s="81">
        <v>1</v>
      </c>
      <c r="BW42" s="81">
        <v>2</v>
      </c>
      <c r="BX42" s="81">
        <v>2</v>
      </c>
      <c r="BY42" s="81">
        <v>2</v>
      </c>
      <c r="BZ42" s="81">
        <v>1</v>
      </c>
      <c r="CA42" s="81">
        <v>3</v>
      </c>
      <c r="CB42" s="81">
        <v>3</v>
      </c>
      <c r="CC42" s="81">
        <v>3</v>
      </c>
      <c r="CD42" s="81">
        <v>2</v>
      </c>
      <c r="CE42" s="81">
        <v>2</v>
      </c>
      <c r="CF42" s="81">
        <v>2</v>
      </c>
      <c r="CG42" s="81">
        <v>3</v>
      </c>
      <c r="CH42" s="81">
        <v>0</v>
      </c>
      <c r="CI42" s="81">
        <v>1</v>
      </c>
      <c r="CJ42" s="81">
        <v>0</v>
      </c>
      <c r="CK42" s="81">
        <v>0</v>
      </c>
      <c r="CL42" s="81">
        <v>0</v>
      </c>
      <c r="CM42" s="81">
        <v>1</v>
      </c>
      <c r="CN42" s="81">
        <v>0</v>
      </c>
      <c r="CO42" s="81">
        <v>2</v>
      </c>
      <c r="CP42" s="81">
        <v>2</v>
      </c>
      <c r="CQ42" s="81">
        <v>2</v>
      </c>
      <c r="CR42" s="81">
        <v>2</v>
      </c>
      <c r="CS42" s="81">
        <v>3</v>
      </c>
      <c r="CT42" s="81">
        <v>2</v>
      </c>
      <c r="CU42" s="81">
        <v>0</v>
      </c>
      <c r="CV42" s="81">
        <v>1</v>
      </c>
      <c r="CW42" s="81">
        <v>0</v>
      </c>
      <c r="CX42" s="81">
        <v>1</v>
      </c>
      <c r="CY42" s="81">
        <v>1</v>
      </c>
      <c r="CZ42" s="81">
        <v>0</v>
      </c>
      <c r="DA42" s="81">
        <v>1</v>
      </c>
    </row>
    <row r="43" spans="1:105" ht="12" customHeight="1" x14ac:dyDescent="0.3">
      <c r="A43" s="81" t="s">
        <v>585</v>
      </c>
      <c r="B43" s="81" t="s">
        <v>1438</v>
      </c>
      <c r="C43" s="81" t="s">
        <v>1441</v>
      </c>
      <c r="D43" s="81" t="s">
        <v>586</v>
      </c>
      <c r="E43" s="81" t="s">
        <v>395</v>
      </c>
      <c r="F43" s="81" t="s">
        <v>395</v>
      </c>
      <c r="G43" s="81"/>
      <c r="H43" s="94">
        <v>24</v>
      </c>
      <c r="I43" s="81" t="s">
        <v>12</v>
      </c>
      <c r="J43" s="81" t="s">
        <v>466</v>
      </c>
      <c r="K43" s="81">
        <v>24</v>
      </c>
      <c r="L43" s="81" t="s">
        <v>435</v>
      </c>
      <c r="M43" s="81" t="s">
        <v>468</v>
      </c>
      <c r="N43" s="81" t="s">
        <v>1430</v>
      </c>
      <c r="O43" s="81" t="s">
        <v>1442</v>
      </c>
      <c r="P43" s="81" t="s">
        <v>414</v>
      </c>
      <c r="Q43" s="81" t="s">
        <v>574</v>
      </c>
      <c r="R43" s="81">
        <v>0</v>
      </c>
      <c r="S43" s="81">
        <v>1</v>
      </c>
      <c r="T43" s="81">
        <v>0</v>
      </c>
      <c r="U43" s="81">
        <v>0</v>
      </c>
      <c r="V43" s="81">
        <v>0</v>
      </c>
      <c r="W43" s="81">
        <v>0</v>
      </c>
      <c r="X43" s="81">
        <v>0</v>
      </c>
      <c r="Y43" s="81">
        <v>1</v>
      </c>
      <c r="Z43" s="81">
        <v>0</v>
      </c>
      <c r="AA43" s="81">
        <v>0</v>
      </c>
      <c r="AB43" s="81">
        <v>0</v>
      </c>
      <c r="AC43" s="81">
        <v>0</v>
      </c>
      <c r="AD43" s="81">
        <v>0</v>
      </c>
      <c r="AE43" s="81">
        <v>0</v>
      </c>
      <c r="AF43" s="81">
        <v>0</v>
      </c>
      <c r="AG43" s="81">
        <v>0</v>
      </c>
      <c r="AH43" s="81">
        <v>0</v>
      </c>
      <c r="AI43" s="81">
        <v>0</v>
      </c>
      <c r="AJ43" s="81">
        <v>0</v>
      </c>
      <c r="AK43" s="81">
        <v>0</v>
      </c>
      <c r="AL43" s="81">
        <v>1</v>
      </c>
      <c r="AM43" s="81">
        <v>0</v>
      </c>
      <c r="AN43" s="81">
        <v>1</v>
      </c>
      <c r="AO43" s="81">
        <v>0</v>
      </c>
      <c r="AP43" s="81">
        <v>1</v>
      </c>
      <c r="AQ43" s="81">
        <v>0</v>
      </c>
      <c r="AR43" s="81">
        <v>1</v>
      </c>
      <c r="AS43" s="81">
        <v>0</v>
      </c>
      <c r="AT43" s="81">
        <v>1</v>
      </c>
      <c r="AU43" s="81">
        <v>0</v>
      </c>
      <c r="AV43" s="81">
        <v>1</v>
      </c>
      <c r="AW43" s="81">
        <v>0</v>
      </c>
      <c r="AX43" s="81">
        <v>0</v>
      </c>
      <c r="AY43" s="81">
        <v>0</v>
      </c>
      <c r="AZ43" s="81">
        <v>1</v>
      </c>
      <c r="BA43" s="81">
        <v>1</v>
      </c>
      <c r="BB43" s="81">
        <v>0</v>
      </c>
      <c r="BC43" s="81">
        <v>0</v>
      </c>
      <c r="BD43" s="81">
        <v>0</v>
      </c>
      <c r="BE43" s="81">
        <v>0</v>
      </c>
      <c r="BF43" s="81">
        <v>0</v>
      </c>
      <c r="BG43" s="81">
        <v>0</v>
      </c>
      <c r="BH43" s="81">
        <v>0</v>
      </c>
      <c r="BI43" s="81">
        <v>0</v>
      </c>
      <c r="BJ43" s="81">
        <v>0</v>
      </c>
      <c r="BK43" s="81">
        <v>1</v>
      </c>
      <c r="BL43" s="81">
        <v>0</v>
      </c>
      <c r="BM43" s="81">
        <v>0</v>
      </c>
      <c r="BN43" s="81">
        <v>0</v>
      </c>
      <c r="BO43" s="81">
        <v>3</v>
      </c>
      <c r="BP43" s="81">
        <v>2</v>
      </c>
      <c r="BQ43" s="81">
        <v>2</v>
      </c>
      <c r="BR43" s="81">
        <v>2</v>
      </c>
      <c r="BS43" s="81">
        <v>3</v>
      </c>
      <c r="BT43" s="81">
        <v>2</v>
      </c>
      <c r="BU43" s="81">
        <v>2</v>
      </c>
      <c r="BV43" s="81">
        <v>1</v>
      </c>
      <c r="BW43" s="81">
        <v>2</v>
      </c>
      <c r="BX43" s="81">
        <v>2</v>
      </c>
      <c r="BY43" s="81">
        <v>2</v>
      </c>
      <c r="BZ43" s="81">
        <v>1</v>
      </c>
      <c r="CA43" s="81">
        <v>3</v>
      </c>
      <c r="CB43" s="81">
        <v>3</v>
      </c>
      <c r="CC43" s="81">
        <v>3</v>
      </c>
      <c r="CD43" s="81">
        <v>2</v>
      </c>
      <c r="CE43" s="81">
        <v>2</v>
      </c>
      <c r="CF43" s="81">
        <v>2</v>
      </c>
      <c r="CG43" s="81">
        <v>3</v>
      </c>
      <c r="CH43" s="81">
        <v>0</v>
      </c>
      <c r="CI43" s="81">
        <v>1</v>
      </c>
      <c r="CJ43" s="81">
        <v>0</v>
      </c>
      <c r="CK43" s="81">
        <v>0</v>
      </c>
      <c r="CL43" s="81">
        <v>0</v>
      </c>
      <c r="CM43" s="81">
        <v>1</v>
      </c>
      <c r="CN43" s="81">
        <v>0</v>
      </c>
      <c r="CO43" s="81">
        <v>2</v>
      </c>
      <c r="CP43" s="81">
        <v>2</v>
      </c>
      <c r="CQ43" s="81">
        <v>2</v>
      </c>
      <c r="CR43" s="81">
        <v>2</v>
      </c>
      <c r="CS43" s="81">
        <v>3</v>
      </c>
      <c r="CT43" s="81">
        <v>2</v>
      </c>
      <c r="CU43" s="81">
        <v>0</v>
      </c>
      <c r="CV43" s="81">
        <v>1</v>
      </c>
      <c r="CW43" s="81">
        <v>0</v>
      </c>
      <c r="CX43" s="81">
        <v>1</v>
      </c>
      <c r="CY43" s="81">
        <v>1</v>
      </c>
      <c r="CZ43" s="81">
        <v>0</v>
      </c>
      <c r="DA43" s="81">
        <v>1</v>
      </c>
    </row>
    <row r="44" spans="1:105" ht="12" customHeight="1" x14ac:dyDescent="0.3">
      <c r="A44" s="81" t="s">
        <v>587</v>
      </c>
      <c r="B44" s="81" t="s">
        <v>1438</v>
      </c>
      <c r="C44" s="81" t="s">
        <v>1441</v>
      </c>
      <c r="D44" s="81" t="s">
        <v>588</v>
      </c>
      <c r="E44" s="81" t="s">
        <v>395</v>
      </c>
      <c r="F44" s="81" t="s">
        <v>395</v>
      </c>
      <c r="G44" s="81"/>
      <c r="H44" s="94">
        <v>24</v>
      </c>
      <c r="I44" s="81" t="s">
        <v>12</v>
      </c>
      <c r="J44" s="81" t="s">
        <v>466</v>
      </c>
      <c r="K44" s="81">
        <v>24</v>
      </c>
      <c r="L44" s="81" t="s">
        <v>435</v>
      </c>
      <c r="M44" s="81" t="s">
        <v>468</v>
      </c>
      <c r="N44" s="81" t="s">
        <v>1430</v>
      </c>
      <c r="O44" s="81" t="s">
        <v>1442</v>
      </c>
      <c r="P44" s="81" t="s">
        <v>414</v>
      </c>
      <c r="Q44" s="81" t="s">
        <v>574</v>
      </c>
      <c r="R44" s="81">
        <v>0</v>
      </c>
      <c r="S44" s="81">
        <v>1</v>
      </c>
      <c r="T44" s="81">
        <v>0</v>
      </c>
      <c r="U44" s="81">
        <v>0</v>
      </c>
      <c r="V44" s="81">
        <v>0</v>
      </c>
      <c r="W44" s="81">
        <v>0</v>
      </c>
      <c r="X44" s="81">
        <v>0</v>
      </c>
      <c r="Y44" s="81">
        <v>1</v>
      </c>
      <c r="Z44" s="81">
        <v>0</v>
      </c>
      <c r="AA44" s="81">
        <v>0</v>
      </c>
      <c r="AB44" s="81">
        <v>0</v>
      </c>
      <c r="AC44" s="81">
        <v>0</v>
      </c>
      <c r="AD44" s="81">
        <v>0</v>
      </c>
      <c r="AE44" s="81">
        <v>0</v>
      </c>
      <c r="AF44" s="81">
        <v>0</v>
      </c>
      <c r="AG44" s="81">
        <v>0</v>
      </c>
      <c r="AH44" s="81">
        <v>0</v>
      </c>
      <c r="AI44" s="81">
        <v>0</v>
      </c>
      <c r="AJ44" s="81">
        <v>0</v>
      </c>
      <c r="AK44" s="81">
        <v>0</v>
      </c>
      <c r="AL44" s="81">
        <v>1</v>
      </c>
      <c r="AM44" s="81">
        <v>0</v>
      </c>
      <c r="AN44" s="81">
        <v>1</v>
      </c>
      <c r="AO44" s="81">
        <v>0</v>
      </c>
      <c r="AP44" s="81">
        <v>1</v>
      </c>
      <c r="AQ44" s="81">
        <v>0</v>
      </c>
      <c r="AR44" s="81">
        <v>1</v>
      </c>
      <c r="AS44" s="81">
        <v>0</v>
      </c>
      <c r="AT44" s="81">
        <v>1</v>
      </c>
      <c r="AU44" s="81">
        <v>0</v>
      </c>
      <c r="AV44" s="81">
        <v>1</v>
      </c>
      <c r="AW44" s="81">
        <v>0</v>
      </c>
      <c r="AX44" s="81">
        <v>0</v>
      </c>
      <c r="AY44" s="81">
        <v>0</v>
      </c>
      <c r="AZ44" s="81">
        <v>1</v>
      </c>
      <c r="BA44" s="81">
        <v>1</v>
      </c>
      <c r="BB44" s="81">
        <v>0</v>
      </c>
      <c r="BC44" s="81">
        <v>0</v>
      </c>
      <c r="BD44" s="81">
        <v>0</v>
      </c>
      <c r="BE44" s="81">
        <v>0</v>
      </c>
      <c r="BF44" s="81">
        <v>0</v>
      </c>
      <c r="BG44" s="81">
        <v>0</v>
      </c>
      <c r="BH44" s="81">
        <v>0</v>
      </c>
      <c r="BI44" s="81">
        <v>0</v>
      </c>
      <c r="BJ44" s="81">
        <v>0</v>
      </c>
      <c r="BK44" s="81">
        <v>1</v>
      </c>
      <c r="BL44" s="81">
        <v>0</v>
      </c>
      <c r="BM44" s="81">
        <v>0</v>
      </c>
      <c r="BN44" s="81">
        <v>0</v>
      </c>
      <c r="BO44" s="81">
        <v>3</v>
      </c>
      <c r="BP44" s="81">
        <v>2</v>
      </c>
      <c r="BQ44" s="81">
        <v>2</v>
      </c>
      <c r="BR44" s="81">
        <v>2</v>
      </c>
      <c r="BS44" s="81">
        <v>3</v>
      </c>
      <c r="BT44" s="81">
        <v>2</v>
      </c>
      <c r="BU44" s="81">
        <v>2</v>
      </c>
      <c r="BV44" s="81">
        <v>1</v>
      </c>
      <c r="BW44" s="81">
        <v>2</v>
      </c>
      <c r="BX44" s="81">
        <v>2</v>
      </c>
      <c r="BY44" s="81">
        <v>2</v>
      </c>
      <c r="BZ44" s="81">
        <v>1</v>
      </c>
      <c r="CA44" s="81">
        <v>3</v>
      </c>
      <c r="CB44" s="81">
        <v>3</v>
      </c>
      <c r="CC44" s="81">
        <v>3</v>
      </c>
      <c r="CD44" s="81">
        <v>2</v>
      </c>
      <c r="CE44" s="81">
        <v>2</v>
      </c>
      <c r="CF44" s="81">
        <v>2</v>
      </c>
      <c r="CG44" s="81">
        <v>3</v>
      </c>
      <c r="CH44" s="81">
        <v>0</v>
      </c>
      <c r="CI44" s="81">
        <v>1</v>
      </c>
      <c r="CJ44" s="81">
        <v>0</v>
      </c>
      <c r="CK44" s="81">
        <v>0</v>
      </c>
      <c r="CL44" s="81">
        <v>0</v>
      </c>
      <c r="CM44" s="81">
        <v>1</v>
      </c>
      <c r="CN44" s="81">
        <v>0</v>
      </c>
      <c r="CO44" s="81">
        <v>2</v>
      </c>
      <c r="CP44" s="81">
        <v>2</v>
      </c>
      <c r="CQ44" s="81">
        <v>2</v>
      </c>
      <c r="CR44" s="81">
        <v>2</v>
      </c>
      <c r="CS44" s="81">
        <v>3</v>
      </c>
      <c r="CT44" s="81">
        <v>2</v>
      </c>
      <c r="CU44" s="81">
        <v>0</v>
      </c>
      <c r="CV44" s="81">
        <v>1</v>
      </c>
      <c r="CW44" s="81">
        <v>0</v>
      </c>
      <c r="CX44" s="81">
        <v>1</v>
      </c>
      <c r="CY44" s="81">
        <v>1</v>
      </c>
      <c r="CZ44" s="81">
        <v>0</v>
      </c>
      <c r="DA44" s="81">
        <v>1</v>
      </c>
    </row>
    <row r="45" spans="1:105" ht="12" customHeight="1" x14ac:dyDescent="0.3">
      <c r="A45" s="81" t="s">
        <v>589</v>
      </c>
      <c r="B45" s="81" t="s">
        <v>1438</v>
      </c>
      <c r="C45" s="81" t="s">
        <v>1441</v>
      </c>
      <c r="D45" s="81" t="s">
        <v>590</v>
      </c>
      <c r="E45" s="81" t="s">
        <v>395</v>
      </c>
      <c r="F45" s="81" t="s">
        <v>395</v>
      </c>
      <c r="G45" s="81"/>
      <c r="H45" s="94">
        <v>24</v>
      </c>
      <c r="I45" s="81" t="s">
        <v>12</v>
      </c>
      <c r="J45" s="81" t="s">
        <v>466</v>
      </c>
      <c r="K45" s="81">
        <v>24</v>
      </c>
      <c r="L45" s="81" t="s">
        <v>435</v>
      </c>
      <c r="M45" s="81" t="s">
        <v>468</v>
      </c>
      <c r="N45" s="81" t="s">
        <v>1430</v>
      </c>
      <c r="O45" s="81" t="s">
        <v>1442</v>
      </c>
      <c r="P45" s="81" t="s">
        <v>414</v>
      </c>
      <c r="Q45" s="81" t="s">
        <v>574</v>
      </c>
      <c r="R45" s="81">
        <v>0</v>
      </c>
      <c r="S45" s="81">
        <v>1</v>
      </c>
      <c r="T45" s="81">
        <v>0</v>
      </c>
      <c r="U45" s="81">
        <v>0</v>
      </c>
      <c r="V45" s="81">
        <v>0</v>
      </c>
      <c r="W45" s="81">
        <v>0</v>
      </c>
      <c r="X45" s="81">
        <v>0</v>
      </c>
      <c r="Y45" s="81">
        <v>1</v>
      </c>
      <c r="Z45" s="81">
        <v>0</v>
      </c>
      <c r="AA45" s="81">
        <v>0</v>
      </c>
      <c r="AB45" s="81">
        <v>0</v>
      </c>
      <c r="AC45" s="81">
        <v>0</v>
      </c>
      <c r="AD45" s="81">
        <v>0</v>
      </c>
      <c r="AE45" s="81">
        <v>0</v>
      </c>
      <c r="AF45" s="81">
        <v>0</v>
      </c>
      <c r="AG45" s="81">
        <v>0</v>
      </c>
      <c r="AH45" s="81">
        <v>0</v>
      </c>
      <c r="AI45" s="81">
        <v>0</v>
      </c>
      <c r="AJ45" s="81">
        <v>0</v>
      </c>
      <c r="AK45" s="81">
        <v>0</v>
      </c>
      <c r="AL45" s="81">
        <v>1</v>
      </c>
      <c r="AM45" s="81">
        <v>0</v>
      </c>
      <c r="AN45" s="81">
        <v>1</v>
      </c>
      <c r="AO45" s="81">
        <v>0</v>
      </c>
      <c r="AP45" s="81">
        <v>1</v>
      </c>
      <c r="AQ45" s="81">
        <v>0</v>
      </c>
      <c r="AR45" s="81">
        <v>1</v>
      </c>
      <c r="AS45" s="81">
        <v>0</v>
      </c>
      <c r="AT45" s="81">
        <v>1</v>
      </c>
      <c r="AU45" s="81">
        <v>0</v>
      </c>
      <c r="AV45" s="81">
        <v>1</v>
      </c>
      <c r="AW45" s="81">
        <v>0</v>
      </c>
      <c r="AX45" s="81">
        <v>0</v>
      </c>
      <c r="AY45" s="81">
        <v>0</v>
      </c>
      <c r="AZ45" s="81">
        <v>1</v>
      </c>
      <c r="BA45" s="81">
        <v>1</v>
      </c>
      <c r="BB45" s="81">
        <v>0</v>
      </c>
      <c r="BC45" s="81">
        <v>0</v>
      </c>
      <c r="BD45" s="81">
        <v>0</v>
      </c>
      <c r="BE45" s="81">
        <v>0</v>
      </c>
      <c r="BF45" s="81">
        <v>0</v>
      </c>
      <c r="BG45" s="81">
        <v>0</v>
      </c>
      <c r="BH45" s="81">
        <v>0</v>
      </c>
      <c r="BI45" s="81">
        <v>0</v>
      </c>
      <c r="BJ45" s="81">
        <v>0</v>
      </c>
      <c r="BK45" s="81">
        <v>1</v>
      </c>
      <c r="BL45" s="81">
        <v>0</v>
      </c>
      <c r="BM45" s="81">
        <v>0</v>
      </c>
      <c r="BN45" s="81">
        <v>0</v>
      </c>
      <c r="BO45" s="81">
        <v>3</v>
      </c>
      <c r="BP45" s="81">
        <v>2</v>
      </c>
      <c r="BQ45" s="81">
        <v>2</v>
      </c>
      <c r="BR45" s="81">
        <v>2</v>
      </c>
      <c r="BS45" s="81">
        <v>3</v>
      </c>
      <c r="BT45" s="81">
        <v>2</v>
      </c>
      <c r="BU45" s="81">
        <v>2</v>
      </c>
      <c r="BV45" s="81">
        <v>1</v>
      </c>
      <c r="BW45" s="81">
        <v>2</v>
      </c>
      <c r="BX45" s="81">
        <v>2</v>
      </c>
      <c r="BY45" s="81">
        <v>2</v>
      </c>
      <c r="BZ45" s="81">
        <v>1</v>
      </c>
      <c r="CA45" s="81">
        <v>3</v>
      </c>
      <c r="CB45" s="81">
        <v>3</v>
      </c>
      <c r="CC45" s="81">
        <v>3</v>
      </c>
      <c r="CD45" s="81">
        <v>2</v>
      </c>
      <c r="CE45" s="81">
        <v>2</v>
      </c>
      <c r="CF45" s="81">
        <v>2</v>
      </c>
      <c r="CG45" s="81">
        <v>3</v>
      </c>
      <c r="CH45" s="81">
        <v>0</v>
      </c>
      <c r="CI45" s="81">
        <v>1</v>
      </c>
      <c r="CJ45" s="81">
        <v>0</v>
      </c>
      <c r="CK45" s="81">
        <v>0</v>
      </c>
      <c r="CL45" s="81">
        <v>0</v>
      </c>
      <c r="CM45" s="81">
        <v>1</v>
      </c>
      <c r="CN45" s="81">
        <v>0</v>
      </c>
      <c r="CO45" s="81">
        <v>2</v>
      </c>
      <c r="CP45" s="81">
        <v>2</v>
      </c>
      <c r="CQ45" s="81">
        <v>2</v>
      </c>
      <c r="CR45" s="81">
        <v>2</v>
      </c>
      <c r="CS45" s="81">
        <v>3</v>
      </c>
      <c r="CT45" s="81">
        <v>2</v>
      </c>
      <c r="CU45" s="81">
        <v>0</v>
      </c>
      <c r="CV45" s="81">
        <v>1</v>
      </c>
      <c r="CW45" s="81">
        <v>0</v>
      </c>
      <c r="CX45" s="81">
        <v>1</v>
      </c>
      <c r="CY45" s="81">
        <v>1</v>
      </c>
      <c r="CZ45" s="81">
        <v>0</v>
      </c>
      <c r="DA45" s="81">
        <v>1</v>
      </c>
    </row>
    <row r="46" spans="1:105" ht="12" customHeight="1" x14ac:dyDescent="0.3">
      <c r="A46" s="81" t="s">
        <v>591</v>
      </c>
      <c r="B46" s="81" t="s">
        <v>1438</v>
      </c>
      <c r="C46" s="81" t="s">
        <v>1441</v>
      </c>
      <c r="D46" s="81" t="s">
        <v>592</v>
      </c>
      <c r="E46" s="81" t="s">
        <v>395</v>
      </c>
      <c r="F46" s="81" t="s">
        <v>395</v>
      </c>
      <c r="G46" s="81"/>
      <c r="H46" s="94">
        <v>24</v>
      </c>
      <c r="I46" s="81" t="s">
        <v>12</v>
      </c>
      <c r="J46" s="81" t="s">
        <v>466</v>
      </c>
      <c r="K46" s="81">
        <v>24</v>
      </c>
      <c r="L46" s="81" t="s">
        <v>435</v>
      </c>
      <c r="M46" s="81" t="s">
        <v>468</v>
      </c>
      <c r="N46" s="81" t="s">
        <v>1430</v>
      </c>
      <c r="O46" s="81" t="s">
        <v>1442</v>
      </c>
      <c r="P46" s="81" t="s">
        <v>414</v>
      </c>
      <c r="Q46" s="81" t="s">
        <v>574</v>
      </c>
      <c r="R46" s="81">
        <v>0</v>
      </c>
      <c r="S46" s="81">
        <v>1</v>
      </c>
      <c r="T46" s="81">
        <v>0</v>
      </c>
      <c r="U46" s="81">
        <v>0</v>
      </c>
      <c r="V46" s="81">
        <v>0</v>
      </c>
      <c r="W46" s="81">
        <v>0</v>
      </c>
      <c r="X46" s="81">
        <v>0</v>
      </c>
      <c r="Y46" s="81">
        <v>1</v>
      </c>
      <c r="Z46" s="81">
        <v>0</v>
      </c>
      <c r="AA46" s="81">
        <v>0</v>
      </c>
      <c r="AB46" s="81">
        <v>0</v>
      </c>
      <c r="AC46" s="81">
        <v>0</v>
      </c>
      <c r="AD46" s="81">
        <v>0</v>
      </c>
      <c r="AE46" s="81">
        <v>0</v>
      </c>
      <c r="AF46" s="81">
        <v>0</v>
      </c>
      <c r="AG46" s="81">
        <v>0</v>
      </c>
      <c r="AH46" s="81">
        <v>0</v>
      </c>
      <c r="AI46" s="81">
        <v>0</v>
      </c>
      <c r="AJ46" s="81">
        <v>0</v>
      </c>
      <c r="AK46" s="81">
        <v>0</v>
      </c>
      <c r="AL46" s="81">
        <v>1</v>
      </c>
      <c r="AM46" s="81">
        <v>0</v>
      </c>
      <c r="AN46" s="81">
        <v>1</v>
      </c>
      <c r="AO46" s="81">
        <v>0</v>
      </c>
      <c r="AP46" s="81">
        <v>1</v>
      </c>
      <c r="AQ46" s="81">
        <v>0</v>
      </c>
      <c r="AR46" s="81">
        <v>1</v>
      </c>
      <c r="AS46" s="81">
        <v>0</v>
      </c>
      <c r="AT46" s="81">
        <v>1</v>
      </c>
      <c r="AU46" s="81">
        <v>0</v>
      </c>
      <c r="AV46" s="81">
        <v>1</v>
      </c>
      <c r="AW46" s="81">
        <v>0</v>
      </c>
      <c r="AX46" s="81">
        <v>0</v>
      </c>
      <c r="AY46" s="81">
        <v>0</v>
      </c>
      <c r="AZ46" s="81">
        <v>1</v>
      </c>
      <c r="BA46" s="81">
        <v>1</v>
      </c>
      <c r="BB46" s="81">
        <v>0</v>
      </c>
      <c r="BC46" s="81">
        <v>0</v>
      </c>
      <c r="BD46" s="81">
        <v>0</v>
      </c>
      <c r="BE46" s="81">
        <v>0</v>
      </c>
      <c r="BF46" s="81">
        <v>0</v>
      </c>
      <c r="BG46" s="81">
        <v>0</v>
      </c>
      <c r="BH46" s="81">
        <v>0</v>
      </c>
      <c r="BI46" s="81">
        <v>0</v>
      </c>
      <c r="BJ46" s="81">
        <v>0</v>
      </c>
      <c r="BK46" s="81">
        <v>1</v>
      </c>
      <c r="BL46" s="81">
        <v>0</v>
      </c>
      <c r="BM46" s="81">
        <v>0</v>
      </c>
      <c r="BN46" s="81">
        <v>0</v>
      </c>
      <c r="BO46" s="81">
        <v>3</v>
      </c>
      <c r="BP46" s="81">
        <v>2</v>
      </c>
      <c r="BQ46" s="81">
        <v>2</v>
      </c>
      <c r="BR46" s="81">
        <v>2</v>
      </c>
      <c r="BS46" s="81">
        <v>3</v>
      </c>
      <c r="BT46" s="81">
        <v>2</v>
      </c>
      <c r="BU46" s="81">
        <v>2</v>
      </c>
      <c r="BV46" s="81">
        <v>1</v>
      </c>
      <c r="BW46" s="81">
        <v>2</v>
      </c>
      <c r="BX46" s="81">
        <v>2</v>
      </c>
      <c r="BY46" s="81">
        <v>2</v>
      </c>
      <c r="BZ46" s="81">
        <v>1</v>
      </c>
      <c r="CA46" s="81">
        <v>3</v>
      </c>
      <c r="CB46" s="81">
        <v>3</v>
      </c>
      <c r="CC46" s="81">
        <v>3</v>
      </c>
      <c r="CD46" s="81">
        <v>2</v>
      </c>
      <c r="CE46" s="81">
        <v>2</v>
      </c>
      <c r="CF46" s="81">
        <v>2</v>
      </c>
      <c r="CG46" s="81">
        <v>3</v>
      </c>
      <c r="CH46" s="81">
        <v>0</v>
      </c>
      <c r="CI46" s="81">
        <v>1</v>
      </c>
      <c r="CJ46" s="81">
        <v>0</v>
      </c>
      <c r="CK46" s="81">
        <v>0</v>
      </c>
      <c r="CL46" s="81">
        <v>0</v>
      </c>
      <c r="CM46" s="81">
        <v>1</v>
      </c>
      <c r="CN46" s="81">
        <v>0</v>
      </c>
      <c r="CO46" s="81">
        <v>2</v>
      </c>
      <c r="CP46" s="81">
        <v>2</v>
      </c>
      <c r="CQ46" s="81">
        <v>2</v>
      </c>
      <c r="CR46" s="81">
        <v>2</v>
      </c>
      <c r="CS46" s="81">
        <v>3</v>
      </c>
      <c r="CT46" s="81">
        <v>2</v>
      </c>
      <c r="CU46" s="81">
        <v>0</v>
      </c>
      <c r="CV46" s="81">
        <v>1</v>
      </c>
      <c r="CW46" s="81">
        <v>0</v>
      </c>
      <c r="CX46" s="81">
        <v>1</v>
      </c>
      <c r="CY46" s="81">
        <v>1</v>
      </c>
      <c r="CZ46" s="81">
        <v>0</v>
      </c>
      <c r="DA46" s="81">
        <v>1</v>
      </c>
    </row>
    <row r="47" spans="1:105" ht="12" customHeight="1" x14ac:dyDescent="0.3">
      <c r="A47" s="81" t="s">
        <v>593</v>
      </c>
      <c r="B47" s="81" t="s">
        <v>1438</v>
      </c>
      <c r="C47" s="81" t="s">
        <v>1441</v>
      </c>
      <c r="D47" s="81" t="s">
        <v>594</v>
      </c>
      <c r="E47" s="81" t="s">
        <v>395</v>
      </c>
      <c r="F47" s="81" t="s">
        <v>395</v>
      </c>
      <c r="G47" s="81"/>
      <c r="H47" s="94">
        <v>24</v>
      </c>
      <c r="I47" s="81" t="s">
        <v>12</v>
      </c>
      <c r="J47" s="81" t="s">
        <v>466</v>
      </c>
      <c r="K47" s="81">
        <v>24</v>
      </c>
      <c r="L47" s="81" t="s">
        <v>435</v>
      </c>
      <c r="M47" s="81" t="s">
        <v>468</v>
      </c>
      <c r="N47" s="81" t="s">
        <v>1430</v>
      </c>
      <c r="O47" s="81" t="s">
        <v>1442</v>
      </c>
      <c r="P47" s="81" t="s">
        <v>414</v>
      </c>
      <c r="Q47" s="81" t="s">
        <v>574</v>
      </c>
      <c r="R47" s="81">
        <v>0</v>
      </c>
      <c r="S47" s="81">
        <v>1</v>
      </c>
      <c r="T47" s="81">
        <v>0</v>
      </c>
      <c r="U47" s="81">
        <v>0</v>
      </c>
      <c r="V47" s="81">
        <v>0</v>
      </c>
      <c r="W47" s="81">
        <v>0</v>
      </c>
      <c r="X47" s="81">
        <v>0</v>
      </c>
      <c r="Y47" s="81">
        <v>1</v>
      </c>
      <c r="Z47" s="81">
        <v>0</v>
      </c>
      <c r="AA47" s="81">
        <v>0</v>
      </c>
      <c r="AB47" s="81">
        <v>0</v>
      </c>
      <c r="AC47" s="81">
        <v>0</v>
      </c>
      <c r="AD47" s="81">
        <v>0</v>
      </c>
      <c r="AE47" s="81">
        <v>0</v>
      </c>
      <c r="AF47" s="81">
        <v>0</v>
      </c>
      <c r="AG47" s="81">
        <v>0</v>
      </c>
      <c r="AH47" s="81">
        <v>0</v>
      </c>
      <c r="AI47" s="81">
        <v>0</v>
      </c>
      <c r="AJ47" s="81">
        <v>0</v>
      </c>
      <c r="AK47" s="81">
        <v>0</v>
      </c>
      <c r="AL47" s="81">
        <v>1</v>
      </c>
      <c r="AM47" s="81">
        <v>0</v>
      </c>
      <c r="AN47" s="81">
        <v>1</v>
      </c>
      <c r="AO47" s="81">
        <v>0</v>
      </c>
      <c r="AP47" s="81">
        <v>1</v>
      </c>
      <c r="AQ47" s="81">
        <v>0</v>
      </c>
      <c r="AR47" s="81">
        <v>1</v>
      </c>
      <c r="AS47" s="81">
        <v>0</v>
      </c>
      <c r="AT47" s="81">
        <v>1</v>
      </c>
      <c r="AU47" s="81">
        <v>0</v>
      </c>
      <c r="AV47" s="81">
        <v>1</v>
      </c>
      <c r="AW47" s="81">
        <v>0</v>
      </c>
      <c r="AX47" s="81">
        <v>0</v>
      </c>
      <c r="AY47" s="81">
        <v>0</v>
      </c>
      <c r="AZ47" s="81">
        <v>1</v>
      </c>
      <c r="BA47" s="81">
        <v>1</v>
      </c>
      <c r="BB47" s="81">
        <v>0</v>
      </c>
      <c r="BC47" s="81">
        <v>0</v>
      </c>
      <c r="BD47" s="81">
        <v>0</v>
      </c>
      <c r="BE47" s="81">
        <v>0</v>
      </c>
      <c r="BF47" s="81">
        <v>0</v>
      </c>
      <c r="BG47" s="81">
        <v>0</v>
      </c>
      <c r="BH47" s="81">
        <v>0</v>
      </c>
      <c r="BI47" s="81">
        <v>0</v>
      </c>
      <c r="BJ47" s="81">
        <v>0</v>
      </c>
      <c r="BK47" s="81">
        <v>1</v>
      </c>
      <c r="BL47" s="81">
        <v>0</v>
      </c>
      <c r="BM47" s="81">
        <v>0</v>
      </c>
      <c r="BN47" s="81">
        <v>0</v>
      </c>
      <c r="BO47" s="81">
        <v>3</v>
      </c>
      <c r="BP47" s="81">
        <v>2</v>
      </c>
      <c r="BQ47" s="81">
        <v>2</v>
      </c>
      <c r="BR47" s="81">
        <v>2</v>
      </c>
      <c r="BS47" s="81">
        <v>3</v>
      </c>
      <c r="BT47" s="81">
        <v>2</v>
      </c>
      <c r="BU47" s="81">
        <v>2</v>
      </c>
      <c r="BV47" s="81">
        <v>1</v>
      </c>
      <c r="BW47" s="81">
        <v>2</v>
      </c>
      <c r="BX47" s="81">
        <v>2</v>
      </c>
      <c r="BY47" s="81">
        <v>2</v>
      </c>
      <c r="BZ47" s="81">
        <v>1</v>
      </c>
      <c r="CA47" s="81">
        <v>3</v>
      </c>
      <c r="CB47" s="81">
        <v>3</v>
      </c>
      <c r="CC47" s="81">
        <v>3</v>
      </c>
      <c r="CD47" s="81">
        <v>2</v>
      </c>
      <c r="CE47" s="81">
        <v>2</v>
      </c>
      <c r="CF47" s="81">
        <v>2</v>
      </c>
      <c r="CG47" s="81">
        <v>3</v>
      </c>
      <c r="CH47" s="81">
        <v>0</v>
      </c>
      <c r="CI47" s="81">
        <v>1</v>
      </c>
      <c r="CJ47" s="81">
        <v>0</v>
      </c>
      <c r="CK47" s="81">
        <v>0</v>
      </c>
      <c r="CL47" s="81">
        <v>0</v>
      </c>
      <c r="CM47" s="81">
        <v>1</v>
      </c>
      <c r="CN47" s="81">
        <v>0</v>
      </c>
      <c r="CO47" s="81">
        <v>2</v>
      </c>
      <c r="CP47" s="81">
        <v>2</v>
      </c>
      <c r="CQ47" s="81">
        <v>2</v>
      </c>
      <c r="CR47" s="81">
        <v>2</v>
      </c>
      <c r="CS47" s="81">
        <v>3</v>
      </c>
      <c r="CT47" s="81">
        <v>2</v>
      </c>
      <c r="CU47" s="81">
        <v>0</v>
      </c>
      <c r="CV47" s="81">
        <v>1</v>
      </c>
      <c r="CW47" s="81">
        <v>0</v>
      </c>
      <c r="CX47" s="81">
        <v>1</v>
      </c>
      <c r="CY47" s="81">
        <v>1</v>
      </c>
      <c r="CZ47" s="81">
        <v>0</v>
      </c>
      <c r="DA47" s="81">
        <v>1</v>
      </c>
    </row>
    <row r="48" spans="1:105" ht="12" customHeight="1" x14ac:dyDescent="0.3">
      <c r="A48" s="81" t="s">
        <v>595</v>
      </c>
      <c r="B48" s="81" t="s">
        <v>1438</v>
      </c>
      <c r="C48" s="81" t="s">
        <v>1441</v>
      </c>
      <c r="D48" s="81" t="s">
        <v>596</v>
      </c>
      <c r="E48" s="81" t="s">
        <v>395</v>
      </c>
      <c r="F48" s="81" t="s">
        <v>395</v>
      </c>
      <c r="G48" s="81"/>
      <c r="H48" s="94">
        <v>24</v>
      </c>
      <c r="I48" s="81" t="s">
        <v>12</v>
      </c>
      <c r="J48" s="81" t="s">
        <v>466</v>
      </c>
      <c r="K48" s="81">
        <v>24</v>
      </c>
      <c r="L48" s="81" t="s">
        <v>435</v>
      </c>
      <c r="M48" s="81" t="s">
        <v>468</v>
      </c>
      <c r="N48" s="81" t="s">
        <v>1430</v>
      </c>
      <c r="O48" s="81" t="s">
        <v>1442</v>
      </c>
      <c r="P48" s="81" t="s">
        <v>414</v>
      </c>
      <c r="Q48" s="81" t="s">
        <v>574</v>
      </c>
      <c r="R48" s="81">
        <v>0</v>
      </c>
      <c r="S48" s="81">
        <v>1</v>
      </c>
      <c r="T48" s="81">
        <v>0</v>
      </c>
      <c r="U48" s="81">
        <v>0</v>
      </c>
      <c r="V48" s="81">
        <v>0</v>
      </c>
      <c r="W48" s="81">
        <v>0</v>
      </c>
      <c r="X48" s="81">
        <v>0</v>
      </c>
      <c r="Y48" s="81">
        <v>1</v>
      </c>
      <c r="Z48" s="81">
        <v>0</v>
      </c>
      <c r="AA48" s="81">
        <v>0</v>
      </c>
      <c r="AB48" s="81">
        <v>0</v>
      </c>
      <c r="AC48" s="81">
        <v>0</v>
      </c>
      <c r="AD48" s="81">
        <v>0</v>
      </c>
      <c r="AE48" s="81">
        <v>0</v>
      </c>
      <c r="AF48" s="81">
        <v>0</v>
      </c>
      <c r="AG48" s="81">
        <v>0</v>
      </c>
      <c r="AH48" s="81">
        <v>0</v>
      </c>
      <c r="AI48" s="81">
        <v>0</v>
      </c>
      <c r="AJ48" s="81">
        <v>0</v>
      </c>
      <c r="AK48" s="81">
        <v>0</v>
      </c>
      <c r="AL48" s="81">
        <v>1</v>
      </c>
      <c r="AM48" s="81">
        <v>0</v>
      </c>
      <c r="AN48" s="81">
        <v>1</v>
      </c>
      <c r="AO48" s="81">
        <v>0</v>
      </c>
      <c r="AP48" s="81">
        <v>1</v>
      </c>
      <c r="AQ48" s="81">
        <v>0</v>
      </c>
      <c r="AR48" s="81">
        <v>1</v>
      </c>
      <c r="AS48" s="81">
        <v>0</v>
      </c>
      <c r="AT48" s="81">
        <v>1</v>
      </c>
      <c r="AU48" s="81">
        <v>0</v>
      </c>
      <c r="AV48" s="81">
        <v>1</v>
      </c>
      <c r="AW48" s="81">
        <v>0</v>
      </c>
      <c r="AX48" s="81">
        <v>0</v>
      </c>
      <c r="AY48" s="81">
        <v>0</v>
      </c>
      <c r="AZ48" s="81">
        <v>1</v>
      </c>
      <c r="BA48" s="81">
        <v>1</v>
      </c>
      <c r="BB48" s="81">
        <v>0</v>
      </c>
      <c r="BC48" s="81">
        <v>0</v>
      </c>
      <c r="BD48" s="81">
        <v>0</v>
      </c>
      <c r="BE48" s="81">
        <v>0</v>
      </c>
      <c r="BF48" s="81">
        <v>0</v>
      </c>
      <c r="BG48" s="81">
        <v>0</v>
      </c>
      <c r="BH48" s="81">
        <v>0</v>
      </c>
      <c r="BI48" s="81">
        <v>0</v>
      </c>
      <c r="BJ48" s="81">
        <v>0</v>
      </c>
      <c r="BK48" s="81">
        <v>1</v>
      </c>
      <c r="BL48" s="81">
        <v>0</v>
      </c>
      <c r="BM48" s="81">
        <v>0</v>
      </c>
      <c r="BN48" s="81">
        <v>0</v>
      </c>
      <c r="BO48" s="81">
        <v>3</v>
      </c>
      <c r="BP48" s="81">
        <v>2</v>
      </c>
      <c r="BQ48" s="81">
        <v>2</v>
      </c>
      <c r="BR48" s="81">
        <v>2</v>
      </c>
      <c r="BS48" s="81">
        <v>3</v>
      </c>
      <c r="BT48" s="81">
        <v>2</v>
      </c>
      <c r="BU48" s="81">
        <v>2</v>
      </c>
      <c r="BV48" s="81">
        <v>1</v>
      </c>
      <c r="BW48" s="81">
        <v>2</v>
      </c>
      <c r="BX48" s="81">
        <v>2</v>
      </c>
      <c r="BY48" s="81">
        <v>2</v>
      </c>
      <c r="BZ48" s="81">
        <v>1</v>
      </c>
      <c r="CA48" s="81">
        <v>3</v>
      </c>
      <c r="CB48" s="81">
        <v>3</v>
      </c>
      <c r="CC48" s="81">
        <v>3</v>
      </c>
      <c r="CD48" s="81">
        <v>2</v>
      </c>
      <c r="CE48" s="81">
        <v>2</v>
      </c>
      <c r="CF48" s="81">
        <v>2</v>
      </c>
      <c r="CG48" s="81">
        <v>3</v>
      </c>
      <c r="CH48" s="81">
        <v>0</v>
      </c>
      <c r="CI48" s="81">
        <v>1</v>
      </c>
      <c r="CJ48" s="81">
        <v>0</v>
      </c>
      <c r="CK48" s="81">
        <v>0</v>
      </c>
      <c r="CL48" s="81">
        <v>0</v>
      </c>
      <c r="CM48" s="81">
        <v>1</v>
      </c>
      <c r="CN48" s="81">
        <v>0</v>
      </c>
      <c r="CO48" s="81">
        <v>2</v>
      </c>
      <c r="CP48" s="81">
        <v>2</v>
      </c>
      <c r="CQ48" s="81">
        <v>2</v>
      </c>
      <c r="CR48" s="81">
        <v>2</v>
      </c>
      <c r="CS48" s="81">
        <v>3</v>
      </c>
      <c r="CT48" s="81">
        <v>2</v>
      </c>
      <c r="CU48" s="81">
        <v>0</v>
      </c>
      <c r="CV48" s="81">
        <v>1</v>
      </c>
      <c r="CW48" s="81">
        <v>0</v>
      </c>
      <c r="CX48" s="81">
        <v>1</v>
      </c>
      <c r="CY48" s="81">
        <v>1</v>
      </c>
      <c r="CZ48" s="81">
        <v>0</v>
      </c>
      <c r="DA48" s="81">
        <v>1</v>
      </c>
    </row>
    <row r="49" spans="1:105" ht="12" customHeight="1" x14ac:dyDescent="0.3">
      <c r="A49" s="81" t="s">
        <v>597</v>
      </c>
      <c r="B49" s="81" t="s">
        <v>1438</v>
      </c>
      <c r="C49" s="81" t="s">
        <v>1441</v>
      </c>
      <c r="D49" s="81" t="s">
        <v>598</v>
      </c>
      <c r="E49" s="81" t="s">
        <v>395</v>
      </c>
      <c r="F49" s="81" t="s">
        <v>395</v>
      </c>
      <c r="G49" s="81"/>
      <c r="H49" s="94">
        <v>24</v>
      </c>
      <c r="I49" s="81" t="s">
        <v>12</v>
      </c>
      <c r="J49" s="81" t="s">
        <v>466</v>
      </c>
      <c r="K49" s="81">
        <v>24</v>
      </c>
      <c r="L49" s="81" t="s">
        <v>435</v>
      </c>
      <c r="M49" s="81" t="s">
        <v>468</v>
      </c>
      <c r="N49" s="81" t="s">
        <v>1430</v>
      </c>
      <c r="O49" s="81" t="s">
        <v>1442</v>
      </c>
      <c r="P49" s="81" t="s">
        <v>414</v>
      </c>
      <c r="Q49" s="81" t="s">
        <v>574</v>
      </c>
      <c r="R49" s="81">
        <v>0</v>
      </c>
      <c r="S49" s="81">
        <v>1</v>
      </c>
      <c r="T49" s="81">
        <v>0</v>
      </c>
      <c r="U49" s="81">
        <v>0</v>
      </c>
      <c r="V49" s="81">
        <v>0</v>
      </c>
      <c r="W49" s="81">
        <v>0</v>
      </c>
      <c r="X49" s="81">
        <v>0</v>
      </c>
      <c r="Y49" s="81">
        <v>1</v>
      </c>
      <c r="Z49" s="81">
        <v>0</v>
      </c>
      <c r="AA49" s="81">
        <v>0</v>
      </c>
      <c r="AB49" s="81">
        <v>0</v>
      </c>
      <c r="AC49" s="81">
        <v>0</v>
      </c>
      <c r="AD49" s="81">
        <v>0</v>
      </c>
      <c r="AE49" s="81">
        <v>0</v>
      </c>
      <c r="AF49" s="81">
        <v>0</v>
      </c>
      <c r="AG49" s="81">
        <v>0</v>
      </c>
      <c r="AH49" s="81">
        <v>0</v>
      </c>
      <c r="AI49" s="81">
        <v>0</v>
      </c>
      <c r="AJ49" s="81">
        <v>0</v>
      </c>
      <c r="AK49" s="81">
        <v>0</v>
      </c>
      <c r="AL49" s="81">
        <v>1</v>
      </c>
      <c r="AM49" s="81">
        <v>0</v>
      </c>
      <c r="AN49" s="81">
        <v>1</v>
      </c>
      <c r="AO49" s="81">
        <v>0</v>
      </c>
      <c r="AP49" s="81">
        <v>1</v>
      </c>
      <c r="AQ49" s="81">
        <v>0</v>
      </c>
      <c r="AR49" s="81">
        <v>1</v>
      </c>
      <c r="AS49" s="81">
        <v>0</v>
      </c>
      <c r="AT49" s="81">
        <v>1</v>
      </c>
      <c r="AU49" s="81">
        <v>0</v>
      </c>
      <c r="AV49" s="81">
        <v>1</v>
      </c>
      <c r="AW49" s="81">
        <v>0</v>
      </c>
      <c r="AX49" s="81">
        <v>0</v>
      </c>
      <c r="AY49" s="81">
        <v>0</v>
      </c>
      <c r="AZ49" s="81">
        <v>1</v>
      </c>
      <c r="BA49" s="81">
        <v>1</v>
      </c>
      <c r="BB49" s="81">
        <v>0</v>
      </c>
      <c r="BC49" s="81">
        <v>0</v>
      </c>
      <c r="BD49" s="81">
        <v>0</v>
      </c>
      <c r="BE49" s="81">
        <v>0</v>
      </c>
      <c r="BF49" s="81">
        <v>0</v>
      </c>
      <c r="BG49" s="81">
        <v>0</v>
      </c>
      <c r="BH49" s="81">
        <v>0</v>
      </c>
      <c r="BI49" s="81">
        <v>0</v>
      </c>
      <c r="BJ49" s="81">
        <v>0</v>
      </c>
      <c r="BK49" s="81">
        <v>1</v>
      </c>
      <c r="BL49" s="81">
        <v>0</v>
      </c>
      <c r="BM49" s="81">
        <v>0</v>
      </c>
      <c r="BN49" s="81">
        <v>0</v>
      </c>
      <c r="BO49" s="81">
        <v>3</v>
      </c>
      <c r="BP49" s="81">
        <v>2</v>
      </c>
      <c r="BQ49" s="81">
        <v>2</v>
      </c>
      <c r="BR49" s="81">
        <v>2</v>
      </c>
      <c r="BS49" s="81">
        <v>3</v>
      </c>
      <c r="BT49" s="81">
        <v>2</v>
      </c>
      <c r="BU49" s="81">
        <v>2</v>
      </c>
      <c r="BV49" s="81">
        <v>1</v>
      </c>
      <c r="BW49" s="81">
        <v>2</v>
      </c>
      <c r="BX49" s="81">
        <v>2</v>
      </c>
      <c r="BY49" s="81">
        <v>2</v>
      </c>
      <c r="BZ49" s="81">
        <v>1</v>
      </c>
      <c r="CA49" s="81">
        <v>3</v>
      </c>
      <c r="CB49" s="81">
        <v>3</v>
      </c>
      <c r="CC49" s="81">
        <v>3</v>
      </c>
      <c r="CD49" s="81">
        <v>2</v>
      </c>
      <c r="CE49" s="81">
        <v>2</v>
      </c>
      <c r="CF49" s="81">
        <v>2</v>
      </c>
      <c r="CG49" s="81">
        <v>3</v>
      </c>
      <c r="CH49" s="81">
        <v>0</v>
      </c>
      <c r="CI49" s="81">
        <v>1</v>
      </c>
      <c r="CJ49" s="81">
        <v>0</v>
      </c>
      <c r="CK49" s="81">
        <v>0</v>
      </c>
      <c r="CL49" s="81">
        <v>0</v>
      </c>
      <c r="CM49" s="81">
        <v>1</v>
      </c>
      <c r="CN49" s="81">
        <v>0</v>
      </c>
      <c r="CO49" s="81">
        <v>2</v>
      </c>
      <c r="CP49" s="81">
        <v>2</v>
      </c>
      <c r="CQ49" s="81">
        <v>2</v>
      </c>
      <c r="CR49" s="81">
        <v>2</v>
      </c>
      <c r="CS49" s="81">
        <v>3</v>
      </c>
      <c r="CT49" s="81">
        <v>2</v>
      </c>
      <c r="CU49" s="81">
        <v>0</v>
      </c>
      <c r="CV49" s="81">
        <v>1</v>
      </c>
      <c r="CW49" s="81">
        <v>0</v>
      </c>
      <c r="CX49" s="81">
        <v>1</v>
      </c>
      <c r="CY49" s="81">
        <v>1</v>
      </c>
      <c r="CZ49" s="81">
        <v>0</v>
      </c>
      <c r="DA49" s="81">
        <v>1</v>
      </c>
    </row>
    <row r="50" spans="1:105" ht="12" customHeight="1" x14ac:dyDescent="0.3">
      <c r="A50" s="81" t="s">
        <v>599</v>
      </c>
      <c r="B50" s="81" t="s">
        <v>1438</v>
      </c>
      <c r="C50" s="81" t="s">
        <v>1441</v>
      </c>
      <c r="D50" s="81" t="s">
        <v>600</v>
      </c>
      <c r="E50" s="81" t="s">
        <v>395</v>
      </c>
      <c r="F50" s="81" t="s">
        <v>395</v>
      </c>
      <c r="G50" s="81"/>
      <c r="H50" s="94">
        <v>24</v>
      </c>
      <c r="I50" s="81" t="s">
        <v>12</v>
      </c>
      <c r="J50" s="81" t="s">
        <v>466</v>
      </c>
      <c r="K50" s="81">
        <v>24</v>
      </c>
      <c r="L50" s="81" t="s">
        <v>435</v>
      </c>
      <c r="M50" s="81" t="s">
        <v>468</v>
      </c>
      <c r="N50" s="81" t="s">
        <v>1430</v>
      </c>
      <c r="O50" s="81" t="s">
        <v>1442</v>
      </c>
      <c r="P50" s="81" t="s">
        <v>414</v>
      </c>
      <c r="Q50" s="81" t="s">
        <v>574</v>
      </c>
      <c r="R50" s="81">
        <v>0</v>
      </c>
      <c r="S50" s="81">
        <v>1</v>
      </c>
      <c r="T50" s="81">
        <v>0</v>
      </c>
      <c r="U50" s="81">
        <v>0</v>
      </c>
      <c r="V50" s="81">
        <v>0</v>
      </c>
      <c r="W50" s="81">
        <v>0</v>
      </c>
      <c r="X50" s="81">
        <v>0</v>
      </c>
      <c r="Y50" s="81">
        <v>1</v>
      </c>
      <c r="Z50" s="81">
        <v>0</v>
      </c>
      <c r="AA50" s="81">
        <v>0</v>
      </c>
      <c r="AB50" s="81">
        <v>0</v>
      </c>
      <c r="AC50" s="81">
        <v>0</v>
      </c>
      <c r="AD50" s="81">
        <v>0</v>
      </c>
      <c r="AE50" s="81">
        <v>0</v>
      </c>
      <c r="AF50" s="81">
        <v>0</v>
      </c>
      <c r="AG50" s="81">
        <v>0</v>
      </c>
      <c r="AH50" s="81">
        <v>0</v>
      </c>
      <c r="AI50" s="81">
        <v>0</v>
      </c>
      <c r="AJ50" s="81">
        <v>0</v>
      </c>
      <c r="AK50" s="81">
        <v>0</v>
      </c>
      <c r="AL50" s="81">
        <v>1</v>
      </c>
      <c r="AM50" s="81">
        <v>0</v>
      </c>
      <c r="AN50" s="81">
        <v>1</v>
      </c>
      <c r="AO50" s="81">
        <v>0</v>
      </c>
      <c r="AP50" s="81">
        <v>1</v>
      </c>
      <c r="AQ50" s="81">
        <v>0</v>
      </c>
      <c r="AR50" s="81">
        <v>1</v>
      </c>
      <c r="AS50" s="81">
        <v>0</v>
      </c>
      <c r="AT50" s="81">
        <v>1</v>
      </c>
      <c r="AU50" s="81">
        <v>0</v>
      </c>
      <c r="AV50" s="81">
        <v>1</v>
      </c>
      <c r="AW50" s="81">
        <v>0</v>
      </c>
      <c r="AX50" s="81">
        <v>0</v>
      </c>
      <c r="AY50" s="81">
        <v>0</v>
      </c>
      <c r="AZ50" s="81">
        <v>1</v>
      </c>
      <c r="BA50" s="81">
        <v>1</v>
      </c>
      <c r="BB50" s="81">
        <v>0</v>
      </c>
      <c r="BC50" s="81">
        <v>0</v>
      </c>
      <c r="BD50" s="81">
        <v>0</v>
      </c>
      <c r="BE50" s="81">
        <v>0</v>
      </c>
      <c r="BF50" s="81">
        <v>0</v>
      </c>
      <c r="BG50" s="81">
        <v>0</v>
      </c>
      <c r="BH50" s="81">
        <v>0</v>
      </c>
      <c r="BI50" s="81">
        <v>0</v>
      </c>
      <c r="BJ50" s="81">
        <v>0</v>
      </c>
      <c r="BK50" s="81">
        <v>1</v>
      </c>
      <c r="BL50" s="81">
        <v>0</v>
      </c>
      <c r="BM50" s="81">
        <v>0</v>
      </c>
      <c r="BN50" s="81">
        <v>0</v>
      </c>
      <c r="BO50" s="81">
        <v>3</v>
      </c>
      <c r="BP50" s="81">
        <v>2</v>
      </c>
      <c r="BQ50" s="81">
        <v>2</v>
      </c>
      <c r="BR50" s="81">
        <v>2</v>
      </c>
      <c r="BS50" s="81">
        <v>3</v>
      </c>
      <c r="BT50" s="81">
        <v>2</v>
      </c>
      <c r="BU50" s="81">
        <v>2</v>
      </c>
      <c r="BV50" s="81">
        <v>1</v>
      </c>
      <c r="BW50" s="81">
        <v>2</v>
      </c>
      <c r="BX50" s="81">
        <v>2</v>
      </c>
      <c r="BY50" s="81">
        <v>2</v>
      </c>
      <c r="BZ50" s="81">
        <v>1</v>
      </c>
      <c r="CA50" s="81">
        <v>3</v>
      </c>
      <c r="CB50" s="81">
        <v>3</v>
      </c>
      <c r="CC50" s="81">
        <v>3</v>
      </c>
      <c r="CD50" s="81">
        <v>2</v>
      </c>
      <c r="CE50" s="81">
        <v>2</v>
      </c>
      <c r="CF50" s="81">
        <v>2</v>
      </c>
      <c r="CG50" s="81">
        <v>3</v>
      </c>
      <c r="CH50" s="81">
        <v>0</v>
      </c>
      <c r="CI50" s="81">
        <v>1</v>
      </c>
      <c r="CJ50" s="81">
        <v>0</v>
      </c>
      <c r="CK50" s="81">
        <v>0</v>
      </c>
      <c r="CL50" s="81">
        <v>0</v>
      </c>
      <c r="CM50" s="81">
        <v>1</v>
      </c>
      <c r="CN50" s="81">
        <v>0</v>
      </c>
      <c r="CO50" s="81">
        <v>2</v>
      </c>
      <c r="CP50" s="81">
        <v>2</v>
      </c>
      <c r="CQ50" s="81">
        <v>2</v>
      </c>
      <c r="CR50" s="81">
        <v>2</v>
      </c>
      <c r="CS50" s="81">
        <v>3</v>
      </c>
      <c r="CT50" s="81">
        <v>2</v>
      </c>
      <c r="CU50" s="81">
        <v>0</v>
      </c>
      <c r="CV50" s="81">
        <v>1</v>
      </c>
      <c r="CW50" s="81">
        <v>0</v>
      </c>
      <c r="CX50" s="81">
        <v>1</v>
      </c>
      <c r="CY50" s="81">
        <v>1</v>
      </c>
      <c r="CZ50" s="81">
        <v>0</v>
      </c>
      <c r="DA50" s="81">
        <v>1</v>
      </c>
    </row>
    <row r="51" spans="1:105" ht="12" customHeight="1" x14ac:dyDescent="0.3">
      <c r="A51" s="81" t="s">
        <v>601</v>
      </c>
      <c r="B51" s="81" t="s">
        <v>1438</v>
      </c>
      <c r="C51" s="81" t="s">
        <v>1441</v>
      </c>
      <c r="D51" s="81" t="s">
        <v>602</v>
      </c>
      <c r="E51" s="81" t="s">
        <v>395</v>
      </c>
      <c r="F51" s="81" t="s">
        <v>395</v>
      </c>
      <c r="G51" s="81"/>
      <c r="H51" s="94">
        <v>24</v>
      </c>
      <c r="I51" s="81" t="s">
        <v>12</v>
      </c>
      <c r="J51" s="81" t="s">
        <v>466</v>
      </c>
      <c r="K51" s="81">
        <v>24</v>
      </c>
      <c r="L51" s="81" t="s">
        <v>435</v>
      </c>
      <c r="M51" s="81" t="s">
        <v>468</v>
      </c>
      <c r="N51" s="81" t="s">
        <v>1430</v>
      </c>
      <c r="O51" s="81" t="s">
        <v>1442</v>
      </c>
      <c r="P51" s="81" t="s">
        <v>414</v>
      </c>
      <c r="Q51" s="81" t="s">
        <v>574</v>
      </c>
      <c r="R51" s="81">
        <v>0</v>
      </c>
      <c r="S51" s="81">
        <v>1</v>
      </c>
      <c r="T51" s="81">
        <v>0</v>
      </c>
      <c r="U51" s="81">
        <v>0</v>
      </c>
      <c r="V51" s="81">
        <v>0</v>
      </c>
      <c r="W51" s="81">
        <v>0</v>
      </c>
      <c r="X51" s="81">
        <v>0</v>
      </c>
      <c r="Y51" s="81">
        <v>1</v>
      </c>
      <c r="Z51" s="81">
        <v>0</v>
      </c>
      <c r="AA51" s="81">
        <v>0</v>
      </c>
      <c r="AB51" s="81">
        <v>0</v>
      </c>
      <c r="AC51" s="81">
        <v>0</v>
      </c>
      <c r="AD51" s="81">
        <v>0</v>
      </c>
      <c r="AE51" s="81">
        <v>0</v>
      </c>
      <c r="AF51" s="81">
        <v>0</v>
      </c>
      <c r="AG51" s="81">
        <v>0</v>
      </c>
      <c r="AH51" s="81">
        <v>0</v>
      </c>
      <c r="AI51" s="81">
        <v>0</v>
      </c>
      <c r="AJ51" s="81">
        <v>0</v>
      </c>
      <c r="AK51" s="81">
        <v>0</v>
      </c>
      <c r="AL51" s="81">
        <v>1</v>
      </c>
      <c r="AM51" s="81">
        <v>0</v>
      </c>
      <c r="AN51" s="81">
        <v>1</v>
      </c>
      <c r="AO51" s="81">
        <v>0</v>
      </c>
      <c r="AP51" s="81">
        <v>1</v>
      </c>
      <c r="AQ51" s="81">
        <v>0</v>
      </c>
      <c r="AR51" s="81">
        <v>1</v>
      </c>
      <c r="AS51" s="81">
        <v>0</v>
      </c>
      <c r="AT51" s="81">
        <v>1</v>
      </c>
      <c r="AU51" s="81">
        <v>0</v>
      </c>
      <c r="AV51" s="81">
        <v>1</v>
      </c>
      <c r="AW51" s="81">
        <v>0</v>
      </c>
      <c r="AX51" s="81">
        <v>0</v>
      </c>
      <c r="AY51" s="81">
        <v>0</v>
      </c>
      <c r="AZ51" s="81">
        <v>1</v>
      </c>
      <c r="BA51" s="81">
        <v>1</v>
      </c>
      <c r="BB51" s="81">
        <v>0</v>
      </c>
      <c r="BC51" s="81">
        <v>0</v>
      </c>
      <c r="BD51" s="81">
        <v>0</v>
      </c>
      <c r="BE51" s="81">
        <v>0</v>
      </c>
      <c r="BF51" s="81">
        <v>0</v>
      </c>
      <c r="BG51" s="81">
        <v>0</v>
      </c>
      <c r="BH51" s="81">
        <v>0</v>
      </c>
      <c r="BI51" s="81">
        <v>0</v>
      </c>
      <c r="BJ51" s="81">
        <v>0</v>
      </c>
      <c r="BK51" s="81">
        <v>1</v>
      </c>
      <c r="BL51" s="81">
        <v>0</v>
      </c>
      <c r="BM51" s="81">
        <v>0</v>
      </c>
      <c r="BN51" s="81">
        <v>0</v>
      </c>
      <c r="BO51" s="81">
        <v>3</v>
      </c>
      <c r="BP51" s="81">
        <v>2</v>
      </c>
      <c r="BQ51" s="81">
        <v>2</v>
      </c>
      <c r="BR51" s="81">
        <v>2</v>
      </c>
      <c r="BS51" s="81">
        <v>3</v>
      </c>
      <c r="BT51" s="81">
        <v>2</v>
      </c>
      <c r="BU51" s="81">
        <v>2</v>
      </c>
      <c r="BV51" s="81">
        <v>1</v>
      </c>
      <c r="BW51" s="81">
        <v>2</v>
      </c>
      <c r="BX51" s="81">
        <v>2</v>
      </c>
      <c r="BY51" s="81">
        <v>2</v>
      </c>
      <c r="BZ51" s="81">
        <v>1</v>
      </c>
      <c r="CA51" s="81">
        <v>3</v>
      </c>
      <c r="CB51" s="81">
        <v>3</v>
      </c>
      <c r="CC51" s="81">
        <v>3</v>
      </c>
      <c r="CD51" s="81">
        <v>2</v>
      </c>
      <c r="CE51" s="81">
        <v>2</v>
      </c>
      <c r="CF51" s="81">
        <v>2</v>
      </c>
      <c r="CG51" s="81">
        <v>3</v>
      </c>
      <c r="CH51" s="81">
        <v>0</v>
      </c>
      <c r="CI51" s="81">
        <v>1</v>
      </c>
      <c r="CJ51" s="81">
        <v>0</v>
      </c>
      <c r="CK51" s="81">
        <v>0</v>
      </c>
      <c r="CL51" s="81">
        <v>0</v>
      </c>
      <c r="CM51" s="81">
        <v>1</v>
      </c>
      <c r="CN51" s="81">
        <v>0</v>
      </c>
      <c r="CO51" s="81">
        <v>2</v>
      </c>
      <c r="CP51" s="81">
        <v>2</v>
      </c>
      <c r="CQ51" s="81">
        <v>2</v>
      </c>
      <c r="CR51" s="81">
        <v>2</v>
      </c>
      <c r="CS51" s="81">
        <v>3</v>
      </c>
      <c r="CT51" s="81">
        <v>2</v>
      </c>
      <c r="CU51" s="81">
        <v>0</v>
      </c>
      <c r="CV51" s="81">
        <v>1</v>
      </c>
      <c r="CW51" s="81">
        <v>0</v>
      </c>
      <c r="CX51" s="81">
        <v>1</v>
      </c>
      <c r="CY51" s="81">
        <v>1</v>
      </c>
      <c r="CZ51" s="81">
        <v>0</v>
      </c>
      <c r="DA51" s="81">
        <v>1</v>
      </c>
    </row>
    <row r="52" spans="1:105" ht="12" customHeight="1" x14ac:dyDescent="0.3">
      <c r="A52" s="81" t="s">
        <v>603</v>
      </c>
      <c r="B52" s="81" t="s">
        <v>1438</v>
      </c>
      <c r="C52" s="81" t="s">
        <v>1441</v>
      </c>
      <c r="D52" s="81" t="s">
        <v>604</v>
      </c>
      <c r="E52" s="81" t="s">
        <v>395</v>
      </c>
      <c r="F52" s="81" t="s">
        <v>395</v>
      </c>
      <c r="G52" s="81"/>
      <c r="H52" s="94">
        <v>24</v>
      </c>
      <c r="I52" s="81" t="s">
        <v>12</v>
      </c>
      <c r="J52" s="81" t="s">
        <v>466</v>
      </c>
      <c r="K52" s="81">
        <v>24</v>
      </c>
      <c r="L52" s="81" t="s">
        <v>435</v>
      </c>
      <c r="M52" s="81" t="s">
        <v>468</v>
      </c>
      <c r="N52" s="81" t="s">
        <v>1430</v>
      </c>
      <c r="O52" s="81" t="s">
        <v>1442</v>
      </c>
      <c r="P52" s="81" t="s">
        <v>414</v>
      </c>
      <c r="Q52" s="81" t="s">
        <v>574</v>
      </c>
      <c r="R52" s="81">
        <v>0</v>
      </c>
      <c r="S52" s="81">
        <v>1</v>
      </c>
      <c r="T52" s="81">
        <v>0</v>
      </c>
      <c r="U52" s="81">
        <v>0</v>
      </c>
      <c r="V52" s="81">
        <v>0</v>
      </c>
      <c r="W52" s="81">
        <v>0</v>
      </c>
      <c r="X52" s="81">
        <v>0</v>
      </c>
      <c r="Y52" s="81">
        <v>1</v>
      </c>
      <c r="Z52" s="81">
        <v>0</v>
      </c>
      <c r="AA52" s="81">
        <v>0</v>
      </c>
      <c r="AB52" s="81">
        <v>0</v>
      </c>
      <c r="AC52" s="81">
        <v>0</v>
      </c>
      <c r="AD52" s="81">
        <v>0</v>
      </c>
      <c r="AE52" s="81">
        <v>0</v>
      </c>
      <c r="AF52" s="81">
        <v>0</v>
      </c>
      <c r="AG52" s="81">
        <v>0</v>
      </c>
      <c r="AH52" s="81">
        <v>0</v>
      </c>
      <c r="AI52" s="81">
        <v>0</v>
      </c>
      <c r="AJ52" s="81">
        <v>0</v>
      </c>
      <c r="AK52" s="81">
        <v>0</v>
      </c>
      <c r="AL52" s="81">
        <v>1</v>
      </c>
      <c r="AM52" s="81">
        <v>0</v>
      </c>
      <c r="AN52" s="81">
        <v>1</v>
      </c>
      <c r="AO52" s="81">
        <v>0</v>
      </c>
      <c r="AP52" s="81">
        <v>1</v>
      </c>
      <c r="AQ52" s="81">
        <v>0</v>
      </c>
      <c r="AR52" s="81">
        <v>1</v>
      </c>
      <c r="AS52" s="81">
        <v>0</v>
      </c>
      <c r="AT52" s="81">
        <v>1</v>
      </c>
      <c r="AU52" s="81">
        <v>0</v>
      </c>
      <c r="AV52" s="81">
        <v>1</v>
      </c>
      <c r="AW52" s="81">
        <v>0</v>
      </c>
      <c r="AX52" s="81">
        <v>0</v>
      </c>
      <c r="AY52" s="81">
        <v>0</v>
      </c>
      <c r="AZ52" s="81">
        <v>1</v>
      </c>
      <c r="BA52" s="81">
        <v>1</v>
      </c>
      <c r="BB52" s="81">
        <v>0</v>
      </c>
      <c r="BC52" s="81">
        <v>0</v>
      </c>
      <c r="BD52" s="81">
        <v>0</v>
      </c>
      <c r="BE52" s="81">
        <v>0</v>
      </c>
      <c r="BF52" s="81">
        <v>0</v>
      </c>
      <c r="BG52" s="81">
        <v>0</v>
      </c>
      <c r="BH52" s="81">
        <v>0</v>
      </c>
      <c r="BI52" s="81">
        <v>0</v>
      </c>
      <c r="BJ52" s="81">
        <v>0</v>
      </c>
      <c r="BK52" s="81">
        <v>1</v>
      </c>
      <c r="BL52" s="81">
        <v>0</v>
      </c>
      <c r="BM52" s="81">
        <v>0</v>
      </c>
      <c r="BN52" s="81">
        <v>0</v>
      </c>
      <c r="BO52" s="81">
        <v>3</v>
      </c>
      <c r="BP52" s="81">
        <v>2</v>
      </c>
      <c r="BQ52" s="81">
        <v>2</v>
      </c>
      <c r="BR52" s="81">
        <v>2</v>
      </c>
      <c r="BS52" s="81">
        <v>3</v>
      </c>
      <c r="BT52" s="81">
        <v>2</v>
      </c>
      <c r="BU52" s="81">
        <v>2</v>
      </c>
      <c r="BV52" s="81">
        <v>1</v>
      </c>
      <c r="BW52" s="81">
        <v>2</v>
      </c>
      <c r="BX52" s="81">
        <v>2</v>
      </c>
      <c r="BY52" s="81">
        <v>2</v>
      </c>
      <c r="BZ52" s="81">
        <v>1</v>
      </c>
      <c r="CA52" s="81">
        <v>3</v>
      </c>
      <c r="CB52" s="81">
        <v>3</v>
      </c>
      <c r="CC52" s="81">
        <v>3</v>
      </c>
      <c r="CD52" s="81">
        <v>2</v>
      </c>
      <c r="CE52" s="81">
        <v>2</v>
      </c>
      <c r="CF52" s="81">
        <v>2</v>
      </c>
      <c r="CG52" s="81">
        <v>3</v>
      </c>
      <c r="CH52" s="81">
        <v>0</v>
      </c>
      <c r="CI52" s="81">
        <v>1</v>
      </c>
      <c r="CJ52" s="81">
        <v>0</v>
      </c>
      <c r="CK52" s="81">
        <v>0</v>
      </c>
      <c r="CL52" s="81">
        <v>0</v>
      </c>
      <c r="CM52" s="81">
        <v>1</v>
      </c>
      <c r="CN52" s="81">
        <v>0</v>
      </c>
      <c r="CO52" s="81">
        <v>2</v>
      </c>
      <c r="CP52" s="81">
        <v>2</v>
      </c>
      <c r="CQ52" s="81">
        <v>2</v>
      </c>
      <c r="CR52" s="81">
        <v>2</v>
      </c>
      <c r="CS52" s="81">
        <v>3</v>
      </c>
      <c r="CT52" s="81">
        <v>2</v>
      </c>
      <c r="CU52" s="81">
        <v>0</v>
      </c>
      <c r="CV52" s="81">
        <v>1</v>
      </c>
      <c r="CW52" s="81">
        <v>0</v>
      </c>
      <c r="CX52" s="81">
        <v>1</v>
      </c>
      <c r="CY52" s="81">
        <v>1</v>
      </c>
      <c r="CZ52" s="81">
        <v>0</v>
      </c>
      <c r="DA52" s="81">
        <v>1</v>
      </c>
    </row>
    <row r="53" spans="1:105" ht="12" customHeight="1" x14ac:dyDescent="0.3">
      <c r="A53" s="81" t="s">
        <v>605</v>
      </c>
      <c r="B53" s="81" t="s">
        <v>1438</v>
      </c>
      <c r="C53" s="81" t="s">
        <v>1441</v>
      </c>
      <c r="D53" s="81" t="s">
        <v>606</v>
      </c>
      <c r="E53" s="81" t="s">
        <v>395</v>
      </c>
      <c r="F53" s="81" t="s">
        <v>395</v>
      </c>
      <c r="G53" s="81"/>
      <c r="H53" s="94">
        <v>24</v>
      </c>
      <c r="I53" s="81" t="s">
        <v>12</v>
      </c>
      <c r="J53" s="81" t="s">
        <v>466</v>
      </c>
      <c r="K53" s="81">
        <v>24</v>
      </c>
      <c r="L53" s="81" t="s">
        <v>435</v>
      </c>
      <c r="M53" s="81" t="s">
        <v>468</v>
      </c>
      <c r="N53" s="81" t="s">
        <v>1430</v>
      </c>
      <c r="O53" s="81" t="s">
        <v>1442</v>
      </c>
      <c r="P53" s="81" t="s">
        <v>414</v>
      </c>
      <c r="Q53" s="81" t="s">
        <v>574</v>
      </c>
      <c r="R53" s="81">
        <v>0</v>
      </c>
      <c r="S53" s="81">
        <v>1</v>
      </c>
      <c r="T53" s="81">
        <v>0</v>
      </c>
      <c r="U53" s="81">
        <v>0</v>
      </c>
      <c r="V53" s="81">
        <v>0</v>
      </c>
      <c r="W53" s="81">
        <v>0</v>
      </c>
      <c r="X53" s="81">
        <v>0</v>
      </c>
      <c r="Y53" s="81">
        <v>1</v>
      </c>
      <c r="Z53" s="81">
        <v>0</v>
      </c>
      <c r="AA53" s="81">
        <v>0</v>
      </c>
      <c r="AB53" s="81">
        <v>0</v>
      </c>
      <c r="AC53" s="81">
        <v>0</v>
      </c>
      <c r="AD53" s="81">
        <v>0</v>
      </c>
      <c r="AE53" s="81">
        <v>0</v>
      </c>
      <c r="AF53" s="81">
        <v>0</v>
      </c>
      <c r="AG53" s="81">
        <v>0</v>
      </c>
      <c r="AH53" s="81">
        <v>0</v>
      </c>
      <c r="AI53" s="81">
        <v>0</v>
      </c>
      <c r="AJ53" s="81">
        <v>0</v>
      </c>
      <c r="AK53" s="81">
        <v>0</v>
      </c>
      <c r="AL53" s="81">
        <v>1</v>
      </c>
      <c r="AM53" s="81">
        <v>0</v>
      </c>
      <c r="AN53" s="81">
        <v>1</v>
      </c>
      <c r="AO53" s="81">
        <v>0</v>
      </c>
      <c r="AP53" s="81">
        <v>1</v>
      </c>
      <c r="AQ53" s="81">
        <v>0</v>
      </c>
      <c r="AR53" s="81">
        <v>1</v>
      </c>
      <c r="AS53" s="81">
        <v>0</v>
      </c>
      <c r="AT53" s="81">
        <v>1</v>
      </c>
      <c r="AU53" s="81">
        <v>0</v>
      </c>
      <c r="AV53" s="81">
        <v>1</v>
      </c>
      <c r="AW53" s="81">
        <v>0</v>
      </c>
      <c r="AX53" s="81">
        <v>0</v>
      </c>
      <c r="AY53" s="81">
        <v>0</v>
      </c>
      <c r="AZ53" s="81">
        <v>1</v>
      </c>
      <c r="BA53" s="81">
        <v>1</v>
      </c>
      <c r="BB53" s="81">
        <v>0</v>
      </c>
      <c r="BC53" s="81">
        <v>0</v>
      </c>
      <c r="BD53" s="81">
        <v>0</v>
      </c>
      <c r="BE53" s="81">
        <v>0</v>
      </c>
      <c r="BF53" s="81">
        <v>0</v>
      </c>
      <c r="BG53" s="81">
        <v>0</v>
      </c>
      <c r="BH53" s="81">
        <v>0</v>
      </c>
      <c r="BI53" s="81">
        <v>0</v>
      </c>
      <c r="BJ53" s="81">
        <v>0</v>
      </c>
      <c r="BK53" s="81">
        <v>1</v>
      </c>
      <c r="BL53" s="81">
        <v>0</v>
      </c>
      <c r="BM53" s="81">
        <v>0</v>
      </c>
      <c r="BN53" s="81">
        <v>0</v>
      </c>
      <c r="BO53" s="81">
        <v>3</v>
      </c>
      <c r="BP53" s="81">
        <v>2</v>
      </c>
      <c r="BQ53" s="81">
        <v>2</v>
      </c>
      <c r="BR53" s="81">
        <v>2</v>
      </c>
      <c r="BS53" s="81">
        <v>3</v>
      </c>
      <c r="BT53" s="81">
        <v>2</v>
      </c>
      <c r="BU53" s="81">
        <v>2</v>
      </c>
      <c r="BV53" s="81">
        <v>1</v>
      </c>
      <c r="BW53" s="81">
        <v>2</v>
      </c>
      <c r="BX53" s="81">
        <v>2</v>
      </c>
      <c r="BY53" s="81">
        <v>2</v>
      </c>
      <c r="BZ53" s="81">
        <v>1</v>
      </c>
      <c r="CA53" s="81">
        <v>3</v>
      </c>
      <c r="CB53" s="81">
        <v>3</v>
      </c>
      <c r="CC53" s="81">
        <v>3</v>
      </c>
      <c r="CD53" s="81">
        <v>2</v>
      </c>
      <c r="CE53" s="81">
        <v>2</v>
      </c>
      <c r="CF53" s="81">
        <v>2</v>
      </c>
      <c r="CG53" s="81">
        <v>3</v>
      </c>
      <c r="CH53" s="81">
        <v>0</v>
      </c>
      <c r="CI53" s="81">
        <v>1</v>
      </c>
      <c r="CJ53" s="81">
        <v>0</v>
      </c>
      <c r="CK53" s="81">
        <v>0</v>
      </c>
      <c r="CL53" s="81">
        <v>0</v>
      </c>
      <c r="CM53" s="81">
        <v>1</v>
      </c>
      <c r="CN53" s="81">
        <v>0</v>
      </c>
      <c r="CO53" s="81">
        <v>2</v>
      </c>
      <c r="CP53" s="81">
        <v>2</v>
      </c>
      <c r="CQ53" s="81">
        <v>2</v>
      </c>
      <c r="CR53" s="81">
        <v>2</v>
      </c>
      <c r="CS53" s="81">
        <v>3</v>
      </c>
      <c r="CT53" s="81">
        <v>2</v>
      </c>
      <c r="CU53" s="81">
        <v>0</v>
      </c>
      <c r="CV53" s="81">
        <v>1</v>
      </c>
      <c r="CW53" s="81">
        <v>0</v>
      </c>
      <c r="CX53" s="81">
        <v>1</v>
      </c>
      <c r="CY53" s="81">
        <v>1</v>
      </c>
      <c r="CZ53" s="81">
        <v>0</v>
      </c>
      <c r="DA53" s="81">
        <v>1</v>
      </c>
    </row>
    <row r="54" spans="1:105" ht="12" customHeight="1" x14ac:dyDescent="0.3">
      <c r="A54" s="81" t="s">
        <v>607</v>
      </c>
      <c r="B54" s="81" t="s">
        <v>1438</v>
      </c>
      <c r="C54" s="81" t="s">
        <v>1441</v>
      </c>
      <c r="D54" s="81" t="s">
        <v>608</v>
      </c>
      <c r="E54" s="81" t="s">
        <v>395</v>
      </c>
      <c r="F54" s="81" t="s">
        <v>395</v>
      </c>
      <c r="G54" s="81"/>
      <c r="H54" s="94">
        <v>24</v>
      </c>
      <c r="I54" s="81" t="s">
        <v>12</v>
      </c>
      <c r="J54" s="81" t="s">
        <v>466</v>
      </c>
      <c r="K54" s="81">
        <v>24</v>
      </c>
      <c r="L54" s="81" t="s">
        <v>435</v>
      </c>
      <c r="M54" s="81" t="s">
        <v>468</v>
      </c>
      <c r="N54" s="81" t="s">
        <v>1430</v>
      </c>
      <c r="O54" s="81" t="s">
        <v>1442</v>
      </c>
      <c r="P54" s="81" t="s">
        <v>414</v>
      </c>
      <c r="Q54" s="81" t="s">
        <v>574</v>
      </c>
      <c r="R54" s="81">
        <v>0</v>
      </c>
      <c r="S54" s="81">
        <v>1</v>
      </c>
      <c r="T54" s="81">
        <v>0</v>
      </c>
      <c r="U54" s="81">
        <v>0</v>
      </c>
      <c r="V54" s="81">
        <v>0</v>
      </c>
      <c r="W54" s="81">
        <v>0</v>
      </c>
      <c r="X54" s="81">
        <v>0</v>
      </c>
      <c r="Y54" s="81">
        <v>1</v>
      </c>
      <c r="Z54" s="81">
        <v>0</v>
      </c>
      <c r="AA54" s="81">
        <v>0</v>
      </c>
      <c r="AB54" s="81">
        <v>0</v>
      </c>
      <c r="AC54" s="81">
        <v>0</v>
      </c>
      <c r="AD54" s="81">
        <v>0</v>
      </c>
      <c r="AE54" s="81">
        <v>0</v>
      </c>
      <c r="AF54" s="81">
        <v>0</v>
      </c>
      <c r="AG54" s="81">
        <v>0</v>
      </c>
      <c r="AH54" s="81">
        <v>0</v>
      </c>
      <c r="AI54" s="81">
        <v>0</v>
      </c>
      <c r="AJ54" s="81">
        <v>0</v>
      </c>
      <c r="AK54" s="81">
        <v>0</v>
      </c>
      <c r="AL54" s="81">
        <v>1</v>
      </c>
      <c r="AM54" s="81">
        <v>0</v>
      </c>
      <c r="AN54" s="81">
        <v>1</v>
      </c>
      <c r="AO54" s="81">
        <v>0</v>
      </c>
      <c r="AP54" s="81">
        <v>1</v>
      </c>
      <c r="AQ54" s="81">
        <v>0</v>
      </c>
      <c r="AR54" s="81">
        <v>1</v>
      </c>
      <c r="AS54" s="81">
        <v>0</v>
      </c>
      <c r="AT54" s="81">
        <v>1</v>
      </c>
      <c r="AU54" s="81">
        <v>0</v>
      </c>
      <c r="AV54" s="81">
        <v>1</v>
      </c>
      <c r="AW54" s="81">
        <v>0</v>
      </c>
      <c r="AX54" s="81">
        <v>0</v>
      </c>
      <c r="AY54" s="81">
        <v>0</v>
      </c>
      <c r="AZ54" s="81">
        <v>1</v>
      </c>
      <c r="BA54" s="81">
        <v>1</v>
      </c>
      <c r="BB54" s="81">
        <v>0</v>
      </c>
      <c r="BC54" s="81">
        <v>0</v>
      </c>
      <c r="BD54" s="81">
        <v>0</v>
      </c>
      <c r="BE54" s="81">
        <v>0</v>
      </c>
      <c r="BF54" s="81">
        <v>0</v>
      </c>
      <c r="BG54" s="81">
        <v>0</v>
      </c>
      <c r="BH54" s="81">
        <v>0</v>
      </c>
      <c r="BI54" s="81">
        <v>0</v>
      </c>
      <c r="BJ54" s="81">
        <v>0</v>
      </c>
      <c r="BK54" s="81">
        <v>1</v>
      </c>
      <c r="BL54" s="81">
        <v>0</v>
      </c>
      <c r="BM54" s="81">
        <v>0</v>
      </c>
      <c r="BN54" s="81">
        <v>0</v>
      </c>
      <c r="BO54" s="81">
        <v>3</v>
      </c>
      <c r="BP54" s="81">
        <v>2</v>
      </c>
      <c r="BQ54" s="81">
        <v>2</v>
      </c>
      <c r="BR54" s="81">
        <v>2</v>
      </c>
      <c r="BS54" s="81">
        <v>3</v>
      </c>
      <c r="BT54" s="81">
        <v>2</v>
      </c>
      <c r="BU54" s="81">
        <v>2</v>
      </c>
      <c r="BV54" s="81">
        <v>1</v>
      </c>
      <c r="BW54" s="81">
        <v>2</v>
      </c>
      <c r="BX54" s="81">
        <v>2</v>
      </c>
      <c r="BY54" s="81">
        <v>2</v>
      </c>
      <c r="BZ54" s="81">
        <v>1</v>
      </c>
      <c r="CA54" s="81">
        <v>3</v>
      </c>
      <c r="CB54" s="81">
        <v>3</v>
      </c>
      <c r="CC54" s="81">
        <v>3</v>
      </c>
      <c r="CD54" s="81">
        <v>2</v>
      </c>
      <c r="CE54" s="81">
        <v>2</v>
      </c>
      <c r="CF54" s="81">
        <v>2</v>
      </c>
      <c r="CG54" s="81">
        <v>3</v>
      </c>
      <c r="CH54" s="81">
        <v>0</v>
      </c>
      <c r="CI54" s="81">
        <v>1</v>
      </c>
      <c r="CJ54" s="81">
        <v>0</v>
      </c>
      <c r="CK54" s="81">
        <v>0</v>
      </c>
      <c r="CL54" s="81">
        <v>0</v>
      </c>
      <c r="CM54" s="81">
        <v>1</v>
      </c>
      <c r="CN54" s="81">
        <v>0</v>
      </c>
      <c r="CO54" s="81">
        <v>2</v>
      </c>
      <c r="CP54" s="81">
        <v>2</v>
      </c>
      <c r="CQ54" s="81">
        <v>2</v>
      </c>
      <c r="CR54" s="81">
        <v>2</v>
      </c>
      <c r="CS54" s="81">
        <v>3</v>
      </c>
      <c r="CT54" s="81">
        <v>2</v>
      </c>
      <c r="CU54" s="81">
        <v>0</v>
      </c>
      <c r="CV54" s="81">
        <v>1</v>
      </c>
      <c r="CW54" s="81">
        <v>0</v>
      </c>
      <c r="CX54" s="81">
        <v>1</v>
      </c>
      <c r="CY54" s="81">
        <v>1</v>
      </c>
      <c r="CZ54" s="81">
        <v>0</v>
      </c>
      <c r="DA54" s="81">
        <v>1</v>
      </c>
    </row>
    <row r="55" spans="1:105" ht="12" customHeight="1" x14ac:dyDescent="0.3">
      <c r="A55" s="81" t="s">
        <v>609</v>
      </c>
      <c r="B55" s="81" t="s">
        <v>1438</v>
      </c>
      <c r="C55" s="81" t="s">
        <v>1441</v>
      </c>
      <c r="D55" s="81" t="s">
        <v>610</v>
      </c>
      <c r="E55" s="81" t="s">
        <v>395</v>
      </c>
      <c r="F55" s="81" t="s">
        <v>395</v>
      </c>
      <c r="G55" s="81"/>
      <c r="H55" s="94">
        <v>24</v>
      </c>
      <c r="I55" s="81" t="s">
        <v>12</v>
      </c>
      <c r="J55" s="81" t="s">
        <v>466</v>
      </c>
      <c r="K55" s="81">
        <v>24</v>
      </c>
      <c r="L55" s="81" t="s">
        <v>435</v>
      </c>
      <c r="M55" s="81" t="s">
        <v>468</v>
      </c>
      <c r="N55" s="81" t="s">
        <v>1430</v>
      </c>
      <c r="O55" s="81" t="s">
        <v>1442</v>
      </c>
      <c r="P55" s="81" t="s">
        <v>414</v>
      </c>
      <c r="Q55" s="81" t="s">
        <v>574</v>
      </c>
      <c r="R55" s="81">
        <v>0</v>
      </c>
      <c r="S55" s="81">
        <v>1</v>
      </c>
      <c r="T55" s="81">
        <v>0</v>
      </c>
      <c r="U55" s="81">
        <v>0</v>
      </c>
      <c r="V55" s="81">
        <v>0</v>
      </c>
      <c r="W55" s="81">
        <v>0</v>
      </c>
      <c r="X55" s="81">
        <v>0</v>
      </c>
      <c r="Y55" s="81">
        <v>1</v>
      </c>
      <c r="Z55" s="81">
        <v>0</v>
      </c>
      <c r="AA55" s="81">
        <v>0</v>
      </c>
      <c r="AB55" s="81">
        <v>0</v>
      </c>
      <c r="AC55" s="81">
        <v>0</v>
      </c>
      <c r="AD55" s="81">
        <v>0</v>
      </c>
      <c r="AE55" s="81">
        <v>0</v>
      </c>
      <c r="AF55" s="81">
        <v>0</v>
      </c>
      <c r="AG55" s="81">
        <v>0</v>
      </c>
      <c r="AH55" s="81">
        <v>0</v>
      </c>
      <c r="AI55" s="81">
        <v>0</v>
      </c>
      <c r="AJ55" s="81">
        <v>0</v>
      </c>
      <c r="AK55" s="81">
        <v>0</v>
      </c>
      <c r="AL55" s="81">
        <v>1</v>
      </c>
      <c r="AM55" s="81">
        <v>0</v>
      </c>
      <c r="AN55" s="81">
        <v>1</v>
      </c>
      <c r="AO55" s="81">
        <v>0</v>
      </c>
      <c r="AP55" s="81">
        <v>1</v>
      </c>
      <c r="AQ55" s="81">
        <v>0</v>
      </c>
      <c r="AR55" s="81">
        <v>1</v>
      </c>
      <c r="AS55" s="81">
        <v>0</v>
      </c>
      <c r="AT55" s="81">
        <v>1</v>
      </c>
      <c r="AU55" s="81">
        <v>0</v>
      </c>
      <c r="AV55" s="81">
        <v>1</v>
      </c>
      <c r="AW55" s="81">
        <v>0</v>
      </c>
      <c r="AX55" s="81">
        <v>0</v>
      </c>
      <c r="AY55" s="81">
        <v>0</v>
      </c>
      <c r="AZ55" s="81">
        <v>1</v>
      </c>
      <c r="BA55" s="81">
        <v>1</v>
      </c>
      <c r="BB55" s="81">
        <v>0</v>
      </c>
      <c r="BC55" s="81">
        <v>0</v>
      </c>
      <c r="BD55" s="81">
        <v>0</v>
      </c>
      <c r="BE55" s="81">
        <v>0</v>
      </c>
      <c r="BF55" s="81">
        <v>0</v>
      </c>
      <c r="BG55" s="81">
        <v>0</v>
      </c>
      <c r="BH55" s="81">
        <v>0</v>
      </c>
      <c r="BI55" s="81">
        <v>0</v>
      </c>
      <c r="BJ55" s="81">
        <v>0</v>
      </c>
      <c r="BK55" s="81">
        <v>1</v>
      </c>
      <c r="BL55" s="81">
        <v>0</v>
      </c>
      <c r="BM55" s="81">
        <v>0</v>
      </c>
      <c r="BN55" s="81">
        <v>0</v>
      </c>
      <c r="BO55" s="81">
        <v>3</v>
      </c>
      <c r="BP55" s="81">
        <v>2</v>
      </c>
      <c r="BQ55" s="81">
        <v>2</v>
      </c>
      <c r="BR55" s="81">
        <v>2</v>
      </c>
      <c r="BS55" s="81">
        <v>3</v>
      </c>
      <c r="BT55" s="81">
        <v>2</v>
      </c>
      <c r="BU55" s="81">
        <v>2</v>
      </c>
      <c r="BV55" s="81">
        <v>1</v>
      </c>
      <c r="BW55" s="81">
        <v>2</v>
      </c>
      <c r="BX55" s="81">
        <v>2</v>
      </c>
      <c r="BY55" s="81">
        <v>2</v>
      </c>
      <c r="BZ55" s="81">
        <v>1</v>
      </c>
      <c r="CA55" s="81">
        <v>3</v>
      </c>
      <c r="CB55" s="81">
        <v>3</v>
      </c>
      <c r="CC55" s="81">
        <v>3</v>
      </c>
      <c r="CD55" s="81">
        <v>2</v>
      </c>
      <c r="CE55" s="81">
        <v>2</v>
      </c>
      <c r="CF55" s="81">
        <v>2</v>
      </c>
      <c r="CG55" s="81">
        <v>3</v>
      </c>
      <c r="CH55" s="81">
        <v>0</v>
      </c>
      <c r="CI55" s="81">
        <v>1</v>
      </c>
      <c r="CJ55" s="81">
        <v>0</v>
      </c>
      <c r="CK55" s="81">
        <v>0</v>
      </c>
      <c r="CL55" s="81">
        <v>0</v>
      </c>
      <c r="CM55" s="81">
        <v>1</v>
      </c>
      <c r="CN55" s="81">
        <v>0</v>
      </c>
      <c r="CO55" s="81">
        <v>2</v>
      </c>
      <c r="CP55" s="81">
        <v>2</v>
      </c>
      <c r="CQ55" s="81">
        <v>2</v>
      </c>
      <c r="CR55" s="81">
        <v>2</v>
      </c>
      <c r="CS55" s="81">
        <v>3</v>
      </c>
      <c r="CT55" s="81">
        <v>2</v>
      </c>
      <c r="CU55" s="81">
        <v>0</v>
      </c>
      <c r="CV55" s="81">
        <v>1</v>
      </c>
      <c r="CW55" s="81">
        <v>0</v>
      </c>
      <c r="CX55" s="81">
        <v>1</v>
      </c>
      <c r="CY55" s="81">
        <v>1</v>
      </c>
      <c r="CZ55" s="81">
        <v>0</v>
      </c>
      <c r="DA55" s="81">
        <v>1</v>
      </c>
    </row>
    <row r="56" spans="1:105" ht="12" customHeight="1" x14ac:dyDescent="0.3">
      <c r="A56" s="81" t="s">
        <v>611</v>
      </c>
      <c r="B56" s="81" t="s">
        <v>1438</v>
      </c>
      <c r="C56" s="81" t="s">
        <v>1441</v>
      </c>
      <c r="D56" s="81" t="s">
        <v>612</v>
      </c>
      <c r="E56" s="81" t="s">
        <v>395</v>
      </c>
      <c r="F56" s="81" t="s">
        <v>395</v>
      </c>
      <c r="G56" s="81"/>
      <c r="H56" s="94">
        <v>24</v>
      </c>
      <c r="I56" s="81" t="s">
        <v>12</v>
      </c>
      <c r="J56" s="81" t="s">
        <v>466</v>
      </c>
      <c r="K56" s="81">
        <v>24</v>
      </c>
      <c r="L56" s="81" t="s">
        <v>435</v>
      </c>
      <c r="M56" s="81" t="s">
        <v>468</v>
      </c>
      <c r="N56" s="81" t="s">
        <v>1430</v>
      </c>
      <c r="O56" s="81" t="s">
        <v>1442</v>
      </c>
      <c r="P56" s="81" t="s">
        <v>414</v>
      </c>
      <c r="Q56" s="81" t="s">
        <v>574</v>
      </c>
      <c r="R56" s="81">
        <v>0</v>
      </c>
      <c r="S56" s="81">
        <v>1</v>
      </c>
      <c r="T56" s="81">
        <v>0</v>
      </c>
      <c r="U56" s="81">
        <v>0</v>
      </c>
      <c r="V56" s="81">
        <v>0</v>
      </c>
      <c r="W56" s="81">
        <v>0</v>
      </c>
      <c r="X56" s="81">
        <v>0</v>
      </c>
      <c r="Y56" s="81">
        <v>1</v>
      </c>
      <c r="Z56" s="81">
        <v>0</v>
      </c>
      <c r="AA56" s="81">
        <v>0</v>
      </c>
      <c r="AB56" s="81">
        <v>0</v>
      </c>
      <c r="AC56" s="81">
        <v>0</v>
      </c>
      <c r="AD56" s="81">
        <v>0</v>
      </c>
      <c r="AE56" s="81">
        <v>0</v>
      </c>
      <c r="AF56" s="81">
        <v>0</v>
      </c>
      <c r="AG56" s="81">
        <v>0</v>
      </c>
      <c r="AH56" s="81">
        <v>0</v>
      </c>
      <c r="AI56" s="81">
        <v>0</v>
      </c>
      <c r="AJ56" s="81">
        <v>0</v>
      </c>
      <c r="AK56" s="81">
        <v>0</v>
      </c>
      <c r="AL56" s="81">
        <v>1</v>
      </c>
      <c r="AM56" s="81">
        <v>0</v>
      </c>
      <c r="AN56" s="81">
        <v>1</v>
      </c>
      <c r="AO56" s="81">
        <v>0</v>
      </c>
      <c r="AP56" s="81">
        <v>1</v>
      </c>
      <c r="AQ56" s="81">
        <v>0</v>
      </c>
      <c r="AR56" s="81">
        <v>1</v>
      </c>
      <c r="AS56" s="81">
        <v>0</v>
      </c>
      <c r="AT56" s="81">
        <v>1</v>
      </c>
      <c r="AU56" s="81">
        <v>0</v>
      </c>
      <c r="AV56" s="81">
        <v>1</v>
      </c>
      <c r="AW56" s="81">
        <v>0</v>
      </c>
      <c r="AX56" s="81">
        <v>0</v>
      </c>
      <c r="AY56" s="81">
        <v>0</v>
      </c>
      <c r="AZ56" s="81">
        <v>1</v>
      </c>
      <c r="BA56" s="81">
        <v>1</v>
      </c>
      <c r="BB56" s="81">
        <v>0</v>
      </c>
      <c r="BC56" s="81">
        <v>0</v>
      </c>
      <c r="BD56" s="81">
        <v>0</v>
      </c>
      <c r="BE56" s="81">
        <v>0</v>
      </c>
      <c r="BF56" s="81">
        <v>0</v>
      </c>
      <c r="BG56" s="81">
        <v>0</v>
      </c>
      <c r="BH56" s="81">
        <v>0</v>
      </c>
      <c r="BI56" s="81">
        <v>0</v>
      </c>
      <c r="BJ56" s="81">
        <v>0</v>
      </c>
      <c r="BK56" s="81">
        <v>1</v>
      </c>
      <c r="BL56" s="81">
        <v>0</v>
      </c>
      <c r="BM56" s="81">
        <v>0</v>
      </c>
      <c r="BN56" s="81">
        <v>0</v>
      </c>
      <c r="BO56" s="81">
        <v>3</v>
      </c>
      <c r="BP56" s="81">
        <v>2</v>
      </c>
      <c r="BQ56" s="81">
        <v>2</v>
      </c>
      <c r="BR56" s="81">
        <v>2</v>
      </c>
      <c r="BS56" s="81">
        <v>3</v>
      </c>
      <c r="BT56" s="81">
        <v>2</v>
      </c>
      <c r="BU56" s="81">
        <v>2</v>
      </c>
      <c r="BV56" s="81">
        <v>1</v>
      </c>
      <c r="BW56" s="81">
        <v>2</v>
      </c>
      <c r="BX56" s="81">
        <v>2</v>
      </c>
      <c r="BY56" s="81">
        <v>2</v>
      </c>
      <c r="BZ56" s="81">
        <v>1</v>
      </c>
      <c r="CA56" s="81">
        <v>3</v>
      </c>
      <c r="CB56" s="81">
        <v>3</v>
      </c>
      <c r="CC56" s="81">
        <v>3</v>
      </c>
      <c r="CD56" s="81">
        <v>2</v>
      </c>
      <c r="CE56" s="81">
        <v>2</v>
      </c>
      <c r="CF56" s="81">
        <v>2</v>
      </c>
      <c r="CG56" s="81">
        <v>3</v>
      </c>
      <c r="CH56" s="81">
        <v>0</v>
      </c>
      <c r="CI56" s="81">
        <v>1</v>
      </c>
      <c r="CJ56" s="81">
        <v>0</v>
      </c>
      <c r="CK56" s="81">
        <v>0</v>
      </c>
      <c r="CL56" s="81">
        <v>0</v>
      </c>
      <c r="CM56" s="81">
        <v>1</v>
      </c>
      <c r="CN56" s="81">
        <v>0</v>
      </c>
      <c r="CO56" s="81">
        <v>2</v>
      </c>
      <c r="CP56" s="81">
        <v>2</v>
      </c>
      <c r="CQ56" s="81">
        <v>2</v>
      </c>
      <c r="CR56" s="81">
        <v>2</v>
      </c>
      <c r="CS56" s="81">
        <v>3</v>
      </c>
      <c r="CT56" s="81">
        <v>2</v>
      </c>
      <c r="CU56" s="81">
        <v>0</v>
      </c>
      <c r="CV56" s="81">
        <v>1</v>
      </c>
      <c r="CW56" s="81">
        <v>0</v>
      </c>
      <c r="CX56" s="81">
        <v>1</v>
      </c>
      <c r="CY56" s="81">
        <v>1</v>
      </c>
      <c r="CZ56" s="81">
        <v>0</v>
      </c>
      <c r="DA56" s="81">
        <v>1</v>
      </c>
    </row>
    <row r="57" spans="1:105" ht="12" customHeight="1" x14ac:dyDescent="0.3">
      <c r="A57" s="81" t="s">
        <v>613</v>
      </c>
      <c r="B57" s="81" t="s">
        <v>1438</v>
      </c>
      <c r="C57" s="81" t="s">
        <v>1441</v>
      </c>
      <c r="D57" s="81" t="s">
        <v>614</v>
      </c>
      <c r="E57" s="81" t="s">
        <v>395</v>
      </c>
      <c r="F57" s="81" t="s">
        <v>395</v>
      </c>
      <c r="G57" s="81"/>
      <c r="H57" s="94">
        <v>24</v>
      </c>
      <c r="I57" s="81" t="s">
        <v>12</v>
      </c>
      <c r="J57" s="81" t="s">
        <v>466</v>
      </c>
      <c r="K57" s="81">
        <v>24</v>
      </c>
      <c r="L57" s="81" t="s">
        <v>435</v>
      </c>
      <c r="M57" s="81" t="s">
        <v>468</v>
      </c>
      <c r="N57" s="81" t="s">
        <v>1430</v>
      </c>
      <c r="O57" s="81" t="s">
        <v>1442</v>
      </c>
      <c r="P57" s="81" t="s">
        <v>414</v>
      </c>
      <c r="Q57" s="81" t="s">
        <v>574</v>
      </c>
      <c r="R57" s="81">
        <v>0</v>
      </c>
      <c r="S57" s="81">
        <v>1</v>
      </c>
      <c r="T57" s="81">
        <v>0</v>
      </c>
      <c r="U57" s="81">
        <v>0</v>
      </c>
      <c r="V57" s="81">
        <v>0</v>
      </c>
      <c r="W57" s="81">
        <v>0</v>
      </c>
      <c r="X57" s="81">
        <v>0</v>
      </c>
      <c r="Y57" s="81">
        <v>1</v>
      </c>
      <c r="Z57" s="81">
        <v>0</v>
      </c>
      <c r="AA57" s="81">
        <v>0</v>
      </c>
      <c r="AB57" s="81">
        <v>0</v>
      </c>
      <c r="AC57" s="81">
        <v>0</v>
      </c>
      <c r="AD57" s="81">
        <v>0</v>
      </c>
      <c r="AE57" s="81">
        <v>0</v>
      </c>
      <c r="AF57" s="81">
        <v>0</v>
      </c>
      <c r="AG57" s="81">
        <v>0</v>
      </c>
      <c r="AH57" s="81">
        <v>0</v>
      </c>
      <c r="AI57" s="81">
        <v>0</v>
      </c>
      <c r="AJ57" s="81">
        <v>0</v>
      </c>
      <c r="AK57" s="81">
        <v>0</v>
      </c>
      <c r="AL57" s="81">
        <v>1</v>
      </c>
      <c r="AM57" s="81">
        <v>0</v>
      </c>
      <c r="AN57" s="81">
        <v>1</v>
      </c>
      <c r="AO57" s="81">
        <v>0</v>
      </c>
      <c r="AP57" s="81">
        <v>1</v>
      </c>
      <c r="AQ57" s="81">
        <v>0</v>
      </c>
      <c r="AR57" s="81">
        <v>1</v>
      </c>
      <c r="AS57" s="81">
        <v>0</v>
      </c>
      <c r="AT57" s="81">
        <v>1</v>
      </c>
      <c r="AU57" s="81">
        <v>0</v>
      </c>
      <c r="AV57" s="81">
        <v>1</v>
      </c>
      <c r="AW57" s="81">
        <v>0</v>
      </c>
      <c r="AX57" s="81">
        <v>0</v>
      </c>
      <c r="AY57" s="81">
        <v>0</v>
      </c>
      <c r="AZ57" s="81">
        <v>1</v>
      </c>
      <c r="BA57" s="81">
        <v>1</v>
      </c>
      <c r="BB57" s="81">
        <v>0</v>
      </c>
      <c r="BC57" s="81">
        <v>0</v>
      </c>
      <c r="BD57" s="81">
        <v>0</v>
      </c>
      <c r="BE57" s="81">
        <v>0</v>
      </c>
      <c r="BF57" s="81">
        <v>0</v>
      </c>
      <c r="BG57" s="81">
        <v>0</v>
      </c>
      <c r="BH57" s="81">
        <v>0</v>
      </c>
      <c r="BI57" s="81">
        <v>0</v>
      </c>
      <c r="BJ57" s="81">
        <v>0</v>
      </c>
      <c r="BK57" s="81">
        <v>1</v>
      </c>
      <c r="BL57" s="81">
        <v>0</v>
      </c>
      <c r="BM57" s="81">
        <v>0</v>
      </c>
      <c r="BN57" s="81">
        <v>0</v>
      </c>
      <c r="BO57" s="81">
        <v>3</v>
      </c>
      <c r="BP57" s="81">
        <v>2</v>
      </c>
      <c r="BQ57" s="81">
        <v>2</v>
      </c>
      <c r="BR57" s="81">
        <v>2</v>
      </c>
      <c r="BS57" s="81">
        <v>3</v>
      </c>
      <c r="BT57" s="81">
        <v>2</v>
      </c>
      <c r="BU57" s="81">
        <v>2</v>
      </c>
      <c r="BV57" s="81">
        <v>1</v>
      </c>
      <c r="BW57" s="81">
        <v>2</v>
      </c>
      <c r="BX57" s="81">
        <v>2</v>
      </c>
      <c r="BY57" s="81">
        <v>2</v>
      </c>
      <c r="BZ57" s="81">
        <v>1</v>
      </c>
      <c r="CA57" s="81">
        <v>3</v>
      </c>
      <c r="CB57" s="81">
        <v>3</v>
      </c>
      <c r="CC57" s="81">
        <v>3</v>
      </c>
      <c r="CD57" s="81">
        <v>2</v>
      </c>
      <c r="CE57" s="81">
        <v>2</v>
      </c>
      <c r="CF57" s="81">
        <v>2</v>
      </c>
      <c r="CG57" s="81">
        <v>3</v>
      </c>
      <c r="CH57" s="81">
        <v>0</v>
      </c>
      <c r="CI57" s="81">
        <v>1</v>
      </c>
      <c r="CJ57" s="81">
        <v>0</v>
      </c>
      <c r="CK57" s="81">
        <v>0</v>
      </c>
      <c r="CL57" s="81">
        <v>0</v>
      </c>
      <c r="CM57" s="81">
        <v>1</v>
      </c>
      <c r="CN57" s="81">
        <v>0</v>
      </c>
      <c r="CO57" s="81">
        <v>2</v>
      </c>
      <c r="CP57" s="81">
        <v>2</v>
      </c>
      <c r="CQ57" s="81">
        <v>2</v>
      </c>
      <c r="CR57" s="81">
        <v>2</v>
      </c>
      <c r="CS57" s="81">
        <v>3</v>
      </c>
      <c r="CT57" s="81">
        <v>2</v>
      </c>
      <c r="CU57" s="81">
        <v>0</v>
      </c>
      <c r="CV57" s="81">
        <v>1</v>
      </c>
      <c r="CW57" s="81">
        <v>0</v>
      </c>
      <c r="CX57" s="81">
        <v>1</v>
      </c>
      <c r="CY57" s="81">
        <v>1</v>
      </c>
      <c r="CZ57" s="81">
        <v>0</v>
      </c>
      <c r="DA57" s="81">
        <v>1</v>
      </c>
    </row>
    <row r="58" spans="1:105" ht="12" customHeight="1" x14ac:dyDescent="0.3">
      <c r="A58" s="81" t="s">
        <v>615</v>
      </c>
      <c r="B58" s="81" t="s">
        <v>1438</v>
      </c>
      <c r="C58" s="81" t="s">
        <v>1441</v>
      </c>
      <c r="D58" s="81" t="s">
        <v>616</v>
      </c>
      <c r="E58" s="81" t="s">
        <v>395</v>
      </c>
      <c r="F58" s="81" t="s">
        <v>395</v>
      </c>
      <c r="G58" s="81"/>
      <c r="H58" s="94">
        <v>24</v>
      </c>
      <c r="I58" s="81" t="s">
        <v>12</v>
      </c>
      <c r="J58" s="81" t="s">
        <v>466</v>
      </c>
      <c r="K58" s="81">
        <v>24</v>
      </c>
      <c r="L58" s="81" t="s">
        <v>435</v>
      </c>
      <c r="M58" s="81" t="s">
        <v>468</v>
      </c>
      <c r="N58" s="81" t="s">
        <v>1430</v>
      </c>
      <c r="O58" s="81" t="s">
        <v>1442</v>
      </c>
      <c r="P58" s="81" t="s">
        <v>414</v>
      </c>
      <c r="Q58" s="81" t="s">
        <v>574</v>
      </c>
      <c r="R58" s="81">
        <v>0</v>
      </c>
      <c r="S58" s="81">
        <v>1</v>
      </c>
      <c r="T58" s="81">
        <v>0</v>
      </c>
      <c r="U58" s="81">
        <v>0</v>
      </c>
      <c r="V58" s="81">
        <v>0</v>
      </c>
      <c r="W58" s="81">
        <v>0</v>
      </c>
      <c r="X58" s="81">
        <v>0</v>
      </c>
      <c r="Y58" s="81">
        <v>1</v>
      </c>
      <c r="Z58" s="81">
        <v>0</v>
      </c>
      <c r="AA58" s="81">
        <v>0</v>
      </c>
      <c r="AB58" s="81">
        <v>0</v>
      </c>
      <c r="AC58" s="81">
        <v>0</v>
      </c>
      <c r="AD58" s="81">
        <v>0</v>
      </c>
      <c r="AE58" s="81">
        <v>0</v>
      </c>
      <c r="AF58" s="81">
        <v>0</v>
      </c>
      <c r="AG58" s="81">
        <v>0</v>
      </c>
      <c r="AH58" s="81">
        <v>0</v>
      </c>
      <c r="AI58" s="81">
        <v>0</v>
      </c>
      <c r="AJ58" s="81">
        <v>0</v>
      </c>
      <c r="AK58" s="81">
        <v>0</v>
      </c>
      <c r="AL58" s="81">
        <v>1</v>
      </c>
      <c r="AM58" s="81">
        <v>0</v>
      </c>
      <c r="AN58" s="81">
        <v>1</v>
      </c>
      <c r="AO58" s="81">
        <v>0</v>
      </c>
      <c r="AP58" s="81">
        <v>1</v>
      </c>
      <c r="AQ58" s="81">
        <v>0</v>
      </c>
      <c r="AR58" s="81">
        <v>1</v>
      </c>
      <c r="AS58" s="81">
        <v>0</v>
      </c>
      <c r="AT58" s="81">
        <v>1</v>
      </c>
      <c r="AU58" s="81">
        <v>0</v>
      </c>
      <c r="AV58" s="81">
        <v>1</v>
      </c>
      <c r="AW58" s="81">
        <v>0</v>
      </c>
      <c r="AX58" s="81">
        <v>0</v>
      </c>
      <c r="AY58" s="81">
        <v>0</v>
      </c>
      <c r="AZ58" s="81">
        <v>1</v>
      </c>
      <c r="BA58" s="81">
        <v>1</v>
      </c>
      <c r="BB58" s="81">
        <v>0</v>
      </c>
      <c r="BC58" s="81">
        <v>0</v>
      </c>
      <c r="BD58" s="81">
        <v>0</v>
      </c>
      <c r="BE58" s="81">
        <v>0</v>
      </c>
      <c r="BF58" s="81">
        <v>0</v>
      </c>
      <c r="BG58" s="81">
        <v>0</v>
      </c>
      <c r="BH58" s="81">
        <v>0</v>
      </c>
      <c r="BI58" s="81">
        <v>0</v>
      </c>
      <c r="BJ58" s="81">
        <v>0</v>
      </c>
      <c r="BK58" s="81">
        <v>1</v>
      </c>
      <c r="BL58" s="81">
        <v>0</v>
      </c>
      <c r="BM58" s="81">
        <v>0</v>
      </c>
      <c r="BN58" s="81">
        <v>0</v>
      </c>
      <c r="BO58" s="81">
        <v>3</v>
      </c>
      <c r="BP58" s="81">
        <v>2</v>
      </c>
      <c r="BQ58" s="81">
        <v>2</v>
      </c>
      <c r="BR58" s="81">
        <v>2</v>
      </c>
      <c r="BS58" s="81">
        <v>3</v>
      </c>
      <c r="BT58" s="81">
        <v>2</v>
      </c>
      <c r="BU58" s="81">
        <v>2</v>
      </c>
      <c r="BV58" s="81">
        <v>1</v>
      </c>
      <c r="BW58" s="81">
        <v>2</v>
      </c>
      <c r="BX58" s="81">
        <v>2</v>
      </c>
      <c r="BY58" s="81">
        <v>2</v>
      </c>
      <c r="BZ58" s="81">
        <v>1</v>
      </c>
      <c r="CA58" s="81">
        <v>3</v>
      </c>
      <c r="CB58" s="81">
        <v>3</v>
      </c>
      <c r="CC58" s="81">
        <v>3</v>
      </c>
      <c r="CD58" s="81">
        <v>2</v>
      </c>
      <c r="CE58" s="81">
        <v>2</v>
      </c>
      <c r="CF58" s="81">
        <v>2</v>
      </c>
      <c r="CG58" s="81">
        <v>3</v>
      </c>
      <c r="CH58" s="81">
        <v>0</v>
      </c>
      <c r="CI58" s="81">
        <v>1</v>
      </c>
      <c r="CJ58" s="81">
        <v>0</v>
      </c>
      <c r="CK58" s="81">
        <v>0</v>
      </c>
      <c r="CL58" s="81">
        <v>0</v>
      </c>
      <c r="CM58" s="81">
        <v>1</v>
      </c>
      <c r="CN58" s="81">
        <v>0</v>
      </c>
      <c r="CO58" s="81">
        <v>2</v>
      </c>
      <c r="CP58" s="81">
        <v>2</v>
      </c>
      <c r="CQ58" s="81">
        <v>2</v>
      </c>
      <c r="CR58" s="81">
        <v>2</v>
      </c>
      <c r="CS58" s="81">
        <v>3</v>
      </c>
      <c r="CT58" s="81">
        <v>2</v>
      </c>
      <c r="CU58" s="81">
        <v>0</v>
      </c>
      <c r="CV58" s="81">
        <v>1</v>
      </c>
      <c r="CW58" s="81">
        <v>0</v>
      </c>
      <c r="CX58" s="81">
        <v>1</v>
      </c>
      <c r="CY58" s="81">
        <v>1</v>
      </c>
      <c r="CZ58" s="81">
        <v>0</v>
      </c>
      <c r="DA58" s="81">
        <v>1</v>
      </c>
    </row>
    <row r="59" spans="1:105" ht="12" customHeight="1" x14ac:dyDescent="0.3">
      <c r="A59" s="81" t="s">
        <v>617</v>
      </c>
      <c r="B59" s="81" t="s">
        <v>1438</v>
      </c>
      <c r="C59" s="81" t="s">
        <v>1441</v>
      </c>
      <c r="D59" s="81" t="s">
        <v>618</v>
      </c>
      <c r="E59" s="81" t="s">
        <v>395</v>
      </c>
      <c r="F59" s="81" t="s">
        <v>395</v>
      </c>
      <c r="G59" s="81"/>
      <c r="H59" s="94">
        <v>24</v>
      </c>
      <c r="I59" s="81" t="s">
        <v>12</v>
      </c>
      <c r="J59" s="81" t="s">
        <v>466</v>
      </c>
      <c r="K59" s="81">
        <v>24</v>
      </c>
      <c r="L59" s="81" t="s">
        <v>435</v>
      </c>
      <c r="M59" s="81" t="s">
        <v>468</v>
      </c>
      <c r="N59" s="81" t="s">
        <v>1430</v>
      </c>
      <c r="O59" s="81" t="s">
        <v>1442</v>
      </c>
      <c r="P59" s="81" t="s">
        <v>414</v>
      </c>
      <c r="Q59" s="81" t="s">
        <v>574</v>
      </c>
      <c r="R59" s="81">
        <v>0</v>
      </c>
      <c r="S59" s="81">
        <v>1</v>
      </c>
      <c r="T59" s="81">
        <v>0</v>
      </c>
      <c r="U59" s="81">
        <v>0</v>
      </c>
      <c r="V59" s="81">
        <v>0</v>
      </c>
      <c r="W59" s="81">
        <v>0</v>
      </c>
      <c r="X59" s="81">
        <v>0</v>
      </c>
      <c r="Y59" s="81">
        <v>1</v>
      </c>
      <c r="Z59" s="81">
        <v>0</v>
      </c>
      <c r="AA59" s="81">
        <v>0</v>
      </c>
      <c r="AB59" s="81">
        <v>0</v>
      </c>
      <c r="AC59" s="81">
        <v>0</v>
      </c>
      <c r="AD59" s="81">
        <v>0</v>
      </c>
      <c r="AE59" s="81">
        <v>0</v>
      </c>
      <c r="AF59" s="81">
        <v>0</v>
      </c>
      <c r="AG59" s="81">
        <v>0</v>
      </c>
      <c r="AH59" s="81">
        <v>0</v>
      </c>
      <c r="AI59" s="81">
        <v>0</v>
      </c>
      <c r="AJ59" s="81">
        <v>0</v>
      </c>
      <c r="AK59" s="81">
        <v>0</v>
      </c>
      <c r="AL59" s="81">
        <v>1</v>
      </c>
      <c r="AM59" s="81">
        <v>0</v>
      </c>
      <c r="AN59" s="81">
        <v>1</v>
      </c>
      <c r="AO59" s="81">
        <v>0</v>
      </c>
      <c r="AP59" s="81">
        <v>1</v>
      </c>
      <c r="AQ59" s="81">
        <v>0</v>
      </c>
      <c r="AR59" s="81">
        <v>1</v>
      </c>
      <c r="AS59" s="81">
        <v>0</v>
      </c>
      <c r="AT59" s="81">
        <v>1</v>
      </c>
      <c r="AU59" s="81">
        <v>0</v>
      </c>
      <c r="AV59" s="81">
        <v>1</v>
      </c>
      <c r="AW59" s="81">
        <v>0</v>
      </c>
      <c r="AX59" s="81">
        <v>0</v>
      </c>
      <c r="AY59" s="81">
        <v>0</v>
      </c>
      <c r="AZ59" s="81">
        <v>1</v>
      </c>
      <c r="BA59" s="81">
        <v>1</v>
      </c>
      <c r="BB59" s="81">
        <v>0</v>
      </c>
      <c r="BC59" s="81">
        <v>0</v>
      </c>
      <c r="BD59" s="81">
        <v>0</v>
      </c>
      <c r="BE59" s="81">
        <v>0</v>
      </c>
      <c r="BF59" s="81">
        <v>0</v>
      </c>
      <c r="BG59" s="81">
        <v>0</v>
      </c>
      <c r="BH59" s="81">
        <v>0</v>
      </c>
      <c r="BI59" s="81">
        <v>0</v>
      </c>
      <c r="BJ59" s="81">
        <v>0</v>
      </c>
      <c r="BK59" s="81">
        <v>1</v>
      </c>
      <c r="BL59" s="81">
        <v>0</v>
      </c>
      <c r="BM59" s="81">
        <v>0</v>
      </c>
      <c r="BN59" s="81">
        <v>0</v>
      </c>
      <c r="BO59" s="81">
        <v>3</v>
      </c>
      <c r="BP59" s="81">
        <v>2</v>
      </c>
      <c r="BQ59" s="81">
        <v>2</v>
      </c>
      <c r="BR59" s="81">
        <v>2</v>
      </c>
      <c r="BS59" s="81">
        <v>3</v>
      </c>
      <c r="BT59" s="81">
        <v>2</v>
      </c>
      <c r="BU59" s="81">
        <v>2</v>
      </c>
      <c r="BV59" s="81">
        <v>1</v>
      </c>
      <c r="BW59" s="81">
        <v>2</v>
      </c>
      <c r="BX59" s="81">
        <v>2</v>
      </c>
      <c r="BY59" s="81">
        <v>2</v>
      </c>
      <c r="BZ59" s="81">
        <v>1</v>
      </c>
      <c r="CA59" s="81">
        <v>3</v>
      </c>
      <c r="CB59" s="81">
        <v>3</v>
      </c>
      <c r="CC59" s="81">
        <v>3</v>
      </c>
      <c r="CD59" s="81">
        <v>2</v>
      </c>
      <c r="CE59" s="81">
        <v>2</v>
      </c>
      <c r="CF59" s="81">
        <v>2</v>
      </c>
      <c r="CG59" s="81">
        <v>3</v>
      </c>
      <c r="CH59" s="81">
        <v>0</v>
      </c>
      <c r="CI59" s="81">
        <v>1</v>
      </c>
      <c r="CJ59" s="81">
        <v>0</v>
      </c>
      <c r="CK59" s="81">
        <v>0</v>
      </c>
      <c r="CL59" s="81">
        <v>0</v>
      </c>
      <c r="CM59" s="81">
        <v>1</v>
      </c>
      <c r="CN59" s="81">
        <v>0</v>
      </c>
      <c r="CO59" s="81">
        <v>2</v>
      </c>
      <c r="CP59" s="81">
        <v>2</v>
      </c>
      <c r="CQ59" s="81">
        <v>2</v>
      </c>
      <c r="CR59" s="81">
        <v>2</v>
      </c>
      <c r="CS59" s="81">
        <v>3</v>
      </c>
      <c r="CT59" s="81">
        <v>2</v>
      </c>
      <c r="CU59" s="81">
        <v>0</v>
      </c>
      <c r="CV59" s="81">
        <v>1</v>
      </c>
      <c r="CW59" s="81">
        <v>0</v>
      </c>
      <c r="CX59" s="81">
        <v>1</v>
      </c>
      <c r="CY59" s="81">
        <v>1</v>
      </c>
      <c r="CZ59" s="81">
        <v>0</v>
      </c>
      <c r="DA59" s="81">
        <v>1</v>
      </c>
    </row>
    <row r="60" spans="1:105" ht="12" customHeight="1" x14ac:dyDescent="0.3">
      <c r="A60" s="81" t="s">
        <v>619</v>
      </c>
      <c r="B60" s="81" t="s">
        <v>1438</v>
      </c>
      <c r="C60" s="81" t="s">
        <v>1441</v>
      </c>
      <c r="D60" s="81" t="s">
        <v>620</v>
      </c>
      <c r="E60" s="81" t="s">
        <v>395</v>
      </c>
      <c r="F60" s="81" t="s">
        <v>395</v>
      </c>
      <c r="G60" s="81"/>
      <c r="H60" s="94">
        <v>24</v>
      </c>
      <c r="I60" s="81" t="s">
        <v>12</v>
      </c>
      <c r="J60" s="81" t="s">
        <v>466</v>
      </c>
      <c r="K60" s="81">
        <v>24</v>
      </c>
      <c r="L60" s="81" t="s">
        <v>435</v>
      </c>
      <c r="M60" s="81" t="s">
        <v>468</v>
      </c>
      <c r="N60" s="81" t="s">
        <v>1430</v>
      </c>
      <c r="O60" s="81" t="s">
        <v>1442</v>
      </c>
      <c r="P60" s="81" t="s">
        <v>414</v>
      </c>
      <c r="Q60" s="81" t="s">
        <v>574</v>
      </c>
      <c r="R60" s="81">
        <v>0</v>
      </c>
      <c r="S60" s="81">
        <v>1</v>
      </c>
      <c r="T60" s="81">
        <v>0</v>
      </c>
      <c r="U60" s="81">
        <v>0</v>
      </c>
      <c r="V60" s="81">
        <v>0</v>
      </c>
      <c r="W60" s="81">
        <v>0</v>
      </c>
      <c r="X60" s="81">
        <v>0</v>
      </c>
      <c r="Y60" s="81">
        <v>1</v>
      </c>
      <c r="Z60" s="81">
        <v>0</v>
      </c>
      <c r="AA60" s="81">
        <v>0</v>
      </c>
      <c r="AB60" s="81">
        <v>0</v>
      </c>
      <c r="AC60" s="81">
        <v>0</v>
      </c>
      <c r="AD60" s="81">
        <v>0</v>
      </c>
      <c r="AE60" s="81">
        <v>0</v>
      </c>
      <c r="AF60" s="81">
        <v>0</v>
      </c>
      <c r="AG60" s="81">
        <v>0</v>
      </c>
      <c r="AH60" s="81">
        <v>0</v>
      </c>
      <c r="AI60" s="81">
        <v>0</v>
      </c>
      <c r="AJ60" s="81">
        <v>0</v>
      </c>
      <c r="AK60" s="81">
        <v>0</v>
      </c>
      <c r="AL60" s="81">
        <v>1</v>
      </c>
      <c r="AM60" s="81">
        <v>0</v>
      </c>
      <c r="AN60" s="81">
        <v>1</v>
      </c>
      <c r="AO60" s="81">
        <v>0</v>
      </c>
      <c r="AP60" s="81">
        <v>1</v>
      </c>
      <c r="AQ60" s="81">
        <v>0</v>
      </c>
      <c r="AR60" s="81">
        <v>1</v>
      </c>
      <c r="AS60" s="81">
        <v>0</v>
      </c>
      <c r="AT60" s="81">
        <v>1</v>
      </c>
      <c r="AU60" s="81">
        <v>0</v>
      </c>
      <c r="AV60" s="81">
        <v>1</v>
      </c>
      <c r="AW60" s="81">
        <v>0</v>
      </c>
      <c r="AX60" s="81">
        <v>0</v>
      </c>
      <c r="AY60" s="81">
        <v>0</v>
      </c>
      <c r="AZ60" s="81">
        <v>1</v>
      </c>
      <c r="BA60" s="81">
        <v>1</v>
      </c>
      <c r="BB60" s="81">
        <v>0</v>
      </c>
      <c r="BC60" s="81">
        <v>0</v>
      </c>
      <c r="BD60" s="81">
        <v>0</v>
      </c>
      <c r="BE60" s="81">
        <v>0</v>
      </c>
      <c r="BF60" s="81">
        <v>0</v>
      </c>
      <c r="BG60" s="81">
        <v>0</v>
      </c>
      <c r="BH60" s="81">
        <v>0</v>
      </c>
      <c r="BI60" s="81">
        <v>0</v>
      </c>
      <c r="BJ60" s="81">
        <v>0</v>
      </c>
      <c r="BK60" s="81">
        <v>1</v>
      </c>
      <c r="BL60" s="81">
        <v>0</v>
      </c>
      <c r="BM60" s="81">
        <v>0</v>
      </c>
      <c r="BN60" s="81">
        <v>0</v>
      </c>
      <c r="BO60" s="81">
        <v>3</v>
      </c>
      <c r="BP60" s="81">
        <v>2</v>
      </c>
      <c r="BQ60" s="81">
        <v>2</v>
      </c>
      <c r="BR60" s="81">
        <v>2</v>
      </c>
      <c r="BS60" s="81">
        <v>3</v>
      </c>
      <c r="BT60" s="81">
        <v>2</v>
      </c>
      <c r="BU60" s="81">
        <v>2</v>
      </c>
      <c r="BV60" s="81">
        <v>1</v>
      </c>
      <c r="BW60" s="81">
        <v>2</v>
      </c>
      <c r="BX60" s="81">
        <v>2</v>
      </c>
      <c r="BY60" s="81">
        <v>2</v>
      </c>
      <c r="BZ60" s="81">
        <v>1</v>
      </c>
      <c r="CA60" s="81">
        <v>3</v>
      </c>
      <c r="CB60" s="81">
        <v>3</v>
      </c>
      <c r="CC60" s="81">
        <v>3</v>
      </c>
      <c r="CD60" s="81">
        <v>2</v>
      </c>
      <c r="CE60" s="81">
        <v>2</v>
      </c>
      <c r="CF60" s="81">
        <v>2</v>
      </c>
      <c r="CG60" s="81">
        <v>3</v>
      </c>
      <c r="CH60" s="81">
        <v>0</v>
      </c>
      <c r="CI60" s="81">
        <v>1</v>
      </c>
      <c r="CJ60" s="81">
        <v>0</v>
      </c>
      <c r="CK60" s="81">
        <v>0</v>
      </c>
      <c r="CL60" s="81">
        <v>0</v>
      </c>
      <c r="CM60" s="81">
        <v>1</v>
      </c>
      <c r="CN60" s="81">
        <v>0</v>
      </c>
      <c r="CO60" s="81">
        <v>2</v>
      </c>
      <c r="CP60" s="81">
        <v>2</v>
      </c>
      <c r="CQ60" s="81">
        <v>2</v>
      </c>
      <c r="CR60" s="81">
        <v>2</v>
      </c>
      <c r="CS60" s="81">
        <v>3</v>
      </c>
      <c r="CT60" s="81">
        <v>2</v>
      </c>
      <c r="CU60" s="81">
        <v>0</v>
      </c>
      <c r="CV60" s="81">
        <v>1</v>
      </c>
      <c r="CW60" s="81">
        <v>0</v>
      </c>
      <c r="CX60" s="81">
        <v>1</v>
      </c>
      <c r="CY60" s="81">
        <v>1</v>
      </c>
      <c r="CZ60" s="81">
        <v>0</v>
      </c>
      <c r="DA60" s="81">
        <v>1</v>
      </c>
    </row>
    <row r="61" spans="1:105" ht="12" customHeight="1" x14ac:dyDescent="0.3">
      <c r="A61" s="81" t="s">
        <v>621</v>
      </c>
      <c r="B61" s="81" t="s">
        <v>1438</v>
      </c>
      <c r="C61" s="81" t="s">
        <v>1441</v>
      </c>
      <c r="D61" s="81" t="s">
        <v>622</v>
      </c>
      <c r="E61" s="81" t="s">
        <v>395</v>
      </c>
      <c r="F61" s="81" t="s">
        <v>395</v>
      </c>
      <c r="G61" s="81"/>
      <c r="H61" s="94">
        <v>24</v>
      </c>
      <c r="I61" s="81" t="s">
        <v>12</v>
      </c>
      <c r="J61" s="81" t="s">
        <v>466</v>
      </c>
      <c r="K61" s="81">
        <v>24</v>
      </c>
      <c r="L61" s="81" t="s">
        <v>435</v>
      </c>
      <c r="M61" s="81" t="s">
        <v>468</v>
      </c>
      <c r="N61" s="81" t="s">
        <v>1430</v>
      </c>
      <c r="O61" s="81" t="s">
        <v>1442</v>
      </c>
      <c r="P61" s="81" t="s">
        <v>414</v>
      </c>
      <c r="Q61" s="81" t="s">
        <v>574</v>
      </c>
      <c r="R61" s="81">
        <v>0</v>
      </c>
      <c r="S61" s="81">
        <v>1</v>
      </c>
      <c r="T61" s="81">
        <v>0</v>
      </c>
      <c r="U61" s="81">
        <v>0</v>
      </c>
      <c r="V61" s="81">
        <v>0</v>
      </c>
      <c r="W61" s="81">
        <v>0</v>
      </c>
      <c r="X61" s="81">
        <v>0</v>
      </c>
      <c r="Y61" s="81">
        <v>1</v>
      </c>
      <c r="Z61" s="81">
        <v>0</v>
      </c>
      <c r="AA61" s="81">
        <v>0</v>
      </c>
      <c r="AB61" s="81">
        <v>0</v>
      </c>
      <c r="AC61" s="81">
        <v>0</v>
      </c>
      <c r="AD61" s="81">
        <v>0</v>
      </c>
      <c r="AE61" s="81">
        <v>0</v>
      </c>
      <c r="AF61" s="81">
        <v>0</v>
      </c>
      <c r="AG61" s="81">
        <v>0</v>
      </c>
      <c r="AH61" s="81">
        <v>0</v>
      </c>
      <c r="AI61" s="81">
        <v>0</v>
      </c>
      <c r="AJ61" s="81">
        <v>0</v>
      </c>
      <c r="AK61" s="81">
        <v>0</v>
      </c>
      <c r="AL61" s="81">
        <v>1</v>
      </c>
      <c r="AM61" s="81">
        <v>0</v>
      </c>
      <c r="AN61" s="81">
        <v>1</v>
      </c>
      <c r="AO61" s="81">
        <v>0</v>
      </c>
      <c r="AP61" s="81">
        <v>1</v>
      </c>
      <c r="AQ61" s="81">
        <v>0</v>
      </c>
      <c r="AR61" s="81">
        <v>1</v>
      </c>
      <c r="AS61" s="81">
        <v>0</v>
      </c>
      <c r="AT61" s="81">
        <v>1</v>
      </c>
      <c r="AU61" s="81">
        <v>0</v>
      </c>
      <c r="AV61" s="81">
        <v>1</v>
      </c>
      <c r="AW61" s="81">
        <v>0</v>
      </c>
      <c r="AX61" s="81">
        <v>0</v>
      </c>
      <c r="AY61" s="81">
        <v>0</v>
      </c>
      <c r="AZ61" s="81">
        <v>1</v>
      </c>
      <c r="BA61" s="81">
        <v>1</v>
      </c>
      <c r="BB61" s="81">
        <v>0</v>
      </c>
      <c r="BC61" s="81">
        <v>0</v>
      </c>
      <c r="BD61" s="81">
        <v>0</v>
      </c>
      <c r="BE61" s="81">
        <v>0</v>
      </c>
      <c r="BF61" s="81">
        <v>0</v>
      </c>
      <c r="BG61" s="81">
        <v>0</v>
      </c>
      <c r="BH61" s="81">
        <v>0</v>
      </c>
      <c r="BI61" s="81">
        <v>0</v>
      </c>
      <c r="BJ61" s="81">
        <v>0</v>
      </c>
      <c r="BK61" s="81">
        <v>1</v>
      </c>
      <c r="BL61" s="81">
        <v>0</v>
      </c>
      <c r="BM61" s="81">
        <v>0</v>
      </c>
      <c r="BN61" s="81">
        <v>0</v>
      </c>
      <c r="BO61" s="81">
        <v>3</v>
      </c>
      <c r="BP61" s="81">
        <v>2</v>
      </c>
      <c r="BQ61" s="81">
        <v>2</v>
      </c>
      <c r="BR61" s="81">
        <v>2</v>
      </c>
      <c r="BS61" s="81">
        <v>3</v>
      </c>
      <c r="BT61" s="81">
        <v>2</v>
      </c>
      <c r="BU61" s="81">
        <v>2</v>
      </c>
      <c r="BV61" s="81">
        <v>1</v>
      </c>
      <c r="BW61" s="81">
        <v>2</v>
      </c>
      <c r="BX61" s="81">
        <v>2</v>
      </c>
      <c r="BY61" s="81">
        <v>2</v>
      </c>
      <c r="BZ61" s="81">
        <v>1</v>
      </c>
      <c r="CA61" s="81">
        <v>3</v>
      </c>
      <c r="CB61" s="81">
        <v>3</v>
      </c>
      <c r="CC61" s="81">
        <v>3</v>
      </c>
      <c r="CD61" s="81">
        <v>2</v>
      </c>
      <c r="CE61" s="81">
        <v>2</v>
      </c>
      <c r="CF61" s="81">
        <v>2</v>
      </c>
      <c r="CG61" s="81">
        <v>3</v>
      </c>
      <c r="CH61" s="81">
        <v>0</v>
      </c>
      <c r="CI61" s="81">
        <v>1</v>
      </c>
      <c r="CJ61" s="81">
        <v>0</v>
      </c>
      <c r="CK61" s="81">
        <v>0</v>
      </c>
      <c r="CL61" s="81">
        <v>0</v>
      </c>
      <c r="CM61" s="81">
        <v>1</v>
      </c>
      <c r="CN61" s="81">
        <v>0</v>
      </c>
      <c r="CO61" s="81">
        <v>2</v>
      </c>
      <c r="CP61" s="81">
        <v>2</v>
      </c>
      <c r="CQ61" s="81">
        <v>2</v>
      </c>
      <c r="CR61" s="81">
        <v>2</v>
      </c>
      <c r="CS61" s="81">
        <v>3</v>
      </c>
      <c r="CT61" s="81">
        <v>2</v>
      </c>
      <c r="CU61" s="81">
        <v>0</v>
      </c>
      <c r="CV61" s="81">
        <v>1</v>
      </c>
      <c r="CW61" s="81">
        <v>0</v>
      </c>
      <c r="CX61" s="81">
        <v>1</v>
      </c>
      <c r="CY61" s="81">
        <v>1</v>
      </c>
      <c r="CZ61" s="81">
        <v>0</v>
      </c>
      <c r="DA61" s="81">
        <v>1</v>
      </c>
    </row>
    <row r="62" spans="1:105" ht="12" customHeight="1" x14ac:dyDescent="0.3">
      <c r="A62" s="81" t="s">
        <v>623</v>
      </c>
      <c r="B62" s="81" t="s">
        <v>1438</v>
      </c>
      <c r="C62" s="81" t="s">
        <v>1441</v>
      </c>
      <c r="D62" s="81" t="s">
        <v>624</v>
      </c>
      <c r="E62" s="81" t="s">
        <v>395</v>
      </c>
      <c r="F62" s="81" t="s">
        <v>395</v>
      </c>
      <c r="G62" s="81"/>
      <c r="H62" s="94">
        <v>24</v>
      </c>
      <c r="I62" s="81" t="s">
        <v>12</v>
      </c>
      <c r="J62" s="81" t="s">
        <v>466</v>
      </c>
      <c r="K62" s="81">
        <v>24</v>
      </c>
      <c r="L62" s="81" t="s">
        <v>435</v>
      </c>
      <c r="M62" s="81" t="s">
        <v>468</v>
      </c>
      <c r="N62" s="81" t="s">
        <v>1430</v>
      </c>
      <c r="O62" s="81" t="s">
        <v>1442</v>
      </c>
      <c r="P62" s="81" t="s">
        <v>414</v>
      </c>
      <c r="Q62" s="81" t="s">
        <v>574</v>
      </c>
      <c r="R62" s="81">
        <v>0</v>
      </c>
      <c r="S62" s="81">
        <v>1</v>
      </c>
      <c r="T62" s="81">
        <v>0</v>
      </c>
      <c r="U62" s="81">
        <v>0</v>
      </c>
      <c r="V62" s="81">
        <v>0</v>
      </c>
      <c r="W62" s="81">
        <v>0</v>
      </c>
      <c r="X62" s="81">
        <v>0</v>
      </c>
      <c r="Y62" s="81">
        <v>1</v>
      </c>
      <c r="Z62" s="81">
        <v>0</v>
      </c>
      <c r="AA62" s="81">
        <v>0</v>
      </c>
      <c r="AB62" s="81">
        <v>0</v>
      </c>
      <c r="AC62" s="81">
        <v>0</v>
      </c>
      <c r="AD62" s="81">
        <v>0</v>
      </c>
      <c r="AE62" s="81">
        <v>0</v>
      </c>
      <c r="AF62" s="81">
        <v>0</v>
      </c>
      <c r="AG62" s="81">
        <v>0</v>
      </c>
      <c r="AH62" s="81">
        <v>0</v>
      </c>
      <c r="AI62" s="81">
        <v>0</v>
      </c>
      <c r="AJ62" s="81">
        <v>0</v>
      </c>
      <c r="AK62" s="81">
        <v>0</v>
      </c>
      <c r="AL62" s="81">
        <v>1</v>
      </c>
      <c r="AM62" s="81">
        <v>0</v>
      </c>
      <c r="AN62" s="81">
        <v>1</v>
      </c>
      <c r="AO62" s="81">
        <v>0</v>
      </c>
      <c r="AP62" s="81">
        <v>1</v>
      </c>
      <c r="AQ62" s="81">
        <v>0</v>
      </c>
      <c r="AR62" s="81">
        <v>1</v>
      </c>
      <c r="AS62" s="81">
        <v>0</v>
      </c>
      <c r="AT62" s="81">
        <v>1</v>
      </c>
      <c r="AU62" s="81">
        <v>0</v>
      </c>
      <c r="AV62" s="81">
        <v>1</v>
      </c>
      <c r="AW62" s="81">
        <v>0</v>
      </c>
      <c r="AX62" s="81">
        <v>0</v>
      </c>
      <c r="AY62" s="81">
        <v>0</v>
      </c>
      <c r="AZ62" s="81">
        <v>1</v>
      </c>
      <c r="BA62" s="81">
        <v>1</v>
      </c>
      <c r="BB62" s="81">
        <v>0</v>
      </c>
      <c r="BC62" s="81">
        <v>0</v>
      </c>
      <c r="BD62" s="81">
        <v>0</v>
      </c>
      <c r="BE62" s="81">
        <v>0</v>
      </c>
      <c r="BF62" s="81">
        <v>0</v>
      </c>
      <c r="BG62" s="81">
        <v>0</v>
      </c>
      <c r="BH62" s="81">
        <v>0</v>
      </c>
      <c r="BI62" s="81">
        <v>0</v>
      </c>
      <c r="BJ62" s="81">
        <v>0</v>
      </c>
      <c r="BK62" s="81">
        <v>1</v>
      </c>
      <c r="BL62" s="81">
        <v>0</v>
      </c>
      <c r="BM62" s="81">
        <v>0</v>
      </c>
      <c r="BN62" s="81">
        <v>0</v>
      </c>
      <c r="BO62" s="81">
        <v>3</v>
      </c>
      <c r="BP62" s="81">
        <v>2</v>
      </c>
      <c r="BQ62" s="81">
        <v>2</v>
      </c>
      <c r="BR62" s="81">
        <v>2</v>
      </c>
      <c r="BS62" s="81">
        <v>3</v>
      </c>
      <c r="BT62" s="81">
        <v>2</v>
      </c>
      <c r="BU62" s="81">
        <v>2</v>
      </c>
      <c r="BV62" s="81">
        <v>1</v>
      </c>
      <c r="BW62" s="81">
        <v>2</v>
      </c>
      <c r="BX62" s="81">
        <v>2</v>
      </c>
      <c r="BY62" s="81">
        <v>2</v>
      </c>
      <c r="BZ62" s="81">
        <v>1</v>
      </c>
      <c r="CA62" s="81">
        <v>3</v>
      </c>
      <c r="CB62" s="81">
        <v>3</v>
      </c>
      <c r="CC62" s="81">
        <v>3</v>
      </c>
      <c r="CD62" s="81">
        <v>2</v>
      </c>
      <c r="CE62" s="81">
        <v>2</v>
      </c>
      <c r="CF62" s="81">
        <v>2</v>
      </c>
      <c r="CG62" s="81">
        <v>3</v>
      </c>
      <c r="CH62" s="81">
        <v>0</v>
      </c>
      <c r="CI62" s="81">
        <v>1</v>
      </c>
      <c r="CJ62" s="81">
        <v>0</v>
      </c>
      <c r="CK62" s="81">
        <v>0</v>
      </c>
      <c r="CL62" s="81">
        <v>0</v>
      </c>
      <c r="CM62" s="81">
        <v>1</v>
      </c>
      <c r="CN62" s="81">
        <v>0</v>
      </c>
      <c r="CO62" s="81">
        <v>2</v>
      </c>
      <c r="CP62" s="81">
        <v>2</v>
      </c>
      <c r="CQ62" s="81">
        <v>2</v>
      </c>
      <c r="CR62" s="81">
        <v>2</v>
      </c>
      <c r="CS62" s="81">
        <v>3</v>
      </c>
      <c r="CT62" s="81">
        <v>2</v>
      </c>
      <c r="CU62" s="81">
        <v>0</v>
      </c>
      <c r="CV62" s="81">
        <v>1</v>
      </c>
      <c r="CW62" s="81">
        <v>0</v>
      </c>
      <c r="CX62" s="81">
        <v>1</v>
      </c>
      <c r="CY62" s="81">
        <v>1</v>
      </c>
      <c r="CZ62" s="81">
        <v>0</v>
      </c>
      <c r="DA62" s="81">
        <v>1</v>
      </c>
    </row>
    <row r="63" spans="1:105" ht="12" customHeight="1" x14ac:dyDescent="0.3">
      <c r="A63" s="81" t="s">
        <v>625</v>
      </c>
      <c r="B63" s="81" t="s">
        <v>1438</v>
      </c>
      <c r="C63" s="81" t="s">
        <v>1441</v>
      </c>
      <c r="D63" s="81" t="s">
        <v>626</v>
      </c>
      <c r="E63" s="81" t="s">
        <v>395</v>
      </c>
      <c r="F63" s="81" t="s">
        <v>395</v>
      </c>
      <c r="G63" s="81"/>
      <c r="H63" s="94">
        <v>24</v>
      </c>
      <c r="I63" s="81" t="s">
        <v>12</v>
      </c>
      <c r="J63" s="81" t="s">
        <v>466</v>
      </c>
      <c r="K63" s="81">
        <v>24</v>
      </c>
      <c r="L63" s="81" t="s">
        <v>435</v>
      </c>
      <c r="M63" s="81" t="s">
        <v>468</v>
      </c>
      <c r="N63" s="81" t="s">
        <v>1430</v>
      </c>
      <c r="O63" s="81" t="s">
        <v>1442</v>
      </c>
      <c r="P63" s="81" t="s">
        <v>414</v>
      </c>
      <c r="Q63" s="81" t="s">
        <v>574</v>
      </c>
      <c r="R63" s="81">
        <v>0</v>
      </c>
      <c r="S63" s="81">
        <v>1</v>
      </c>
      <c r="T63" s="81">
        <v>0</v>
      </c>
      <c r="U63" s="81">
        <v>0</v>
      </c>
      <c r="V63" s="81">
        <v>0</v>
      </c>
      <c r="W63" s="81">
        <v>0</v>
      </c>
      <c r="X63" s="81">
        <v>0</v>
      </c>
      <c r="Y63" s="81">
        <v>1</v>
      </c>
      <c r="Z63" s="81">
        <v>0</v>
      </c>
      <c r="AA63" s="81">
        <v>0</v>
      </c>
      <c r="AB63" s="81">
        <v>0</v>
      </c>
      <c r="AC63" s="81">
        <v>0</v>
      </c>
      <c r="AD63" s="81">
        <v>0</v>
      </c>
      <c r="AE63" s="81">
        <v>0</v>
      </c>
      <c r="AF63" s="81">
        <v>0</v>
      </c>
      <c r="AG63" s="81">
        <v>0</v>
      </c>
      <c r="AH63" s="81">
        <v>0</v>
      </c>
      <c r="AI63" s="81">
        <v>0</v>
      </c>
      <c r="AJ63" s="81">
        <v>0</v>
      </c>
      <c r="AK63" s="81">
        <v>0</v>
      </c>
      <c r="AL63" s="81">
        <v>1</v>
      </c>
      <c r="AM63" s="81">
        <v>0</v>
      </c>
      <c r="AN63" s="81">
        <v>1</v>
      </c>
      <c r="AO63" s="81">
        <v>0</v>
      </c>
      <c r="AP63" s="81">
        <v>1</v>
      </c>
      <c r="AQ63" s="81">
        <v>0</v>
      </c>
      <c r="AR63" s="81">
        <v>1</v>
      </c>
      <c r="AS63" s="81">
        <v>0</v>
      </c>
      <c r="AT63" s="81">
        <v>1</v>
      </c>
      <c r="AU63" s="81">
        <v>0</v>
      </c>
      <c r="AV63" s="81">
        <v>1</v>
      </c>
      <c r="AW63" s="81">
        <v>0</v>
      </c>
      <c r="AX63" s="81">
        <v>0</v>
      </c>
      <c r="AY63" s="81">
        <v>0</v>
      </c>
      <c r="AZ63" s="81">
        <v>1</v>
      </c>
      <c r="BA63" s="81">
        <v>1</v>
      </c>
      <c r="BB63" s="81">
        <v>0</v>
      </c>
      <c r="BC63" s="81">
        <v>0</v>
      </c>
      <c r="BD63" s="81">
        <v>0</v>
      </c>
      <c r="BE63" s="81">
        <v>0</v>
      </c>
      <c r="BF63" s="81">
        <v>0</v>
      </c>
      <c r="BG63" s="81">
        <v>0</v>
      </c>
      <c r="BH63" s="81">
        <v>0</v>
      </c>
      <c r="BI63" s="81">
        <v>0</v>
      </c>
      <c r="BJ63" s="81">
        <v>0</v>
      </c>
      <c r="BK63" s="81">
        <v>1</v>
      </c>
      <c r="BL63" s="81">
        <v>0</v>
      </c>
      <c r="BM63" s="81">
        <v>0</v>
      </c>
      <c r="BN63" s="81">
        <v>0</v>
      </c>
      <c r="BO63" s="81">
        <v>3</v>
      </c>
      <c r="BP63" s="81">
        <v>2</v>
      </c>
      <c r="BQ63" s="81">
        <v>2</v>
      </c>
      <c r="BR63" s="81">
        <v>2</v>
      </c>
      <c r="BS63" s="81">
        <v>3</v>
      </c>
      <c r="BT63" s="81">
        <v>2</v>
      </c>
      <c r="BU63" s="81">
        <v>2</v>
      </c>
      <c r="BV63" s="81">
        <v>1</v>
      </c>
      <c r="BW63" s="81">
        <v>2</v>
      </c>
      <c r="BX63" s="81">
        <v>2</v>
      </c>
      <c r="BY63" s="81">
        <v>2</v>
      </c>
      <c r="BZ63" s="81">
        <v>1</v>
      </c>
      <c r="CA63" s="81">
        <v>3</v>
      </c>
      <c r="CB63" s="81">
        <v>3</v>
      </c>
      <c r="CC63" s="81">
        <v>3</v>
      </c>
      <c r="CD63" s="81">
        <v>2</v>
      </c>
      <c r="CE63" s="81">
        <v>2</v>
      </c>
      <c r="CF63" s="81">
        <v>2</v>
      </c>
      <c r="CG63" s="81">
        <v>3</v>
      </c>
      <c r="CH63" s="81">
        <v>0</v>
      </c>
      <c r="CI63" s="81">
        <v>1</v>
      </c>
      <c r="CJ63" s="81">
        <v>0</v>
      </c>
      <c r="CK63" s="81">
        <v>0</v>
      </c>
      <c r="CL63" s="81">
        <v>0</v>
      </c>
      <c r="CM63" s="81">
        <v>1</v>
      </c>
      <c r="CN63" s="81">
        <v>0</v>
      </c>
      <c r="CO63" s="81">
        <v>2</v>
      </c>
      <c r="CP63" s="81">
        <v>2</v>
      </c>
      <c r="CQ63" s="81">
        <v>2</v>
      </c>
      <c r="CR63" s="81">
        <v>2</v>
      </c>
      <c r="CS63" s="81">
        <v>3</v>
      </c>
      <c r="CT63" s="81">
        <v>2</v>
      </c>
      <c r="CU63" s="81">
        <v>0</v>
      </c>
      <c r="CV63" s="81">
        <v>1</v>
      </c>
      <c r="CW63" s="81">
        <v>0</v>
      </c>
      <c r="CX63" s="81">
        <v>1</v>
      </c>
      <c r="CY63" s="81">
        <v>1</v>
      </c>
      <c r="CZ63" s="81">
        <v>0</v>
      </c>
      <c r="DA63" s="81">
        <v>1</v>
      </c>
    </row>
    <row r="64" spans="1:105" ht="12" customHeight="1" x14ac:dyDescent="0.3">
      <c r="A64" s="81" t="s">
        <v>627</v>
      </c>
      <c r="B64" s="81" t="s">
        <v>1438</v>
      </c>
      <c r="C64" s="81" t="s">
        <v>1441</v>
      </c>
      <c r="D64" s="81" t="s">
        <v>628</v>
      </c>
      <c r="E64" s="81" t="s">
        <v>395</v>
      </c>
      <c r="F64" s="81" t="s">
        <v>395</v>
      </c>
      <c r="G64" s="81"/>
      <c r="H64" s="94">
        <v>22</v>
      </c>
      <c r="I64" s="81" t="s">
        <v>12</v>
      </c>
      <c r="J64" s="81" t="s">
        <v>466</v>
      </c>
      <c r="K64" s="81">
        <v>24</v>
      </c>
      <c r="L64" s="81" t="s">
        <v>435</v>
      </c>
      <c r="M64" s="81" t="s">
        <v>468</v>
      </c>
      <c r="N64" s="81" t="s">
        <v>1430</v>
      </c>
      <c r="O64" s="81" t="s">
        <v>1442</v>
      </c>
      <c r="P64" s="81" t="s">
        <v>414</v>
      </c>
      <c r="Q64" s="81" t="s">
        <v>574</v>
      </c>
      <c r="R64" s="81">
        <v>0</v>
      </c>
      <c r="S64" s="81">
        <v>1</v>
      </c>
      <c r="T64" s="81">
        <v>0</v>
      </c>
      <c r="U64" s="81">
        <v>0</v>
      </c>
      <c r="V64" s="81">
        <v>0</v>
      </c>
      <c r="W64" s="81">
        <v>0</v>
      </c>
      <c r="X64" s="81">
        <v>0</v>
      </c>
      <c r="Y64" s="81">
        <v>1</v>
      </c>
      <c r="Z64" s="81">
        <v>0</v>
      </c>
      <c r="AA64" s="81">
        <v>0</v>
      </c>
      <c r="AB64" s="81">
        <v>0</v>
      </c>
      <c r="AC64" s="81">
        <v>0</v>
      </c>
      <c r="AD64" s="81">
        <v>0</v>
      </c>
      <c r="AE64" s="81">
        <v>0</v>
      </c>
      <c r="AF64" s="81">
        <v>0</v>
      </c>
      <c r="AG64" s="81">
        <v>0</v>
      </c>
      <c r="AH64" s="81">
        <v>0</v>
      </c>
      <c r="AI64" s="81">
        <v>0</v>
      </c>
      <c r="AJ64" s="81">
        <v>0</v>
      </c>
      <c r="AK64" s="81">
        <v>0</v>
      </c>
      <c r="AL64" s="81">
        <v>1</v>
      </c>
      <c r="AM64" s="81">
        <v>0</v>
      </c>
      <c r="AN64" s="81">
        <v>1</v>
      </c>
      <c r="AO64" s="81">
        <v>0</v>
      </c>
      <c r="AP64" s="81">
        <v>1</v>
      </c>
      <c r="AQ64" s="81">
        <v>0</v>
      </c>
      <c r="AR64" s="81">
        <v>1</v>
      </c>
      <c r="AS64" s="81">
        <v>0</v>
      </c>
      <c r="AT64" s="81">
        <v>1</v>
      </c>
      <c r="AU64" s="81">
        <v>0</v>
      </c>
      <c r="AV64" s="81">
        <v>1</v>
      </c>
      <c r="AW64" s="81">
        <v>0</v>
      </c>
      <c r="AX64" s="81">
        <v>0</v>
      </c>
      <c r="AY64" s="81">
        <v>0</v>
      </c>
      <c r="AZ64" s="81">
        <v>1</v>
      </c>
      <c r="BA64" s="81">
        <v>1</v>
      </c>
      <c r="BB64" s="81">
        <v>0</v>
      </c>
      <c r="BC64" s="81">
        <v>0</v>
      </c>
      <c r="BD64" s="81">
        <v>0</v>
      </c>
      <c r="BE64" s="81">
        <v>0</v>
      </c>
      <c r="BF64" s="81">
        <v>0</v>
      </c>
      <c r="BG64" s="81">
        <v>0</v>
      </c>
      <c r="BH64" s="81">
        <v>0</v>
      </c>
      <c r="BI64" s="81">
        <v>0</v>
      </c>
      <c r="BJ64" s="81">
        <v>0</v>
      </c>
      <c r="BK64" s="81">
        <v>1</v>
      </c>
      <c r="BL64" s="81">
        <v>0</v>
      </c>
      <c r="BM64" s="81">
        <v>0</v>
      </c>
      <c r="BN64" s="81">
        <v>0</v>
      </c>
      <c r="BO64" s="81">
        <v>3</v>
      </c>
      <c r="BP64" s="81">
        <v>2</v>
      </c>
      <c r="BQ64" s="81">
        <v>2</v>
      </c>
      <c r="BR64" s="81">
        <v>2</v>
      </c>
      <c r="BS64" s="81">
        <v>3</v>
      </c>
      <c r="BT64" s="81">
        <v>2</v>
      </c>
      <c r="BU64" s="81">
        <v>2</v>
      </c>
      <c r="BV64" s="81">
        <v>1</v>
      </c>
      <c r="BW64" s="81">
        <v>2</v>
      </c>
      <c r="BX64" s="81">
        <v>2</v>
      </c>
      <c r="BY64" s="81">
        <v>2</v>
      </c>
      <c r="BZ64" s="81">
        <v>1</v>
      </c>
      <c r="CA64" s="81">
        <v>3</v>
      </c>
      <c r="CB64" s="81">
        <v>3</v>
      </c>
      <c r="CC64" s="81">
        <v>3</v>
      </c>
      <c r="CD64" s="81">
        <v>2</v>
      </c>
      <c r="CE64" s="81">
        <v>2</v>
      </c>
      <c r="CF64" s="81">
        <v>2</v>
      </c>
      <c r="CG64" s="81">
        <v>3</v>
      </c>
      <c r="CH64" s="81">
        <v>0</v>
      </c>
      <c r="CI64" s="81">
        <v>1</v>
      </c>
      <c r="CJ64" s="81">
        <v>0</v>
      </c>
      <c r="CK64" s="81">
        <v>0</v>
      </c>
      <c r="CL64" s="81">
        <v>0</v>
      </c>
      <c r="CM64" s="81">
        <v>1</v>
      </c>
      <c r="CN64" s="81">
        <v>0</v>
      </c>
      <c r="CO64" s="81">
        <v>2</v>
      </c>
      <c r="CP64" s="81">
        <v>2</v>
      </c>
      <c r="CQ64" s="81">
        <v>2</v>
      </c>
      <c r="CR64" s="81">
        <v>2</v>
      </c>
      <c r="CS64" s="81">
        <v>3</v>
      </c>
      <c r="CT64" s="81">
        <v>2</v>
      </c>
      <c r="CU64" s="81">
        <v>0</v>
      </c>
      <c r="CV64" s="81">
        <v>1</v>
      </c>
      <c r="CW64" s="81">
        <v>0</v>
      </c>
      <c r="CX64" s="81">
        <v>1</v>
      </c>
      <c r="CY64" s="81">
        <v>1</v>
      </c>
      <c r="CZ64" s="81">
        <v>0</v>
      </c>
      <c r="DA64" s="81">
        <v>1</v>
      </c>
    </row>
    <row r="65" spans="1:105" ht="12" customHeight="1" x14ac:dyDescent="0.3">
      <c r="A65" s="81" t="s">
        <v>629</v>
      </c>
      <c r="B65" s="81" t="s">
        <v>1438</v>
      </c>
      <c r="C65" s="81" t="s">
        <v>1441</v>
      </c>
      <c r="D65" s="81" t="s">
        <v>630</v>
      </c>
      <c r="E65" s="81" t="s">
        <v>395</v>
      </c>
      <c r="F65" s="81" t="s">
        <v>395</v>
      </c>
      <c r="G65" s="81"/>
      <c r="H65" s="94">
        <v>21</v>
      </c>
      <c r="I65" s="81" t="s">
        <v>12</v>
      </c>
      <c r="J65" s="81" t="s">
        <v>466</v>
      </c>
      <c r="K65" s="81">
        <v>24</v>
      </c>
      <c r="L65" s="81" t="s">
        <v>435</v>
      </c>
      <c r="M65" s="81" t="s">
        <v>468</v>
      </c>
      <c r="N65" s="81" t="s">
        <v>1430</v>
      </c>
      <c r="O65" s="81" t="s">
        <v>1442</v>
      </c>
      <c r="P65" s="81" t="s">
        <v>414</v>
      </c>
      <c r="Q65" s="81" t="s">
        <v>574</v>
      </c>
      <c r="R65" s="81">
        <v>0</v>
      </c>
      <c r="S65" s="81">
        <v>1</v>
      </c>
      <c r="T65" s="81">
        <v>0</v>
      </c>
      <c r="U65" s="81">
        <v>0</v>
      </c>
      <c r="V65" s="81">
        <v>0</v>
      </c>
      <c r="W65" s="81">
        <v>0</v>
      </c>
      <c r="X65" s="81">
        <v>0</v>
      </c>
      <c r="Y65" s="81">
        <v>1</v>
      </c>
      <c r="Z65" s="81">
        <v>0</v>
      </c>
      <c r="AA65" s="81">
        <v>0</v>
      </c>
      <c r="AB65" s="81">
        <v>0</v>
      </c>
      <c r="AC65" s="81">
        <v>0</v>
      </c>
      <c r="AD65" s="81">
        <v>0</v>
      </c>
      <c r="AE65" s="81">
        <v>0</v>
      </c>
      <c r="AF65" s="81">
        <v>0</v>
      </c>
      <c r="AG65" s="81">
        <v>0</v>
      </c>
      <c r="AH65" s="81">
        <v>0</v>
      </c>
      <c r="AI65" s="81">
        <v>0</v>
      </c>
      <c r="AJ65" s="81">
        <v>0</v>
      </c>
      <c r="AK65" s="81">
        <v>0</v>
      </c>
      <c r="AL65" s="81">
        <v>1</v>
      </c>
      <c r="AM65" s="81">
        <v>0</v>
      </c>
      <c r="AN65" s="81">
        <v>1</v>
      </c>
      <c r="AO65" s="81">
        <v>0</v>
      </c>
      <c r="AP65" s="81">
        <v>1</v>
      </c>
      <c r="AQ65" s="81">
        <v>0</v>
      </c>
      <c r="AR65" s="81">
        <v>1</v>
      </c>
      <c r="AS65" s="81">
        <v>0</v>
      </c>
      <c r="AT65" s="81">
        <v>1</v>
      </c>
      <c r="AU65" s="81">
        <v>0</v>
      </c>
      <c r="AV65" s="81">
        <v>1</v>
      </c>
      <c r="AW65" s="81">
        <v>0</v>
      </c>
      <c r="AX65" s="81">
        <v>0</v>
      </c>
      <c r="AY65" s="81">
        <v>0</v>
      </c>
      <c r="AZ65" s="81">
        <v>1</v>
      </c>
      <c r="BA65" s="81">
        <v>1</v>
      </c>
      <c r="BB65" s="81">
        <v>0</v>
      </c>
      <c r="BC65" s="81">
        <v>0</v>
      </c>
      <c r="BD65" s="81">
        <v>0</v>
      </c>
      <c r="BE65" s="81">
        <v>0</v>
      </c>
      <c r="BF65" s="81">
        <v>0</v>
      </c>
      <c r="BG65" s="81">
        <v>0</v>
      </c>
      <c r="BH65" s="81">
        <v>0</v>
      </c>
      <c r="BI65" s="81">
        <v>0</v>
      </c>
      <c r="BJ65" s="81">
        <v>0</v>
      </c>
      <c r="BK65" s="81">
        <v>1</v>
      </c>
      <c r="BL65" s="81">
        <v>0</v>
      </c>
      <c r="BM65" s="81">
        <v>0</v>
      </c>
      <c r="BN65" s="81">
        <v>0</v>
      </c>
      <c r="BO65" s="81">
        <v>3</v>
      </c>
      <c r="BP65" s="81">
        <v>2</v>
      </c>
      <c r="BQ65" s="81">
        <v>2</v>
      </c>
      <c r="BR65" s="81">
        <v>2</v>
      </c>
      <c r="BS65" s="81">
        <v>3</v>
      </c>
      <c r="BT65" s="81">
        <v>2</v>
      </c>
      <c r="BU65" s="81">
        <v>2</v>
      </c>
      <c r="BV65" s="81">
        <v>1</v>
      </c>
      <c r="BW65" s="81">
        <v>2</v>
      </c>
      <c r="BX65" s="81">
        <v>2</v>
      </c>
      <c r="BY65" s="81">
        <v>2</v>
      </c>
      <c r="BZ65" s="81">
        <v>1</v>
      </c>
      <c r="CA65" s="81">
        <v>3</v>
      </c>
      <c r="CB65" s="81">
        <v>3</v>
      </c>
      <c r="CC65" s="81">
        <v>3</v>
      </c>
      <c r="CD65" s="81">
        <v>2</v>
      </c>
      <c r="CE65" s="81">
        <v>2</v>
      </c>
      <c r="CF65" s="81">
        <v>2</v>
      </c>
      <c r="CG65" s="81">
        <v>3</v>
      </c>
      <c r="CH65" s="81">
        <v>0</v>
      </c>
      <c r="CI65" s="81">
        <v>1</v>
      </c>
      <c r="CJ65" s="81">
        <v>0</v>
      </c>
      <c r="CK65" s="81">
        <v>0</v>
      </c>
      <c r="CL65" s="81">
        <v>0</v>
      </c>
      <c r="CM65" s="81">
        <v>1</v>
      </c>
      <c r="CN65" s="81">
        <v>0</v>
      </c>
      <c r="CO65" s="81">
        <v>2</v>
      </c>
      <c r="CP65" s="81">
        <v>2</v>
      </c>
      <c r="CQ65" s="81">
        <v>2</v>
      </c>
      <c r="CR65" s="81">
        <v>2</v>
      </c>
      <c r="CS65" s="81">
        <v>3</v>
      </c>
      <c r="CT65" s="81">
        <v>2</v>
      </c>
      <c r="CU65" s="81">
        <v>0</v>
      </c>
      <c r="CV65" s="81">
        <v>1</v>
      </c>
      <c r="CW65" s="81">
        <v>0</v>
      </c>
      <c r="CX65" s="81">
        <v>1</v>
      </c>
      <c r="CY65" s="81">
        <v>1</v>
      </c>
      <c r="CZ65" s="81">
        <v>0</v>
      </c>
      <c r="DA65" s="81">
        <v>1</v>
      </c>
    </row>
    <row r="66" spans="1:105" ht="12" customHeight="1" x14ac:dyDescent="0.3">
      <c r="A66" s="81" t="s">
        <v>631</v>
      </c>
      <c r="B66" s="81" t="s">
        <v>1443</v>
      </c>
      <c r="C66" s="81" t="s">
        <v>457</v>
      </c>
      <c r="D66" s="81" t="s">
        <v>632</v>
      </c>
      <c r="E66" s="81" t="s">
        <v>393</v>
      </c>
      <c r="F66" s="81" t="s">
        <v>393</v>
      </c>
      <c r="G66" s="81" t="s">
        <v>395</v>
      </c>
      <c r="H66" s="94">
        <v>26</v>
      </c>
      <c r="I66" s="81" t="s">
        <v>11</v>
      </c>
      <c r="J66" s="81" t="s">
        <v>457</v>
      </c>
      <c r="K66" s="81">
        <v>26</v>
      </c>
      <c r="L66" s="81" t="s">
        <v>451</v>
      </c>
      <c r="M66" s="81" t="s">
        <v>464</v>
      </c>
      <c r="N66" s="81" t="s">
        <v>1430</v>
      </c>
      <c r="O66" s="81" t="s">
        <v>1444</v>
      </c>
      <c r="P66" s="81" t="s">
        <v>414</v>
      </c>
      <c r="Q66" s="81" t="s">
        <v>633</v>
      </c>
      <c r="R66" s="81">
        <v>0</v>
      </c>
      <c r="S66" s="81">
        <v>0</v>
      </c>
      <c r="T66" s="81">
        <v>0</v>
      </c>
      <c r="U66" s="81">
        <v>0</v>
      </c>
      <c r="V66" s="81">
        <v>0</v>
      </c>
      <c r="W66" s="81">
        <v>0</v>
      </c>
      <c r="X66" s="81">
        <v>0</v>
      </c>
      <c r="Y66" s="81">
        <v>0</v>
      </c>
      <c r="Z66" s="81">
        <v>0</v>
      </c>
      <c r="AA66" s="81">
        <v>0</v>
      </c>
      <c r="AB66" s="81">
        <v>0</v>
      </c>
      <c r="AC66" s="81">
        <v>1</v>
      </c>
      <c r="AD66" s="81">
        <v>1</v>
      </c>
      <c r="AE66" s="81">
        <v>1</v>
      </c>
      <c r="AF66" s="81">
        <v>0</v>
      </c>
      <c r="AG66" s="81">
        <v>0</v>
      </c>
      <c r="AH66" s="81">
        <v>0</v>
      </c>
      <c r="AI66" s="81">
        <v>0</v>
      </c>
      <c r="AJ66" s="81">
        <v>1</v>
      </c>
      <c r="AK66" s="81">
        <v>0</v>
      </c>
      <c r="AL66" s="81">
        <v>0</v>
      </c>
      <c r="AM66" s="81">
        <v>0</v>
      </c>
      <c r="AN66" s="81">
        <v>0</v>
      </c>
      <c r="AO66" s="81">
        <v>0</v>
      </c>
      <c r="AP66" s="81">
        <v>0</v>
      </c>
      <c r="AQ66" s="81">
        <v>0</v>
      </c>
      <c r="AR66" s="81">
        <v>0</v>
      </c>
      <c r="AS66" s="81">
        <v>0</v>
      </c>
      <c r="AT66" s="81">
        <v>0</v>
      </c>
      <c r="AU66" s="81">
        <v>1</v>
      </c>
      <c r="AV66" s="81">
        <v>0</v>
      </c>
      <c r="AW66" s="81">
        <v>0</v>
      </c>
      <c r="AX66" s="81">
        <v>1</v>
      </c>
      <c r="AY66" s="81">
        <v>0</v>
      </c>
      <c r="AZ66" s="81">
        <v>1</v>
      </c>
      <c r="BA66" s="81">
        <v>0</v>
      </c>
      <c r="BB66" s="81">
        <v>0</v>
      </c>
      <c r="BC66" s="81">
        <v>0</v>
      </c>
      <c r="BD66" s="81">
        <v>1</v>
      </c>
      <c r="BE66" s="81">
        <v>0</v>
      </c>
      <c r="BF66" s="81">
        <v>1</v>
      </c>
      <c r="BG66" s="81">
        <v>0</v>
      </c>
      <c r="BH66" s="81">
        <v>0</v>
      </c>
      <c r="BI66" s="81">
        <v>1</v>
      </c>
      <c r="BJ66" s="81">
        <v>0</v>
      </c>
      <c r="BK66" s="81">
        <v>0</v>
      </c>
      <c r="BL66" s="81">
        <v>1</v>
      </c>
      <c r="BM66" s="81">
        <v>0</v>
      </c>
      <c r="BN66" s="81">
        <v>0</v>
      </c>
      <c r="BO66" s="81">
        <v>2</v>
      </c>
      <c r="BP66" s="81">
        <v>2</v>
      </c>
      <c r="BQ66" s="81">
        <v>2</v>
      </c>
      <c r="BR66" s="81">
        <v>2</v>
      </c>
      <c r="BS66" s="81">
        <v>2</v>
      </c>
      <c r="BT66" s="81">
        <v>3</v>
      </c>
      <c r="BU66" s="81">
        <v>2</v>
      </c>
      <c r="BV66" s="81">
        <v>2</v>
      </c>
      <c r="BW66" s="81">
        <v>2</v>
      </c>
      <c r="BX66" s="81">
        <v>3</v>
      </c>
      <c r="BY66" s="81">
        <v>3</v>
      </c>
      <c r="BZ66" s="81">
        <v>2</v>
      </c>
      <c r="CA66" s="81">
        <v>3</v>
      </c>
      <c r="CB66" s="81">
        <v>3</v>
      </c>
      <c r="CC66" s="81">
        <v>2</v>
      </c>
      <c r="CD66" s="81">
        <v>2</v>
      </c>
      <c r="CE66" s="81">
        <v>2</v>
      </c>
      <c r="CF66" s="81">
        <v>2</v>
      </c>
      <c r="CG66" s="81">
        <v>3</v>
      </c>
      <c r="CH66" s="81">
        <v>2</v>
      </c>
      <c r="CI66" s="81">
        <v>3</v>
      </c>
      <c r="CJ66" s="81">
        <v>2</v>
      </c>
      <c r="CK66" s="81">
        <v>2</v>
      </c>
      <c r="CL66" s="81">
        <v>2</v>
      </c>
      <c r="CM66" s="81">
        <v>2</v>
      </c>
      <c r="CN66" s="81">
        <v>0</v>
      </c>
      <c r="CO66" s="81">
        <v>2</v>
      </c>
      <c r="CP66" s="81">
        <v>3</v>
      </c>
      <c r="CQ66" s="81">
        <v>2</v>
      </c>
      <c r="CR66" s="81">
        <v>2</v>
      </c>
      <c r="CS66" s="81">
        <v>3</v>
      </c>
      <c r="CT66" s="81">
        <v>2</v>
      </c>
      <c r="CU66" s="81">
        <v>0</v>
      </c>
      <c r="CV66" s="81">
        <v>2</v>
      </c>
      <c r="CW66" s="81">
        <v>2</v>
      </c>
      <c r="CX66" s="81">
        <v>2</v>
      </c>
      <c r="CY66" s="81">
        <v>2</v>
      </c>
      <c r="CZ66" s="81">
        <v>1</v>
      </c>
      <c r="DA66" s="81">
        <v>2</v>
      </c>
    </row>
    <row r="67" spans="1:105" ht="12" customHeight="1" x14ac:dyDescent="0.3">
      <c r="A67" s="81" t="s">
        <v>634</v>
      </c>
      <c r="B67" s="81" t="s">
        <v>1443</v>
      </c>
      <c r="C67" s="81" t="s">
        <v>457</v>
      </c>
      <c r="D67" s="81" t="s">
        <v>635</v>
      </c>
      <c r="E67" s="81" t="s">
        <v>395</v>
      </c>
      <c r="F67" s="81" t="s">
        <v>395</v>
      </c>
      <c r="G67" s="81"/>
      <c r="H67" s="94">
        <v>26</v>
      </c>
      <c r="I67" s="81" t="s">
        <v>11</v>
      </c>
      <c r="J67" s="81" t="s">
        <v>457</v>
      </c>
      <c r="K67" s="81">
        <v>26</v>
      </c>
      <c r="L67" s="81" t="s">
        <v>451</v>
      </c>
      <c r="M67" s="81" t="s">
        <v>464</v>
      </c>
      <c r="N67" s="81" t="s">
        <v>1430</v>
      </c>
      <c r="O67" s="81" t="s">
        <v>1444</v>
      </c>
      <c r="P67" s="81" t="s">
        <v>414</v>
      </c>
      <c r="Q67" s="81" t="s">
        <v>636</v>
      </c>
      <c r="R67" s="81">
        <v>0</v>
      </c>
      <c r="S67" s="81">
        <v>0</v>
      </c>
      <c r="T67" s="81">
        <v>0</v>
      </c>
      <c r="U67" s="81">
        <v>0</v>
      </c>
      <c r="V67" s="81">
        <v>0</v>
      </c>
      <c r="W67" s="81">
        <v>0</v>
      </c>
      <c r="X67" s="81">
        <v>0</v>
      </c>
      <c r="Y67" s="81">
        <v>0</v>
      </c>
      <c r="Z67" s="81">
        <v>0</v>
      </c>
      <c r="AA67" s="81">
        <v>0</v>
      </c>
      <c r="AB67" s="81">
        <v>0</v>
      </c>
      <c r="AC67" s="81">
        <v>1</v>
      </c>
      <c r="AD67" s="81">
        <v>1</v>
      </c>
      <c r="AE67" s="81">
        <v>1</v>
      </c>
      <c r="AF67" s="81">
        <v>0</v>
      </c>
      <c r="AG67" s="81">
        <v>0</v>
      </c>
      <c r="AH67" s="81">
        <v>0</v>
      </c>
      <c r="AI67" s="81">
        <v>0</v>
      </c>
      <c r="AJ67" s="81">
        <v>1</v>
      </c>
      <c r="AK67" s="81">
        <v>0</v>
      </c>
      <c r="AL67" s="81">
        <v>0</v>
      </c>
      <c r="AM67" s="81">
        <v>0</v>
      </c>
      <c r="AN67" s="81">
        <v>0</v>
      </c>
      <c r="AO67" s="81">
        <v>0</v>
      </c>
      <c r="AP67" s="81">
        <v>0</v>
      </c>
      <c r="AQ67" s="81">
        <v>0</v>
      </c>
      <c r="AR67" s="81">
        <v>0</v>
      </c>
      <c r="AS67" s="81">
        <v>0</v>
      </c>
      <c r="AT67" s="81">
        <v>0</v>
      </c>
      <c r="AU67" s="81">
        <v>1</v>
      </c>
      <c r="AV67" s="81">
        <v>0</v>
      </c>
      <c r="AW67" s="81">
        <v>0</v>
      </c>
      <c r="AX67" s="81">
        <v>1</v>
      </c>
      <c r="AY67" s="81">
        <v>0</v>
      </c>
      <c r="AZ67" s="81">
        <v>1</v>
      </c>
      <c r="BA67" s="81">
        <v>0</v>
      </c>
      <c r="BB67" s="81">
        <v>0</v>
      </c>
      <c r="BC67" s="81">
        <v>0</v>
      </c>
      <c r="BD67" s="81">
        <v>1</v>
      </c>
      <c r="BE67" s="81">
        <v>0</v>
      </c>
      <c r="BF67" s="81">
        <v>1</v>
      </c>
      <c r="BG67" s="81">
        <v>0</v>
      </c>
      <c r="BH67" s="81">
        <v>0</v>
      </c>
      <c r="BI67" s="81">
        <v>1</v>
      </c>
      <c r="BJ67" s="81">
        <v>0</v>
      </c>
      <c r="BK67" s="81">
        <v>0</v>
      </c>
      <c r="BL67" s="81">
        <v>1</v>
      </c>
      <c r="BM67" s="81">
        <v>0</v>
      </c>
      <c r="BN67" s="81">
        <v>0</v>
      </c>
      <c r="BO67" s="81">
        <v>2</v>
      </c>
      <c r="BP67" s="81">
        <v>2</v>
      </c>
      <c r="BQ67" s="81">
        <v>2</v>
      </c>
      <c r="BR67" s="81">
        <v>2</v>
      </c>
      <c r="BS67" s="81">
        <v>2</v>
      </c>
      <c r="BT67" s="81">
        <v>3</v>
      </c>
      <c r="BU67" s="81">
        <v>2</v>
      </c>
      <c r="BV67" s="81">
        <v>2</v>
      </c>
      <c r="BW67" s="81">
        <v>2</v>
      </c>
      <c r="BX67" s="81">
        <v>3</v>
      </c>
      <c r="BY67" s="81">
        <v>3</v>
      </c>
      <c r="BZ67" s="81">
        <v>2</v>
      </c>
      <c r="CA67" s="81">
        <v>3</v>
      </c>
      <c r="CB67" s="81">
        <v>3</v>
      </c>
      <c r="CC67" s="81">
        <v>2</v>
      </c>
      <c r="CD67" s="81">
        <v>2</v>
      </c>
      <c r="CE67" s="81">
        <v>2</v>
      </c>
      <c r="CF67" s="81">
        <v>2</v>
      </c>
      <c r="CG67" s="81">
        <v>3</v>
      </c>
      <c r="CH67" s="81">
        <v>2</v>
      </c>
      <c r="CI67" s="81">
        <v>3</v>
      </c>
      <c r="CJ67" s="81">
        <v>2</v>
      </c>
      <c r="CK67" s="81">
        <v>2</v>
      </c>
      <c r="CL67" s="81">
        <v>2</v>
      </c>
      <c r="CM67" s="81">
        <v>2</v>
      </c>
      <c r="CN67" s="81">
        <v>0</v>
      </c>
      <c r="CO67" s="81">
        <v>2</v>
      </c>
      <c r="CP67" s="81">
        <v>3</v>
      </c>
      <c r="CQ67" s="81">
        <v>2</v>
      </c>
      <c r="CR67" s="81">
        <v>2</v>
      </c>
      <c r="CS67" s="81">
        <v>3</v>
      </c>
      <c r="CT67" s="81">
        <v>2</v>
      </c>
      <c r="CU67" s="81">
        <v>0</v>
      </c>
      <c r="CV67" s="81">
        <v>2</v>
      </c>
      <c r="CW67" s="81">
        <v>2</v>
      </c>
      <c r="CX67" s="81">
        <v>2</v>
      </c>
      <c r="CY67" s="81">
        <v>2</v>
      </c>
      <c r="CZ67" s="81">
        <v>1</v>
      </c>
      <c r="DA67" s="81">
        <v>2</v>
      </c>
    </row>
    <row r="68" spans="1:105" ht="12" customHeight="1" x14ac:dyDescent="0.3">
      <c r="A68" s="81" t="s">
        <v>637</v>
      </c>
      <c r="B68" s="81" t="s">
        <v>1443</v>
      </c>
      <c r="C68" s="81" t="s">
        <v>457</v>
      </c>
      <c r="D68" s="81" t="s">
        <v>638</v>
      </c>
      <c r="E68" s="81" t="s">
        <v>393</v>
      </c>
      <c r="F68" s="81" t="s">
        <v>393</v>
      </c>
      <c r="G68" s="81" t="s">
        <v>395</v>
      </c>
      <c r="H68" s="94">
        <v>26</v>
      </c>
      <c r="I68" s="81" t="s">
        <v>11</v>
      </c>
      <c r="J68" s="81" t="s">
        <v>457</v>
      </c>
      <c r="K68" s="81">
        <v>26</v>
      </c>
      <c r="L68" s="81" t="s">
        <v>451</v>
      </c>
      <c r="M68" s="81" t="s">
        <v>464</v>
      </c>
      <c r="N68" s="81" t="s">
        <v>1430</v>
      </c>
      <c r="O68" s="81" t="s">
        <v>1444</v>
      </c>
      <c r="P68" s="81" t="s">
        <v>414</v>
      </c>
      <c r="Q68" s="81" t="s">
        <v>633</v>
      </c>
      <c r="R68" s="81">
        <v>0</v>
      </c>
      <c r="S68" s="81">
        <v>0</v>
      </c>
      <c r="T68" s="81">
        <v>0</v>
      </c>
      <c r="U68" s="81">
        <v>0</v>
      </c>
      <c r="V68" s="81">
        <v>0</v>
      </c>
      <c r="W68" s="81">
        <v>0</v>
      </c>
      <c r="X68" s="81">
        <v>0</v>
      </c>
      <c r="Y68" s="81">
        <v>0</v>
      </c>
      <c r="Z68" s="81">
        <v>0</v>
      </c>
      <c r="AA68" s="81">
        <v>0</v>
      </c>
      <c r="AB68" s="81">
        <v>0</v>
      </c>
      <c r="AC68" s="81">
        <v>1</v>
      </c>
      <c r="AD68" s="81">
        <v>1</v>
      </c>
      <c r="AE68" s="81">
        <v>1</v>
      </c>
      <c r="AF68" s="81">
        <v>0</v>
      </c>
      <c r="AG68" s="81">
        <v>0</v>
      </c>
      <c r="AH68" s="81">
        <v>0</v>
      </c>
      <c r="AI68" s="81">
        <v>0</v>
      </c>
      <c r="AJ68" s="81">
        <v>1</v>
      </c>
      <c r="AK68" s="81">
        <v>0</v>
      </c>
      <c r="AL68" s="81">
        <v>0</v>
      </c>
      <c r="AM68" s="81">
        <v>0</v>
      </c>
      <c r="AN68" s="81">
        <v>0</v>
      </c>
      <c r="AO68" s="81">
        <v>0</v>
      </c>
      <c r="AP68" s="81">
        <v>0</v>
      </c>
      <c r="AQ68" s="81">
        <v>0</v>
      </c>
      <c r="AR68" s="81">
        <v>0</v>
      </c>
      <c r="AS68" s="81">
        <v>0</v>
      </c>
      <c r="AT68" s="81">
        <v>0</v>
      </c>
      <c r="AU68" s="81">
        <v>1</v>
      </c>
      <c r="AV68" s="81">
        <v>0</v>
      </c>
      <c r="AW68" s="81">
        <v>0</v>
      </c>
      <c r="AX68" s="81">
        <v>1</v>
      </c>
      <c r="AY68" s="81">
        <v>0</v>
      </c>
      <c r="AZ68" s="81">
        <v>1</v>
      </c>
      <c r="BA68" s="81">
        <v>0</v>
      </c>
      <c r="BB68" s="81">
        <v>0</v>
      </c>
      <c r="BC68" s="81">
        <v>0</v>
      </c>
      <c r="BD68" s="81">
        <v>1</v>
      </c>
      <c r="BE68" s="81">
        <v>0</v>
      </c>
      <c r="BF68" s="81">
        <v>1</v>
      </c>
      <c r="BG68" s="81">
        <v>0</v>
      </c>
      <c r="BH68" s="81">
        <v>0</v>
      </c>
      <c r="BI68" s="81">
        <v>1</v>
      </c>
      <c r="BJ68" s="81">
        <v>0</v>
      </c>
      <c r="BK68" s="81">
        <v>0</v>
      </c>
      <c r="BL68" s="81">
        <v>1</v>
      </c>
      <c r="BM68" s="81">
        <v>0</v>
      </c>
      <c r="BN68" s="81">
        <v>0</v>
      </c>
      <c r="BO68" s="81">
        <v>2</v>
      </c>
      <c r="BP68" s="81">
        <v>2</v>
      </c>
      <c r="BQ68" s="81">
        <v>2</v>
      </c>
      <c r="BR68" s="81">
        <v>2</v>
      </c>
      <c r="BS68" s="81">
        <v>2</v>
      </c>
      <c r="BT68" s="81">
        <v>3</v>
      </c>
      <c r="BU68" s="81">
        <v>2</v>
      </c>
      <c r="BV68" s="81">
        <v>2</v>
      </c>
      <c r="BW68" s="81">
        <v>2</v>
      </c>
      <c r="BX68" s="81">
        <v>3</v>
      </c>
      <c r="BY68" s="81">
        <v>3</v>
      </c>
      <c r="BZ68" s="81">
        <v>2</v>
      </c>
      <c r="CA68" s="81">
        <v>3</v>
      </c>
      <c r="CB68" s="81">
        <v>3</v>
      </c>
      <c r="CC68" s="81">
        <v>2</v>
      </c>
      <c r="CD68" s="81">
        <v>2</v>
      </c>
      <c r="CE68" s="81">
        <v>2</v>
      </c>
      <c r="CF68" s="81">
        <v>2</v>
      </c>
      <c r="CG68" s="81">
        <v>3</v>
      </c>
      <c r="CH68" s="81">
        <v>2</v>
      </c>
      <c r="CI68" s="81">
        <v>3</v>
      </c>
      <c r="CJ68" s="81">
        <v>2</v>
      </c>
      <c r="CK68" s="81">
        <v>2</v>
      </c>
      <c r="CL68" s="81">
        <v>2</v>
      </c>
      <c r="CM68" s="81">
        <v>2</v>
      </c>
      <c r="CN68" s="81">
        <v>0</v>
      </c>
      <c r="CO68" s="81">
        <v>2</v>
      </c>
      <c r="CP68" s="81">
        <v>3</v>
      </c>
      <c r="CQ68" s="81">
        <v>2</v>
      </c>
      <c r="CR68" s="81">
        <v>2</v>
      </c>
      <c r="CS68" s="81">
        <v>3</v>
      </c>
      <c r="CT68" s="81">
        <v>2</v>
      </c>
      <c r="CU68" s="81">
        <v>0</v>
      </c>
      <c r="CV68" s="81">
        <v>2</v>
      </c>
      <c r="CW68" s="81">
        <v>2</v>
      </c>
      <c r="CX68" s="81">
        <v>2</v>
      </c>
      <c r="CY68" s="81">
        <v>2</v>
      </c>
      <c r="CZ68" s="81">
        <v>1</v>
      </c>
      <c r="DA68" s="81">
        <v>2</v>
      </c>
    </row>
    <row r="69" spans="1:105" ht="12" customHeight="1" x14ac:dyDescent="0.3">
      <c r="A69" s="81" t="s">
        <v>639</v>
      </c>
      <c r="B69" s="81" t="s">
        <v>1443</v>
      </c>
      <c r="C69" s="81" t="s">
        <v>457</v>
      </c>
      <c r="D69" s="81" t="s">
        <v>640</v>
      </c>
      <c r="E69" s="81" t="s">
        <v>395</v>
      </c>
      <c r="F69" s="81" t="s">
        <v>395</v>
      </c>
      <c r="G69" s="81"/>
      <c r="H69" s="94">
        <v>26</v>
      </c>
      <c r="I69" s="81" t="s">
        <v>11</v>
      </c>
      <c r="J69" s="81" t="s">
        <v>457</v>
      </c>
      <c r="K69" s="81">
        <v>26</v>
      </c>
      <c r="L69" s="81" t="s">
        <v>451</v>
      </c>
      <c r="M69" s="81" t="s">
        <v>464</v>
      </c>
      <c r="N69" s="81" t="s">
        <v>1430</v>
      </c>
      <c r="O69" s="81" t="s">
        <v>1444</v>
      </c>
      <c r="P69" s="81" t="s">
        <v>414</v>
      </c>
      <c r="Q69" s="81" t="s">
        <v>636</v>
      </c>
      <c r="R69" s="81">
        <v>0</v>
      </c>
      <c r="S69" s="81">
        <v>0</v>
      </c>
      <c r="T69" s="81">
        <v>0</v>
      </c>
      <c r="U69" s="81">
        <v>0</v>
      </c>
      <c r="V69" s="81">
        <v>0</v>
      </c>
      <c r="W69" s="81">
        <v>0</v>
      </c>
      <c r="X69" s="81">
        <v>0</v>
      </c>
      <c r="Y69" s="81">
        <v>0</v>
      </c>
      <c r="Z69" s="81">
        <v>0</v>
      </c>
      <c r="AA69" s="81">
        <v>0</v>
      </c>
      <c r="AB69" s="81">
        <v>0</v>
      </c>
      <c r="AC69" s="81">
        <v>1</v>
      </c>
      <c r="AD69" s="81">
        <v>1</v>
      </c>
      <c r="AE69" s="81">
        <v>1</v>
      </c>
      <c r="AF69" s="81">
        <v>0</v>
      </c>
      <c r="AG69" s="81">
        <v>0</v>
      </c>
      <c r="AH69" s="81">
        <v>0</v>
      </c>
      <c r="AI69" s="81">
        <v>0</v>
      </c>
      <c r="AJ69" s="81">
        <v>1</v>
      </c>
      <c r="AK69" s="81">
        <v>0</v>
      </c>
      <c r="AL69" s="81">
        <v>0</v>
      </c>
      <c r="AM69" s="81">
        <v>0</v>
      </c>
      <c r="AN69" s="81">
        <v>0</v>
      </c>
      <c r="AO69" s="81">
        <v>0</v>
      </c>
      <c r="AP69" s="81">
        <v>0</v>
      </c>
      <c r="AQ69" s="81">
        <v>0</v>
      </c>
      <c r="AR69" s="81">
        <v>0</v>
      </c>
      <c r="AS69" s="81">
        <v>0</v>
      </c>
      <c r="AT69" s="81">
        <v>0</v>
      </c>
      <c r="AU69" s="81">
        <v>1</v>
      </c>
      <c r="AV69" s="81">
        <v>0</v>
      </c>
      <c r="AW69" s="81">
        <v>0</v>
      </c>
      <c r="AX69" s="81">
        <v>1</v>
      </c>
      <c r="AY69" s="81">
        <v>0</v>
      </c>
      <c r="AZ69" s="81">
        <v>1</v>
      </c>
      <c r="BA69" s="81">
        <v>0</v>
      </c>
      <c r="BB69" s="81">
        <v>0</v>
      </c>
      <c r="BC69" s="81">
        <v>0</v>
      </c>
      <c r="BD69" s="81">
        <v>1</v>
      </c>
      <c r="BE69" s="81">
        <v>0</v>
      </c>
      <c r="BF69" s="81">
        <v>1</v>
      </c>
      <c r="BG69" s="81">
        <v>0</v>
      </c>
      <c r="BH69" s="81">
        <v>0</v>
      </c>
      <c r="BI69" s="81">
        <v>1</v>
      </c>
      <c r="BJ69" s="81">
        <v>0</v>
      </c>
      <c r="BK69" s="81">
        <v>0</v>
      </c>
      <c r="BL69" s="81">
        <v>1</v>
      </c>
      <c r="BM69" s="81">
        <v>0</v>
      </c>
      <c r="BN69" s="81">
        <v>0</v>
      </c>
      <c r="BO69" s="81">
        <v>2</v>
      </c>
      <c r="BP69" s="81">
        <v>2</v>
      </c>
      <c r="BQ69" s="81">
        <v>2</v>
      </c>
      <c r="BR69" s="81">
        <v>2</v>
      </c>
      <c r="BS69" s="81">
        <v>2</v>
      </c>
      <c r="BT69" s="81">
        <v>3</v>
      </c>
      <c r="BU69" s="81">
        <v>2</v>
      </c>
      <c r="BV69" s="81">
        <v>2</v>
      </c>
      <c r="BW69" s="81">
        <v>2</v>
      </c>
      <c r="BX69" s="81">
        <v>3</v>
      </c>
      <c r="BY69" s="81">
        <v>3</v>
      </c>
      <c r="BZ69" s="81">
        <v>2</v>
      </c>
      <c r="CA69" s="81">
        <v>3</v>
      </c>
      <c r="CB69" s="81">
        <v>3</v>
      </c>
      <c r="CC69" s="81">
        <v>2</v>
      </c>
      <c r="CD69" s="81">
        <v>2</v>
      </c>
      <c r="CE69" s="81">
        <v>2</v>
      </c>
      <c r="CF69" s="81">
        <v>2</v>
      </c>
      <c r="CG69" s="81">
        <v>3</v>
      </c>
      <c r="CH69" s="81">
        <v>2</v>
      </c>
      <c r="CI69" s="81">
        <v>3</v>
      </c>
      <c r="CJ69" s="81">
        <v>2</v>
      </c>
      <c r="CK69" s="81">
        <v>2</v>
      </c>
      <c r="CL69" s="81">
        <v>2</v>
      </c>
      <c r="CM69" s="81">
        <v>2</v>
      </c>
      <c r="CN69" s="81">
        <v>0</v>
      </c>
      <c r="CO69" s="81">
        <v>2</v>
      </c>
      <c r="CP69" s="81">
        <v>3</v>
      </c>
      <c r="CQ69" s="81">
        <v>2</v>
      </c>
      <c r="CR69" s="81">
        <v>2</v>
      </c>
      <c r="CS69" s="81">
        <v>3</v>
      </c>
      <c r="CT69" s="81">
        <v>2</v>
      </c>
      <c r="CU69" s="81">
        <v>0</v>
      </c>
      <c r="CV69" s="81">
        <v>2</v>
      </c>
      <c r="CW69" s="81">
        <v>2</v>
      </c>
      <c r="CX69" s="81">
        <v>2</v>
      </c>
      <c r="CY69" s="81">
        <v>2</v>
      </c>
      <c r="CZ69" s="81">
        <v>1</v>
      </c>
      <c r="DA69" s="81">
        <v>2</v>
      </c>
    </row>
    <row r="70" spans="1:105" ht="12" customHeight="1" x14ac:dyDescent="0.3">
      <c r="A70" s="81" t="s">
        <v>641</v>
      </c>
      <c r="B70" s="81" t="s">
        <v>1443</v>
      </c>
      <c r="C70" s="81" t="s">
        <v>449</v>
      </c>
      <c r="D70" s="81" t="s">
        <v>642</v>
      </c>
      <c r="E70" s="81" t="s">
        <v>397</v>
      </c>
      <c r="F70" s="81" t="s">
        <v>397</v>
      </c>
      <c r="G70" s="81" t="s">
        <v>396</v>
      </c>
      <c r="H70" s="94">
        <v>21</v>
      </c>
      <c r="I70" s="81" t="s">
        <v>8</v>
      </c>
      <c r="J70" s="81" t="s">
        <v>449</v>
      </c>
      <c r="K70" s="81">
        <v>21</v>
      </c>
      <c r="L70" s="81" t="s">
        <v>451</v>
      </c>
      <c r="M70" s="81" t="s">
        <v>452</v>
      </c>
      <c r="N70" s="81" t="s">
        <v>1430</v>
      </c>
      <c r="O70" s="81" t="s">
        <v>1445</v>
      </c>
      <c r="P70" s="81" t="s">
        <v>414</v>
      </c>
      <c r="Q70" s="81" t="s">
        <v>643</v>
      </c>
      <c r="R70" s="81">
        <v>0</v>
      </c>
      <c r="S70" s="81">
        <v>0</v>
      </c>
      <c r="T70" s="81">
        <v>0</v>
      </c>
      <c r="U70" s="81">
        <v>0</v>
      </c>
      <c r="V70" s="81">
        <v>1</v>
      </c>
      <c r="W70" s="81">
        <v>0</v>
      </c>
      <c r="X70" s="81">
        <v>0</v>
      </c>
      <c r="Y70" s="81">
        <v>0</v>
      </c>
      <c r="Z70" s="81">
        <v>1</v>
      </c>
      <c r="AA70" s="81">
        <v>0</v>
      </c>
      <c r="AB70" s="81">
        <v>1</v>
      </c>
      <c r="AC70" s="81">
        <v>0</v>
      </c>
      <c r="AD70" s="81">
        <v>0</v>
      </c>
      <c r="AE70" s="81">
        <v>0</v>
      </c>
      <c r="AF70" s="81">
        <v>0</v>
      </c>
      <c r="AG70" s="81">
        <v>0</v>
      </c>
      <c r="AH70" s="81">
        <v>0</v>
      </c>
      <c r="AI70" s="81">
        <v>0</v>
      </c>
      <c r="AJ70" s="81">
        <v>0</v>
      </c>
      <c r="AK70" s="81">
        <v>0</v>
      </c>
      <c r="AL70" s="81">
        <v>0</v>
      </c>
      <c r="AM70" s="81">
        <v>1</v>
      </c>
      <c r="AN70" s="81">
        <v>0</v>
      </c>
      <c r="AO70" s="81">
        <v>0</v>
      </c>
      <c r="AP70" s="81">
        <v>0</v>
      </c>
      <c r="AQ70" s="81">
        <v>0</v>
      </c>
      <c r="AR70" s="81">
        <v>1</v>
      </c>
      <c r="AS70" s="81">
        <v>0</v>
      </c>
      <c r="AT70" s="81">
        <v>0</v>
      </c>
      <c r="AU70" s="81">
        <v>1</v>
      </c>
      <c r="AV70" s="81">
        <v>0</v>
      </c>
      <c r="AW70" s="81">
        <v>0</v>
      </c>
      <c r="AX70" s="81">
        <v>0</v>
      </c>
      <c r="AY70" s="81">
        <v>1</v>
      </c>
      <c r="AZ70" s="81">
        <v>1</v>
      </c>
      <c r="BA70" s="81">
        <v>0</v>
      </c>
      <c r="BB70" s="81">
        <v>0</v>
      </c>
      <c r="BC70" s="81">
        <v>0</v>
      </c>
      <c r="BD70" s="81">
        <v>0</v>
      </c>
      <c r="BE70" s="81">
        <v>1</v>
      </c>
      <c r="BF70" s="81">
        <v>0</v>
      </c>
      <c r="BG70" s="81">
        <v>1</v>
      </c>
      <c r="BH70" s="81">
        <v>0</v>
      </c>
      <c r="BI70" s="81">
        <v>0</v>
      </c>
      <c r="BJ70" s="81">
        <v>1</v>
      </c>
      <c r="BK70" s="81">
        <v>0</v>
      </c>
      <c r="BL70" s="81">
        <v>1</v>
      </c>
      <c r="BM70" s="81">
        <v>0</v>
      </c>
      <c r="BN70" s="81">
        <v>0</v>
      </c>
      <c r="BO70" s="81">
        <v>2</v>
      </c>
      <c r="BP70" s="81">
        <v>1</v>
      </c>
      <c r="BQ70" s="81">
        <v>1</v>
      </c>
      <c r="BR70" s="81">
        <v>2</v>
      </c>
      <c r="BS70" s="81">
        <v>2</v>
      </c>
      <c r="BT70" s="81">
        <v>2</v>
      </c>
      <c r="BU70" s="81">
        <v>1</v>
      </c>
      <c r="BV70" s="81">
        <v>1</v>
      </c>
      <c r="BW70" s="81">
        <v>2</v>
      </c>
      <c r="BX70" s="81">
        <v>2</v>
      </c>
      <c r="BY70" s="81">
        <v>2</v>
      </c>
      <c r="BZ70" s="81">
        <v>2</v>
      </c>
      <c r="CA70" s="81">
        <v>2</v>
      </c>
      <c r="CB70" s="81">
        <v>2</v>
      </c>
      <c r="CC70" s="81">
        <v>2</v>
      </c>
      <c r="CD70" s="81">
        <v>2</v>
      </c>
      <c r="CE70" s="81">
        <v>2</v>
      </c>
      <c r="CF70" s="81">
        <v>2</v>
      </c>
      <c r="CG70" s="81">
        <v>2</v>
      </c>
      <c r="CH70" s="81">
        <v>2</v>
      </c>
      <c r="CI70" s="81">
        <v>2</v>
      </c>
      <c r="CJ70" s="81">
        <v>2</v>
      </c>
      <c r="CK70" s="81">
        <v>2</v>
      </c>
      <c r="CL70" s="81">
        <v>2</v>
      </c>
      <c r="CM70" s="81">
        <v>2</v>
      </c>
      <c r="CN70" s="81">
        <v>2</v>
      </c>
      <c r="CO70" s="81">
        <v>2</v>
      </c>
      <c r="CP70" s="81">
        <v>2</v>
      </c>
      <c r="CQ70" s="81">
        <v>2</v>
      </c>
      <c r="CR70" s="81">
        <v>2</v>
      </c>
      <c r="CS70" s="81">
        <v>2</v>
      </c>
      <c r="CT70" s="81">
        <v>2</v>
      </c>
      <c r="CU70" s="81">
        <v>0</v>
      </c>
      <c r="CV70" s="81">
        <v>1</v>
      </c>
      <c r="CW70" s="81">
        <v>1</v>
      </c>
      <c r="CX70" s="81">
        <v>2</v>
      </c>
      <c r="CY70" s="81">
        <v>1</v>
      </c>
      <c r="CZ70" s="81">
        <v>1</v>
      </c>
      <c r="DA70" s="81">
        <v>1</v>
      </c>
    </row>
    <row r="71" spans="1:105" ht="12" customHeight="1" x14ac:dyDescent="0.3">
      <c r="A71" s="81" t="s">
        <v>644</v>
      </c>
      <c r="B71" s="81" t="s">
        <v>1443</v>
      </c>
      <c r="C71" s="81" t="s">
        <v>449</v>
      </c>
      <c r="D71" s="81" t="s">
        <v>645</v>
      </c>
      <c r="E71" s="81" t="s">
        <v>397</v>
      </c>
      <c r="F71" s="81" t="s">
        <v>397</v>
      </c>
      <c r="G71" s="81"/>
      <c r="H71" s="94">
        <v>21</v>
      </c>
      <c r="I71" s="81" t="s">
        <v>8</v>
      </c>
      <c r="J71" s="81" t="s">
        <v>449</v>
      </c>
      <c r="K71" s="81">
        <v>21</v>
      </c>
      <c r="L71" s="81" t="s">
        <v>451</v>
      </c>
      <c r="M71" s="81" t="s">
        <v>452</v>
      </c>
      <c r="N71" s="81" t="s">
        <v>1430</v>
      </c>
      <c r="O71" s="81" t="s">
        <v>1445</v>
      </c>
      <c r="P71" s="81" t="s">
        <v>414</v>
      </c>
      <c r="Q71" s="81" t="s">
        <v>646</v>
      </c>
      <c r="R71" s="81">
        <v>0</v>
      </c>
      <c r="S71" s="81">
        <v>0</v>
      </c>
      <c r="T71" s="81">
        <v>0</v>
      </c>
      <c r="U71" s="81">
        <v>0</v>
      </c>
      <c r="V71" s="81">
        <v>1</v>
      </c>
      <c r="W71" s="81">
        <v>0</v>
      </c>
      <c r="X71" s="81">
        <v>0</v>
      </c>
      <c r="Y71" s="81">
        <v>0</v>
      </c>
      <c r="Z71" s="81">
        <v>1</v>
      </c>
      <c r="AA71" s="81">
        <v>0</v>
      </c>
      <c r="AB71" s="81">
        <v>1</v>
      </c>
      <c r="AC71" s="81">
        <v>0</v>
      </c>
      <c r="AD71" s="81">
        <v>0</v>
      </c>
      <c r="AE71" s="81">
        <v>0</v>
      </c>
      <c r="AF71" s="81">
        <v>0</v>
      </c>
      <c r="AG71" s="81">
        <v>0</v>
      </c>
      <c r="AH71" s="81">
        <v>0</v>
      </c>
      <c r="AI71" s="81">
        <v>0</v>
      </c>
      <c r="AJ71" s="81">
        <v>0</v>
      </c>
      <c r="AK71" s="81">
        <v>0</v>
      </c>
      <c r="AL71" s="81">
        <v>0</v>
      </c>
      <c r="AM71" s="81">
        <v>1</v>
      </c>
      <c r="AN71" s="81">
        <v>0</v>
      </c>
      <c r="AO71" s="81">
        <v>0</v>
      </c>
      <c r="AP71" s="81">
        <v>0</v>
      </c>
      <c r="AQ71" s="81">
        <v>0</v>
      </c>
      <c r="AR71" s="81">
        <v>1</v>
      </c>
      <c r="AS71" s="81">
        <v>0</v>
      </c>
      <c r="AT71" s="81">
        <v>0</v>
      </c>
      <c r="AU71" s="81">
        <v>1</v>
      </c>
      <c r="AV71" s="81">
        <v>0</v>
      </c>
      <c r="AW71" s="81">
        <v>0</v>
      </c>
      <c r="AX71" s="81">
        <v>0</v>
      </c>
      <c r="AY71" s="81">
        <v>1</v>
      </c>
      <c r="AZ71" s="81">
        <v>1</v>
      </c>
      <c r="BA71" s="81">
        <v>0</v>
      </c>
      <c r="BB71" s="81">
        <v>0</v>
      </c>
      <c r="BC71" s="81">
        <v>0</v>
      </c>
      <c r="BD71" s="81">
        <v>0</v>
      </c>
      <c r="BE71" s="81">
        <v>1</v>
      </c>
      <c r="BF71" s="81">
        <v>0</v>
      </c>
      <c r="BG71" s="81">
        <v>1</v>
      </c>
      <c r="BH71" s="81">
        <v>0</v>
      </c>
      <c r="BI71" s="81">
        <v>0</v>
      </c>
      <c r="BJ71" s="81">
        <v>1</v>
      </c>
      <c r="BK71" s="81">
        <v>0</v>
      </c>
      <c r="BL71" s="81">
        <v>1</v>
      </c>
      <c r="BM71" s="81">
        <v>0</v>
      </c>
      <c r="BN71" s="81">
        <v>0</v>
      </c>
      <c r="BO71" s="81">
        <v>2</v>
      </c>
      <c r="BP71" s="81">
        <v>1</v>
      </c>
      <c r="BQ71" s="81">
        <v>1</v>
      </c>
      <c r="BR71" s="81">
        <v>2</v>
      </c>
      <c r="BS71" s="81">
        <v>2</v>
      </c>
      <c r="BT71" s="81">
        <v>2</v>
      </c>
      <c r="BU71" s="81">
        <v>1</v>
      </c>
      <c r="BV71" s="81">
        <v>1</v>
      </c>
      <c r="BW71" s="81">
        <v>2</v>
      </c>
      <c r="BX71" s="81">
        <v>2</v>
      </c>
      <c r="BY71" s="81">
        <v>2</v>
      </c>
      <c r="BZ71" s="81">
        <v>2</v>
      </c>
      <c r="CA71" s="81">
        <v>2</v>
      </c>
      <c r="CB71" s="81">
        <v>2</v>
      </c>
      <c r="CC71" s="81">
        <v>2</v>
      </c>
      <c r="CD71" s="81">
        <v>2</v>
      </c>
      <c r="CE71" s="81">
        <v>2</v>
      </c>
      <c r="CF71" s="81">
        <v>2</v>
      </c>
      <c r="CG71" s="81">
        <v>2</v>
      </c>
      <c r="CH71" s="81">
        <v>2</v>
      </c>
      <c r="CI71" s="81">
        <v>2</v>
      </c>
      <c r="CJ71" s="81">
        <v>2</v>
      </c>
      <c r="CK71" s="81">
        <v>2</v>
      </c>
      <c r="CL71" s="81">
        <v>2</v>
      </c>
      <c r="CM71" s="81">
        <v>2</v>
      </c>
      <c r="CN71" s="81">
        <v>2</v>
      </c>
      <c r="CO71" s="81">
        <v>2</v>
      </c>
      <c r="CP71" s="81">
        <v>2</v>
      </c>
      <c r="CQ71" s="81">
        <v>2</v>
      </c>
      <c r="CR71" s="81">
        <v>2</v>
      </c>
      <c r="CS71" s="81">
        <v>2</v>
      </c>
      <c r="CT71" s="81">
        <v>2</v>
      </c>
      <c r="CU71" s="81">
        <v>0</v>
      </c>
      <c r="CV71" s="81">
        <v>1</v>
      </c>
      <c r="CW71" s="81">
        <v>1</v>
      </c>
      <c r="CX71" s="81">
        <v>2</v>
      </c>
      <c r="CY71" s="81">
        <v>1</v>
      </c>
      <c r="CZ71" s="81">
        <v>1</v>
      </c>
      <c r="DA71" s="81">
        <v>1</v>
      </c>
    </row>
    <row r="72" spans="1:105" ht="12" customHeight="1" x14ac:dyDescent="0.3">
      <c r="A72" s="81" t="s">
        <v>647</v>
      </c>
      <c r="B72" s="81" t="s">
        <v>1443</v>
      </c>
      <c r="C72" s="81" t="s">
        <v>449</v>
      </c>
      <c r="D72" s="81" t="s">
        <v>648</v>
      </c>
      <c r="E72" s="81" t="s">
        <v>397</v>
      </c>
      <c r="F72" s="81" t="s">
        <v>397</v>
      </c>
      <c r="G72" s="81"/>
      <c r="H72" s="94">
        <v>21</v>
      </c>
      <c r="I72" s="81" t="s">
        <v>8</v>
      </c>
      <c r="J72" s="81" t="s">
        <v>449</v>
      </c>
      <c r="K72" s="81">
        <v>21</v>
      </c>
      <c r="L72" s="81" t="s">
        <v>451</v>
      </c>
      <c r="M72" s="81" t="s">
        <v>452</v>
      </c>
      <c r="N72" s="81" t="s">
        <v>1430</v>
      </c>
      <c r="O72" s="81" t="s">
        <v>1445</v>
      </c>
      <c r="P72" s="81" t="s">
        <v>414</v>
      </c>
      <c r="Q72" s="81" t="s">
        <v>646</v>
      </c>
      <c r="R72" s="81">
        <v>0</v>
      </c>
      <c r="S72" s="81">
        <v>0</v>
      </c>
      <c r="T72" s="81">
        <v>0</v>
      </c>
      <c r="U72" s="81">
        <v>0</v>
      </c>
      <c r="V72" s="81">
        <v>1</v>
      </c>
      <c r="W72" s="81">
        <v>0</v>
      </c>
      <c r="X72" s="81">
        <v>0</v>
      </c>
      <c r="Y72" s="81">
        <v>0</v>
      </c>
      <c r="Z72" s="81">
        <v>1</v>
      </c>
      <c r="AA72" s="81">
        <v>0</v>
      </c>
      <c r="AB72" s="81">
        <v>1</v>
      </c>
      <c r="AC72" s="81">
        <v>0</v>
      </c>
      <c r="AD72" s="81">
        <v>0</v>
      </c>
      <c r="AE72" s="81">
        <v>0</v>
      </c>
      <c r="AF72" s="81">
        <v>0</v>
      </c>
      <c r="AG72" s="81">
        <v>0</v>
      </c>
      <c r="AH72" s="81">
        <v>0</v>
      </c>
      <c r="AI72" s="81">
        <v>0</v>
      </c>
      <c r="AJ72" s="81">
        <v>0</v>
      </c>
      <c r="AK72" s="81">
        <v>0</v>
      </c>
      <c r="AL72" s="81">
        <v>0</v>
      </c>
      <c r="AM72" s="81">
        <v>1</v>
      </c>
      <c r="AN72" s="81">
        <v>0</v>
      </c>
      <c r="AO72" s="81">
        <v>0</v>
      </c>
      <c r="AP72" s="81">
        <v>0</v>
      </c>
      <c r="AQ72" s="81">
        <v>0</v>
      </c>
      <c r="AR72" s="81">
        <v>1</v>
      </c>
      <c r="AS72" s="81">
        <v>0</v>
      </c>
      <c r="AT72" s="81">
        <v>0</v>
      </c>
      <c r="AU72" s="81">
        <v>1</v>
      </c>
      <c r="AV72" s="81">
        <v>0</v>
      </c>
      <c r="AW72" s="81">
        <v>0</v>
      </c>
      <c r="AX72" s="81">
        <v>0</v>
      </c>
      <c r="AY72" s="81">
        <v>1</v>
      </c>
      <c r="AZ72" s="81">
        <v>1</v>
      </c>
      <c r="BA72" s="81">
        <v>0</v>
      </c>
      <c r="BB72" s="81">
        <v>0</v>
      </c>
      <c r="BC72" s="81">
        <v>0</v>
      </c>
      <c r="BD72" s="81">
        <v>0</v>
      </c>
      <c r="BE72" s="81">
        <v>1</v>
      </c>
      <c r="BF72" s="81">
        <v>0</v>
      </c>
      <c r="BG72" s="81">
        <v>1</v>
      </c>
      <c r="BH72" s="81">
        <v>0</v>
      </c>
      <c r="BI72" s="81">
        <v>0</v>
      </c>
      <c r="BJ72" s="81">
        <v>1</v>
      </c>
      <c r="BK72" s="81">
        <v>0</v>
      </c>
      <c r="BL72" s="81">
        <v>1</v>
      </c>
      <c r="BM72" s="81">
        <v>0</v>
      </c>
      <c r="BN72" s="81">
        <v>0</v>
      </c>
      <c r="BO72" s="81">
        <v>2</v>
      </c>
      <c r="BP72" s="81">
        <v>1</v>
      </c>
      <c r="BQ72" s="81">
        <v>1</v>
      </c>
      <c r="BR72" s="81">
        <v>2</v>
      </c>
      <c r="BS72" s="81">
        <v>2</v>
      </c>
      <c r="BT72" s="81">
        <v>2</v>
      </c>
      <c r="BU72" s="81">
        <v>1</v>
      </c>
      <c r="BV72" s="81">
        <v>1</v>
      </c>
      <c r="BW72" s="81">
        <v>2</v>
      </c>
      <c r="BX72" s="81">
        <v>2</v>
      </c>
      <c r="BY72" s="81">
        <v>2</v>
      </c>
      <c r="BZ72" s="81">
        <v>2</v>
      </c>
      <c r="CA72" s="81">
        <v>2</v>
      </c>
      <c r="CB72" s="81">
        <v>2</v>
      </c>
      <c r="CC72" s="81">
        <v>2</v>
      </c>
      <c r="CD72" s="81">
        <v>2</v>
      </c>
      <c r="CE72" s="81">
        <v>2</v>
      </c>
      <c r="CF72" s="81">
        <v>2</v>
      </c>
      <c r="CG72" s="81">
        <v>2</v>
      </c>
      <c r="CH72" s="81">
        <v>2</v>
      </c>
      <c r="CI72" s="81">
        <v>2</v>
      </c>
      <c r="CJ72" s="81">
        <v>2</v>
      </c>
      <c r="CK72" s="81">
        <v>2</v>
      </c>
      <c r="CL72" s="81">
        <v>2</v>
      </c>
      <c r="CM72" s="81">
        <v>2</v>
      </c>
      <c r="CN72" s="81">
        <v>2</v>
      </c>
      <c r="CO72" s="81">
        <v>2</v>
      </c>
      <c r="CP72" s="81">
        <v>2</v>
      </c>
      <c r="CQ72" s="81">
        <v>2</v>
      </c>
      <c r="CR72" s="81">
        <v>2</v>
      </c>
      <c r="CS72" s="81">
        <v>2</v>
      </c>
      <c r="CT72" s="81">
        <v>2</v>
      </c>
      <c r="CU72" s="81">
        <v>0</v>
      </c>
      <c r="CV72" s="81">
        <v>1</v>
      </c>
      <c r="CW72" s="81">
        <v>1</v>
      </c>
      <c r="CX72" s="81">
        <v>2</v>
      </c>
      <c r="CY72" s="81">
        <v>1</v>
      </c>
      <c r="CZ72" s="81">
        <v>1</v>
      </c>
      <c r="DA72" s="81">
        <v>1</v>
      </c>
    </row>
    <row r="73" spans="1:105" ht="12" customHeight="1" x14ac:dyDescent="0.3">
      <c r="A73" s="81" t="s">
        <v>649</v>
      </c>
      <c r="B73" s="81" t="s">
        <v>1443</v>
      </c>
      <c r="C73" s="81" t="s">
        <v>449</v>
      </c>
      <c r="D73" s="81" t="s">
        <v>650</v>
      </c>
      <c r="E73" s="81" t="s">
        <v>397</v>
      </c>
      <c r="F73" s="81" t="s">
        <v>397</v>
      </c>
      <c r="G73" s="81" t="s">
        <v>396</v>
      </c>
      <c r="H73" s="94">
        <v>21</v>
      </c>
      <c r="I73" s="81" t="s">
        <v>8</v>
      </c>
      <c r="J73" s="81" t="s">
        <v>449</v>
      </c>
      <c r="K73" s="81">
        <v>21</v>
      </c>
      <c r="L73" s="81" t="s">
        <v>451</v>
      </c>
      <c r="M73" s="81" t="s">
        <v>452</v>
      </c>
      <c r="N73" s="81" t="s">
        <v>1430</v>
      </c>
      <c r="O73" s="81" t="s">
        <v>1445</v>
      </c>
      <c r="P73" s="81" t="s">
        <v>414</v>
      </c>
      <c r="Q73" s="81" t="s">
        <v>643</v>
      </c>
      <c r="R73" s="81">
        <v>0</v>
      </c>
      <c r="S73" s="81">
        <v>0</v>
      </c>
      <c r="T73" s="81">
        <v>0</v>
      </c>
      <c r="U73" s="81">
        <v>0</v>
      </c>
      <c r="V73" s="81">
        <v>1</v>
      </c>
      <c r="W73" s="81">
        <v>0</v>
      </c>
      <c r="X73" s="81">
        <v>0</v>
      </c>
      <c r="Y73" s="81">
        <v>0</v>
      </c>
      <c r="Z73" s="81">
        <v>1</v>
      </c>
      <c r="AA73" s="81">
        <v>0</v>
      </c>
      <c r="AB73" s="81">
        <v>1</v>
      </c>
      <c r="AC73" s="81">
        <v>0</v>
      </c>
      <c r="AD73" s="81">
        <v>0</v>
      </c>
      <c r="AE73" s="81">
        <v>0</v>
      </c>
      <c r="AF73" s="81">
        <v>0</v>
      </c>
      <c r="AG73" s="81">
        <v>0</v>
      </c>
      <c r="AH73" s="81">
        <v>0</v>
      </c>
      <c r="AI73" s="81">
        <v>0</v>
      </c>
      <c r="AJ73" s="81">
        <v>0</v>
      </c>
      <c r="AK73" s="81">
        <v>0</v>
      </c>
      <c r="AL73" s="81">
        <v>0</v>
      </c>
      <c r="AM73" s="81">
        <v>1</v>
      </c>
      <c r="AN73" s="81">
        <v>0</v>
      </c>
      <c r="AO73" s="81">
        <v>0</v>
      </c>
      <c r="AP73" s="81">
        <v>0</v>
      </c>
      <c r="AQ73" s="81">
        <v>0</v>
      </c>
      <c r="AR73" s="81">
        <v>1</v>
      </c>
      <c r="AS73" s="81">
        <v>0</v>
      </c>
      <c r="AT73" s="81">
        <v>0</v>
      </c>
      <c r="AU73" s="81">
        <v>1</v>
      </c>
      <c r="AV73" s="81">
        <v>0</v>
      </c>
      <c r="AW73" s="81">
        <v>0</v>
      </c>
      <c r="AX73" s="81">
        <v>0</v>
      </c>
      <c r="AY73" s="81">
        <v>1</v>
      </c>
      <c r="AZ73" s="81">
        <v>1</v>
      </c>
      <c r="BA73" s="81">
        <v>0</v>
      </c>
      <c r="BB73" s="81">
        <v>0</v>
      </c>
      <c r="BC73" s="81">
        <v>0</v>
      </c>
      <c r="BD73" s="81">
        <v>0</v>
      </c>
      <c r="BE73" s="81">
        <v>1</v>
      </c>
      <c r="BF73" s="81">
        <v>0</v>
      </c>
      <c r="BG73" s="81">
        <v>1</v>
      </c>
      <c r="BH73" s="81">
        <v>0</v>
      </c>
      <c r="BI73" s="81">
        <v>0</v>
      </c>
      <c r="BJ73" s="81">
        <v>1</v>
      </c>
      <c r="BK73" s="81">
        <v>0</v>
      </c>
      <c r="BL73" s="81">
        <v>1</v>
      </c>
      <c r="BM73" s="81">
        <v>0</v>
      </c>
      <c r="BN73" s="81">
        <v>0</v>
      </c>
      <c r="BO73" s="81">
        <v>2</v>
      </c>
      <c r="BP73" s="81">
        <v>1</v>
      </c>
      <c r="BQ73" s="81">
        <v>1</v>
      </c>
      <c r="BR73" s="81">
        <v>2</v>
      </c>
      <c r="BS73" s="81">
        <v>2</v>
      </c>
      <c r="BT73" s="81">
        <v>2</v>
      </c>
      <c r="BU73" s="81">
        <v>1</v>
      </c>
      <c r="BV73" s="81">
        <v>1</v>
      </c>
      <c r="BW73" s="81">
        <v>2</v>
      </c>
      <c r="BX73" s="81">
        <v>2</v>
      </c>
      <c r="BY73" s="81">
        <v>2</v>
      </c>
      <c r="BZ73" s="81">
        <v>2</v>
      </c>
      <c r="CA73" s="81">
        <v>2</v>
      </c>
      <c r="CB73" s="81">
        <v>2</v>
      </c>
      <c r="CC73" s="81">
        <v>2</v>
      </c>
      <c r="CD73" s="81">
        <v>2</v>
      </c>
      <c r="CE73" s="81">
        <v>2</v>
      </c>
      <c r="CF73" s="81">
        <v>2</v>
      </c>
      <c r="CG73" s="81">
        <v>2</v>
      </c>
      <c r="CH73" s="81">
        <v>2</v>
      </c>
      <c r="CI73" s="81">
        <v>2</v>
      </c>
      <c r="CJ73" s="81">
        <v>2</v>
      </c>
      <c r="CK73" s="81">
        <v>2</v>
      </c>
      <c r="CL73" s="81">
        <v>2</v>
      </c>
      <c r="CM73" s="81">
        <v>2</v>
      </c>
      <c r="CN73" s="81">
        <v>2</v>
      </c>
      <c r="CO73" s="81">
        <v>2</v>
      </c>
      <c r="CP73" s="81">
        <v>2</v>
      </c>
      <c r="CQ73" s="81">
        <v>2</v>
      </c>
      <c r="CR73" s="81">
        <v>2</v>
      </c>
      <c r="CS73" s="81">
        <v>2</v>
      </c>
      <c r="CT73" s="81">
        <v>2</v>
      </c>
      <c r="CU73" s="81">
        <v>0</v>
      </c>
      <c r="CV73" s="81">
        <v>1</v>
      </c>
      <c r="CW73" s="81">
        <v>1</v>
      </c>
      <c r="CX73" s="81">
        <v>2</v>
      </c>
      <c r="CY73" s="81">
        <v>1</v>
      </c>
      <c r="CZ73" s="81">
        <v>1</v>
      </c>
      <c r="DA73" s="81">
        <v>1</v>
      </c>
    </row>
    <row r="74" spans="1:105" ht="12" customHeight="1" x14ac:dyDescent="0.3">
      <c r="A74" s="81" t="s">
        <v>651</v>
      </c>
      <c r="B74" s="81" t="s">
        <v>1443</v>
      </c>
      <c r="C74" s="81" t="s">
        <v>449</v>
      </c>
      <c r="D74" s="81" t="s">
        <v>652</v>
      </c>
      <c r="E74" s="81" t="s">
        <v>397</v>
      </c>
      <c r="F74" s="81" t="s">
        <v>397</v>
      </c>
      <c r="G74" s="81"/>
      <c r="H74" s="94">
        <v>21</v>
      </c>
      <c r="I74" s="81" t="s">
        <v>8</v>
      </c>
      <c r="J74" s="81" t="s">
        <v>449</v>
      </c>
      <c r="K74" s="81">
        <v>21</v>
      </c>
      <c r="L74" s="81" t="s">
        <v>451</v>
      </c>
      <c r="M74" s="81" t="s">
        <v>452</v>
      </c>
      <c r="N74" s="81" t="s">
        <v>1430</v>
      </c>
      <c r="O74" s="81" t="s">
        <v>1445</v>
      </c>
      <c r="P74" s="81" t="s">
        <v>414</v>
      </c>
      <c r="Q74" s="81" t="s">
        <v>646</v>
      </c>
      <c r="R74" s="81">
        <v>0</v>
      </c>
      <c r="S74" s="81">
        <v>0</v>
      </c>
      <c r="T74" s="81">
        <v>0</v>
      </c>
      <c r="U74" s="81">
        <v>0</v>
      </c>
      <c r="V74" s="81">
        <v>1</v>
      </c>
      <c r="W74" s="81">
        <v>0</v>
      </c>
      <c r="X74" s="81">
        <v>0</v>
      </c>
      <c r="Y74" s="81">
        <v>0</v>
      </c>
      <c r="Z74" s="81">
        <v>1</v>
      </c>
      <c r="AA74" s="81">
        <v>0</v>
      </c>
      <c r="AB74" s="81">
        <v>1</v>
      </c>
      <c r="AC74" s="81">
        <v>0</v>
      </c>
      <c r="AD74" s="81">
        <v>0</v>
      </c>
      <c r="AE74" s="81">
        <v>0</v>
      </c>
      <c r="AF74" s="81">
        <v>0</v>
      </c>
      <c r="AG74" s="81">
        <v>0</v>
      </c>
      <c r="AH74" s="81">
        <v>0</v>
      </c>
      <c r="AI74" s="81">
        <v>0</v>
      </c>
      <c r="AJ74" s="81">
        <v>0</v>
      </c>
      <c r="AK74" s="81">
        <v>0</v>
      </c>
      <c r="AL74" s="81">
        <v>0</v>
      </c>
      <c r="AM74" s="81">
        <v>1</v>
      </c>
      <c r="AN74" s="81">
        <v>0</v>
      </c>
      <c r="AO74" s="81">
        <v>0</v>
      </c>
      <c r="AP74" s="81">
        <v>0</v>
      </c>
      <c r="AQ74" s="81">
        <v>0</v>
      </c>
      <c r="AR74" s="81">
        <v>1</v>
      </c>
      <c r="AS74" s="81">
        <v>0</v>
      </c>
      <c r="AT74" s="81">
        <v>0</v>
      </c>
      <c r="AU74" s="81">
        <v>1</v>
      </c>
      <c r="AV74" s="81">
        <v>0</v>
      </c>
      <c r="AW74" s="81">
        <v>0</v>
      </c>
      <c r="AX74" s="81">
        <v>0</v>
      </c>
      <c r="AY74" s="81">
        <v>1</v>
      </c>
      <c r="AZ74" s="81">
        <v>1</v>
      </c>
      <c r="BA74" s="81">
        <v>0</v>
      </c>
      <c r="BB74" s="81">
        <v>0</v>
      </c>
      <c r="BC74" s="81">
        <v>0</v>
      </c>
      <c r="BD74" s="81">
        <v>0</v>
      </c>
      <c r="BE74" s="81">
        <v>1</v>
      </c>
      <c r="BF74" s="81">
        <v>0</v>
      </c>
      <c r="BG74" s="81">
        <v>1</v>
      </c>
      <c r="BH74" s="81">
        <v>0</v>
      </c>
      <c r="BI74" s="81">
        <v>0</v>
      </c>
      <c r="BJ74" s="81">
        <v>1</v>
      </c>
      <c r="BK74" s="81">
        <v>0</v>
      </c>
      <c r="BL74" s="81">
        <v>1</v>
      </c>
      <c r="BM74" s="81">
        <v>0</v>
      </c>
      <c r="BN74" s="81">
        <v>0</v>
      </c>
      <c r="BO74" s="81">
        <v>2</v>
      </c>
      <c r="BP74" s="81">
        <v>1</v>
      </c>
      <c r="BQ74" s="81">
        <v>1</v>
      </c>
      <c r="BR74" s="81">
        <v>2</v>
      </c>
      <c r="BS74" s="81">
        <v>2</v>
      </c>
      <c r="BT74" s="81">
        <v>2</v>
      </c>
      <c r="BU74" s="81">
        <v>1</v>
      </c>
      <c r="BV74" s="81">
        <v>1</v>
      </c>
      <c r="BW74" s="81">
        <v>2</v>
      </c>
      <c r="BX74" s="81">
        <v>2</v>
      </c>
      <c r="BY74" s="81">
        <v>2</v>
      </c>
      <c r="BZ74" s="81">
        <v>2</v>
      </c>
      <c r="CA74" s="81">
        <v>2</v>
      </c>
      <c r="CB74" s="81">
        <v>2</v>
      </c>
      <c r="CC74" s="81">
        <v>2</v>
      </c>
      <c r="CD74" s="81">
        <v>2</v>
      </c>
      <c r="CE74" s="81">
        <v>2</v>
      </c>
      <c r="CF74" s="81">
        <v>2</v>
      </c>
      <c r="CG74" s="81">
        <v>2</v>
      </c>
      <c r="CH74" s="81">
        <v>2</v>
      </c>
      <c r="CI74" s="81">
        <v>2</v>
      </c>
      <c r="CJ74" s="81">
        <v>2</v>
      </c>
      <c r="CK74" s="81">
        <v>2</v>
      </c>
      <c r="CL74" s="81">
        <v>2</v>
      </c>
      <c r="CM74" s="81">
        <v>2</v>
      </c>
      <c r="CN74" s="81">
        <v>2</v>
      </c>
      <c r="CO74" s="81">
        <v>2</v>
      </c>
      <c r="CP74" s="81">
        <v>2</v>
      </c>
      <c r="CQ74" s="81">
        <v>2</v>
      </c>
      <c r="CR74" s="81">
        <v>2</v>
      </c>
      <c r="CS74" s="81">
        <v>2</v>
      </c>
      <c r="CT74" s="81">
        <v>2</v>
      </c>
      <c r="CU74" s="81">
        <v>0</v>
      </c>
      <c r="CV74" s="81">
        <v>1</v>
      </c>
      <c r="CW74" s="81">
        <v>1</v>
      </c>
      <c r="CX74" s="81">
        <v>2</v>
      </c>
      <c r="CY74" s="81">
        <v>1</v>
      </c>
      <c r="CZ74" s="81">
        <v>1</v>
      </c>
      <c r="DA74" s="81">
        <v>1</v>
      </c>
    </row>
    <row r="75" spans="1:105" ht="12" customHeight="1" x14ac:dyDescent="0.3">
      <c r="A75" s="81" t="s">
        <v>653</v>
      </c>
      <c r="B75" s="81" t="s">
        <v>1443</v>
      </c>
      <c r="C75" s="81" t="s">
        <v>449</v>
      </c>
      <c r="D75" s="81" t="s">
        <v>654</v>
      </c>
      <c r="E75" s="81" t="s">
        <v>397</v>
      </c>
      <c r="F75" s="81" t="s">
        <v>397</v>
      </c>
      <c r="G75" s="81"/>
      <c r="H75" s="94">
        <v>21</v>
      </c>
      <c r="I75" s="81" t="s">
        <v>8</v>
      </c>
      <c r="J75" s="81" t="s">
        <v>449</v>
      </c>
      <c r="K75" s="81">
        <v>21</v>
      </c>
      <c r="L75" s="81" t="s">
        <v>451</v>
      </c>
      <c r="M75" s="81" t="s">
        <v>452</v>
      </c>
      <c r="N75" s="81" t="s">
        <v>1430</v>
      </c>
      <c r="O75" s="81" t="s">
        <v>1445</v>
      </c>
      <c r="P75" s="81" t="s">
        <v>414</v>
      </c>
      <c r="Q75" s="81" t="s">
        <v>646</v>
      </c>
      <c r="R75" s="81">
        <v>0</v>
      </c>
      <c r="S75" s="81">
        <v>0</v>
      </c>
      <c r="T75" s="81">
        <v>0</v>
      </c>
      <c r="U75" s="81">
        <v>0</v>
      </c>
      <c r="V75" s="81">
        <v>1</v>
      </c>
      <c r="W75" s="81">
        <v>0</v>
      </c>
      <c r="X75" s="81">
        <v>0</v>
      </c>
      <c r="Y75" s="81">
        <v>0</v>
      </c>
      <c r="Z75" s="81">
        <v>1</v>
      </c>
      <c r="AA75" s="81">
        <v>0</v>
      </c>
      <c r="AB75" s="81">
        <v>1</v>
      </c>
      <c r="AC75" s="81">
        <v>0</v>
      </c>
      <c r="AD75" s="81">
        <v>0</v>
      </c>
      <c r="AE75" s="81">
        <v>0</v>
      </c>
      <c r="AF75" s="81">
        <v>0</v>
      </c>
      <c r="AG75" s="81">
        <v>0</v>
      </c>
      <c r="AH75" s="81">
        <v>0</v>
      </c>
      <c r="AI75" s="81">
        <v>0</v>
      </c>
      <c r="AJ75" s="81">
        <v>0</v>
      </c>
      <c r="AK75" s="81">
        <v>0</v>
      </c>
      <c r="AL75" s="81">
        <v>0</v>
      </c>
      <c r="AM75" s="81">
        <v>1</v>
      </c>
      <c r="AN75" s="81">
        <v>0</v>
      </c>
      <c r="AO75" s="81">
        <v>0</v>
      </c>
      <c r="AP75" s="81">
        <v>0</v>
      </c>
      <c r="AQ75" s="81">
        <v>0</v>
      </c>
      <c r="AR75" s="81">
        <v>1</v>
      </c>
      <c r="AS75" s="81">
        <v>0</v>
      </c>
      <c r="AT75" s="81">
        <v>0</v>
      </c>
      <c r="AU75" s="81">
        <v>1</v>
      </c>
      <c r="AV75" s="81">
        <v>0</v>
      </c>
      <c r="AW75" s="81">
        <v>0</v>
      </c>
      <c r="AX75" s="81">
        <v>0</v>
      </c>
      <c r="AY75" s="81">
        <v>1</v>
      </c>
      <c r="AZ75" s="81">
        <v>1</v>
      </c>
      <c r="BA75" s="81">
        <v>0</v>
      </c>
      <c r="BB75" s="81">
        <v>0</v>
      </c>
      <c r="BC75" s="81">
        <v>0</v>
      </c>
      <c r="BD75" s="81">
        <v>0</v>
      </c>
      <c r="BE75" s="81">
        <v>1</v>
      </c>
      <c r="BF75" s="81">
        <v>0</v>
      </c>
      <c r="BG75" s="81">
        <v>1</v>
      </c>
      <c r="BH75" s="81">
        <v>0</v>
      </c>
      <c r="BI75" s="81">
        <v>0</v>
      </c>
      <c r="BJ75" s="81">
        <v>1</v>
      </c>
      <c r="BK75" s="81">
        <v>0</v>
      </c>
      <c r="BL75" s="81">
        <v>1</v>
      </c>
      <c r="BM75" s="81">
        <v>0</v>
      </c>
      <c r="BN75" s="81">
        <v>0</v>
      </c>
      <c r="BO75" s="81">
        <v>2</v>
      </c>
      <c r="BP75" s="81">
        <v>1</v>
      </c>
      <c r="BQ75" s="81">
        <v>1</v>
      </c>
      <c r="BR75" s="81">
        <v>2</v>
      </c>
      <c r="BS75" s="81">
        <v>2</v>
      </c>
      <c r="BT75" s="81">
        <v>2</v>
      </c>
      <c r="BU75" s="81">
        <v>1</v>
      </c>
      <c r="BV75" s="81">
        <v>1</v>
      </c>
      <c r="BW75" s="81">
        <v>2</v>
      </c>
      <c r="BX75" s="81">
        <v>2</v>
      </c>
      <c r="BY75" s="81">
        <v>2</v>
      </c>
      <c r="BZ75" s="81">
        <v>2</v>
      </c>
      <c r="CA75" s="81">
        <v>2</v>
      </c>
      <c r="CB75" s="81">
        <v>2</v>
      </c>
      <c r="CC75" s="81">
        <v>2</v>
      </c>
      <c r="CD75" s="81">
        <v>2</v>
      </c>
      <c r="CE75" s="81">
        <v>2</v>
      </c>
      <c r="CF75" s="81">
        <v>2</v>
      </c>
      <c r="CG75" s="81">
        <v>2</v>
      </c>
      <c r="CH75" s="81">
        <v>2</v>
      </c>
      <c r="CI75" s="81">
        <v>2</v>
      </c>
      <c r="CJ75" s="81">
        <v>2</v>
      </c>
      <c r="CK75" s="81">
        <v>2</v>
      </c>
      <c r="CL75" s="81">
        <v>2</v>
      </c>
      <c r="CM75" s="81">
        <v>2</v>
      </c>
      <c r="CN75" s="81">
        <v>2</v>
      </c>
      <c r="CO75" s="81">
        <v>2</v>
      </c>
      <c r="CP75" s="81">
        <v>2</v>
      </c>
      <c r="CQ75" s="81">
        <v>2</v>
      </c>
      <c r="CR75" s="81">
        <v>2</v>
      </c>
      <c r="CS75" s="81">
        <v>2</v>
      </c>
      <c r="CT75" s="81">
        <v>2</v>
      </c>
      <c r="CU75" s="81">
        <v>0</v>
      </c>
      <c r="CV75" s="81">
        <v>1</v>
      </c>
      <c r="CW75" s="81">
        <v>1</v>
      </c>
      <c r="CX75" s="81">
        <v>2</v>
      </c>
      <c r="CY75" s="81">
        <v>1</v>
      </c>
      <c r="CZ75" s="81">
        <v>1</v>
      </c>
      <c r="DA75" s="81">
        <v>1</v>
      </c>
    </row>
    <row r="76" spans="1:105" ht="12" customHeight="1" x14ac:dyDescent="0.3">
      <c r="A76" s="81" t="s">
        <v>655</v>
      </c>
      <c r="B76" s="81" t="s">
        <v>1443</v>
      </c>
      <c r="C76" s="81" t="s">
        <v>449</v>
      </c>
      <c r="D76" s="81" t="s">
        <v>656</v>
      </c>
      <c r="E76" s="81" t="s">
        <v>397</v>
      </c>
      <c r="F76" s="81" t="s">
        <v>397</v>
      </c>
      <c r="G76" s="81"/>
      <c r="H76" s="94">
        <v>21</v>
      </c>
      <c r="I76" s="81" t="s">
        <v>8</v>
      </c>
      <c r="J76" s="81" t="s">
        <v>449</v>
      </c>
      <c r="K76" s="81">
        <v>21</v>
      </c>
      <c r="L76" s="81" t="s">
        <v>451</v>
      </c>
      <c r="M76" s="81" t="s">
        <v>452</v>
      </c>
      <c r="N76" s="81" t="s">
        <v>1430</v>
      </c>
      <c r="O76" s="81" t="s">
        <v>1445</v>
      </c>
      <c r="P76" s="81" t="s">
        <v>414</v>
      </c>
      <c r="Q76" s="81" t="s">
        <v>646</v>
      </c>
      <c r="R76" s="81">
        <v>0</v>
      </c>
      <c r="S76" s="81">
        <v>0</v>
      </c>
      <c r="T76" s="81">
        <v>0</v>
      </c>
      <c r="U76" s="81">
        <v>0</v>
      </c>
      <c r="V76" s="81">
        <v>1</v>
      </c>
      <c r="W76" s="81">
        <v>0</v>
      </c>
      <c r="X76" s="81">
        <v>0</v>
      </c>
      <c r="Y76" s="81">
        <v>0</v>
      </c>
      <c r="Z76" s="81">
        <v>1</v>
      </c>
      <c r="AA76" s="81">
        <v>0</v>
      </c>
      <c r="AB76" s="81">
        <v>1</v>
      </c>
      <c r="AC76" s="81">
        <v>0</v>
      </c>
      <c r="AD76" s="81">
        <v>0</v>
      </c>
      <c r="AE76" s="81">
        <v>0</v>
      </c>
      <c r="AF76" s="81">
        <v>0</v>
      </c>
      <c r="AG76" s="81">
        <v>0</v>
      </c>
      <c r="AH76" s="81">
        <v>0</v>
      </c>
      <c r="AI76" s="81">
        <v>0</v>
      </c>
      <c r="AJ76" s="81">
        <v>0</v>
      </c>
      <c r="AK76" s="81">
        <v>0</v>
      </c>
      <c r="AL76" s="81">
        <v>0</v>
      </c>
      <c r="AM76" s="81">
        <v>1</v>
      </c>
      <c r="AN76" s="81">
        <v>0</v>
      </c>
      <c r="AO76" s="81">
        <v>0</v>
      </c>
      <c r="AP76" s="81">
        <v>0</v>
      </c>
      <c r="AQ76" s="81">
        <v>0</v>
      </c>
      <c r="AR76" s="81">
        <v>1</v>
      </c>
      <c r="AS76" s="81">
        <v>0</v>
      </c>
      <c r="AT76" s="81">
        <v>0</v>
      </c>
      <c r="AU76" s="81">
        <v>1</v>
      </c>
      <c r="AV76" s="81">
        <v>0</v>
      </c>
      <c r="AW76" s="81">
        <v>0</v>
      </c>
      <c r="AX76" s="81">
        <v>0</v>
      </c>
      <c r="AY76" s="81">
        <v>1</v>
      </c>
      <c r="AZ76" s="81">
        <v>1</v>
      </c>
      <c r="BA76" s="81">
        <v>0</v>
      </c>
      <c r="BB76" s="81">
        <v>0</v>
      </c>
      <c r="BC76" s="81">
        <v>0</v>
      </c>
      <c r="BD76" s="81">
        <v>0</v>
      </c>
      <c r="BE76" s="81">
        <v>1</v>
      </c>
      <c r="BF76" s="81">
        <v>0</v>
      </c>
      <c r="BG76" s="81">
        <v>1</v>
      </c>
      <c r="BH76" s="81">
        <v>0</v>
      </c>
      <c r="BI76" s="81">
        <v>0</v>
      </c>
      <c r="BJ76" s="81">
        <v>1</v>
      </c>
      <c r="BK76" s="81">
        <v>0</v>
      </c>
      <c r="BL76" s="81">
        <v>1</v>
      </c>
      <c r="BM76" s="81">
        <v>0</v>
      </c>
      <c r="BN76" s="81">
        <v>0</v>
      </c>
      <c r="BO76" s="81">
        <v>2</v>
      </c>
      <c r="BP76" s="81">
        <v>1</v>
      </c>
      <c r="BQ76" s="81">
        <v>1</v>
      </c>
      <c r="BR76" s="81">
        <v>2</v>
      </c>
      <c r="BS76" s="81">
        <v>2</v>
      </c>
      <c r="BT76" s="81">
        <v>2</v>
      </c>
      <c r="BU76" s="81">
        <v>1</v>
      </c>
      <c r="BV76" s="81">
        <v>1</v>
      </c>
      <c r="BW76" s="81">
        <v>2</v>
      </c>
      <c r="BX76" s="81">
        <v>2</v>
      </c>
      <c r="BY76" s="81">
        <v>2</v>
      </c>
      <c r="BZ76" s="81">
        <v>2</v>
      </c>
      <c r="CA76" s="81">
        <v>2</v>
      </c>
      <c r="CB76" s="81">
        <v>2</v>
      </c>
      <c r="CC76" s="81">
        <v>2</v>
      </c>
      <c r="CD76" s="81">
        <v>2</v>
      </c>
      <c r="CE76" s="81">
        <v>2</v>
      </c>
      <c r="CF76" s="81">
        <v>2</v>
      </c>
      <c r="CG76" s="81">
        <v>2</v>
      </c>
      <c r="CH76" s="81">
        <v>2</v>
      </c>
      <c r="CI76" s="81">
        <v>2</v>
      </c>
      <c r="CJ76" s="81">
        <v>2</v>
      </c>
      <c r="CK76" s="81">
        <v>2</v>
      </c>
      <c r="CL76" s="81">
        <v>2</v>
      </c>
      <c r="CM76" s="81">
        <v>2</v>
      </c>
      <c r="CN76" s="81">
        <v>2</v>
      </c>
      <c r="CO76" s="81">
        <v>2</v>
      </c>
      <c r="CP76" s="81">
        <v>2</v>
      </c>
      <c r="CQ76" s="81">
        <v>2</v>
      </c>
      <c r="CR76" s="81">
        <v>2</v>
      </c>
      <c r="CS76" s="81">
        <v>2</v>
      </c>
      <c r="CT76" s="81">
        <v>2</v>
      </c>
      <c r="CU76" s="81">
        <v>0</v>
      </c>
      <c r="CV76" s="81">
        <v>1</v>
      </c>
      <c r="CW76" s="81">
        <v>1</v>
      </c>
      <c r="CX76" s="81">
        <v>2</v>
      </c>
      <c r="CY76" s="81">
        <v>1</v>
      </c>
      <c r="CZ76" s="81">
        <v>1</v>
      </c>
      <c r="DA76" s="81">
        <v>1</v>
      </c>
    </row>
    <row r="77" spans="1:105" ht="12" customHeight="1" x14ac:dyDescent="0.3">
      <c r="A77" s="81" t="s">
        <v>657</v>
      </c>
      <c r="B77" s="81" t="s">
        <v>1443</v>
      </c>
      <c r="C77" s="81" t="s">
        <v>449</v>
      </c>
      <c r="D77" s="81" t="s">
        <v>658</v>
      </c>
      <c r="E77" s="81" t="s">
        <v>397</v>
      </c>
      <c r="F77" s="81" t="s">
        <v>397</v>
      </c>
      <c r="G77" s="81"/>
      <c r="H77" s="94">
        <v>21</v>
      </c>
      <c r="I77" s="81" t="s">
        <v>8</v>
      </c>
      <c r="J77" s="81" t="s">
        <v>449</v>
      </c>
      <c r="K77" s="81">
        <v>21</v>
      </c>
      <c r="L77" s="81" t="s">
        <v>451</v>
      </c>
      <c r="M77" s="81" t="s">
        <v>452</v>
      </c>
      <c r="N77" s="81" t="s">
        <v>1430</v>
      </c>
      <c r="O77" s="81" t="s">
        <v>1445</v>
      </c>
      <c r="P77" s="81" t="s">
        <v>414</v>
      </c>
      <c r="Q77" s="81" t="s">
        <v>646</v>
      </c>
      <c r="R77" s="81">
        <v>0</v>
      </c>
      <c r="S77" s="81">
        <v>0</v>
      </c>
      <c r="T77" s="81">
        <v>0</v>
      </c>
      <c r="U77" s="81">
        <v>0</v>
      </c>
      <c r="V77" s="81">
        <v>1</v>
      </c>
      <c r="W77" s="81">
        <v>0</v>
      </c>
      <c r="X77" s="81">
        <v>0</v>
      </c>
      <c r="Y77" s="81">
        <v>0</v>
      </c>
      <c r="Z77" s="81">
        <v>1</v>
      </c>
      <c r="AA77" s="81">
        <v>0</v>
      </c>
      <c r="AB77" s="81">
        <v>1</v>
      </c>
      <c r="AC77" s="81">
        <v>0</v>
      </c>
      <c r="AD77" s="81">
        <v>0</v>
      </c>
      <c r="AE77" s="81">
        <v>0</v>
      </c>
      <c r="AF77" s="81">
        <v>0</v>
      </c>
      <c r="AG77" s="81">
        <v>0</v>
      </c>
      <c r="AH77" s="81">
        <v>0</v>
      </c>
      <c r="AI77" s="81">
        <v>0</v>
      </c>
      <c r="AJ77" s="81">
        <v>0</v>
      </c>
      <c r="AK77" s="81">
        <v>0</v>
      </c>
      <c r="AL77" s="81">
        <v>0</v>
      </c>
      <c r="AM77" s="81">
        <v>1</v>
      </c>
      <c r="AN77" s="81">
        <v>0</v>
      </c>
      <c r="AO77" s="81">
        <v>0</v>
      </c>
      <c r="AP77" s="81">
        <v>0</v>
      </c>
      <c r="AQ77" s="81">
        <v>0</v>
      </c>
      <c r="AR77" s="81">
        <v>1</v>
      </c>
      <c r="AS77" s="81">
        <v>0</v>
      </c>
      <c r="AT77" s="81">
        <v>0</v>
      </c>
      <c r="AU77" s="81">
        <v>1</v>
      </c>
      <c r="AV77" s="81">
        <v>0</v>
      </c>
      <c r="AW77" s="81">
        <v>0</v>
      </c>
      <c r="AX77" s="81">
        <v>0</v>
      </c>
      <c r="AY77" s="81">
        <v>1</v>
      </c>
      <c r="AZ77" s="81">
        <v>1</v>
      </c>
      <c r="BA77" s="81">
        <v>0</v>
      </c>
      <c r="BB77" s="81">
        <v>0</v>
      </c>
      <c r="BC77" s="81">
        <v>0</v>
      </c>
      <c r="BD77" s="81">
        <v>0</v>
      </c>
      <c r="BE77" s="81">
        <v>1</v>
      </c>
      <c r="BF77" s="81">
        <v>0</v>
      </c>
      <c r="BG77" s="81">
        <v>1</v>
      </c>
      <c r="BH77" s="81">
        <v>0</v>
      </c>
      <c r="BI77" s="81">
        <v>0</v>
      </c>
      <c r="BJ77" s="81">
        <v>1</v>
      </c>
      <c r="BK77" s="81">
        <v>0</v>
      </c>
      <c r="BL77" s="81">
        <v>1</v>
      </c>
      <c r="BM77" s="81">
        <v>0</v>
      </c>
      <c r="BN77" s="81">
        <v>0</v>
      </c>
      <c r="BO77" s="81">
        <v>2</v>
      </c>
      <c r="BP77" s="81">
        <v>1</v>
      </c>
      <c r="BQ77" s="81">
        <v>1</v>
      </c>
      <c r="BR77" s="81">
        <v>2</v>
      </c>
      <c r="BS77" s="81">
        <v>2</v>
      </c>
      <c r="BT77" s="81">
        <v>2</v>
      </c>
      <c r="BU77" s="81">
        <v>1</v>
      </c>
      <c r="BV77" s="81">
        <v>1</v>
      </c>
      <c r="BW77" s="81">
        <v>2</v>
      </c>
      <c r="BX77" s="81">
        <v>2</v>
      </c>
      <c r="BY77" s="81">
        <v>2</v>
      </c>
      <c r="BZ77" s="81">
        <v>2</v>
      </c>
      <c r="CA77" s="81">
        <v>2</v>
      </c>
      <c r="CB77" s="81">
        <v>2</v>
      </c>
      <c r="CC77" s="81">
        <v>2</v>
      </c>
      <c r="CD77" s="81">
        <v>2</v>
      </c>
      <c r="CE77" s="81">
        <v>2</v>
      </c>
      <c r="CF77" s="81">
        <v>2</v>
      </c>
      <c r="CG77" s="81">
        <v>2</v>
      </c>
      <c r="CH77" s="81">
        <v>2</v>
      </c>
      <c r="CI77" s="81">
        <v>2</v>
      </c>
      <c r="CJ77" s="81">
        <v>2</v>
      </c>
      <c r="CK77" s="81">
        <v>2</v>
      </c>
      <c r="CL77" s="81">
        <v>2</v>
      </c>
      <c r="CM77" s="81">
        <v>2</v>
      </c>
      <c r="CN77" s="81">
        <v>2</v>
      </c>
      <c r="CO77" s="81">
        <v>2</v>
      </c>
      <c r="CP77" s="81">
        <v>2</v>
      </c>
      <c r="CQ77" s="81">
        <v>2</v>
      </c>
      <c r="CR77" s="81">
        <v>2</v>
      </c>
      <c r="CS77" s="81">
        <v>2</v>
      </c>
      <c r="CT77" s="81">
        <v>2</v>
      </c>
      <c r="CU77" s="81">
        <v>0</v>
      </c>
      <c r="CV77" s="81">
        <v>1</v>
      </c>
      <c r="CW77" s="81">
        <v>1</v>
      </c>
      <c r="CX77" s="81">
        <v>2</v>
      </c>
      <c r="CY77" s="81">
        <v>1</v>
      </c>
      <c r="CZ77" s="81">
        <v>1</v>
      </c>
      <c r="DA77" s="81">
        <v>1</v>
      </c>
    </row>
    <row r="78" spans="1:105" ht="12" customHeight="1" x14ac:dyDescent="0.3">
      <c r="A78" s="81" t="s">
        <v>659</v>
      </c>
      <c r="B78" s="81" t="s">
        <v>1443</v>
      </c>
      <c r="C78" s="81" t="s">
        <v>449</v>
      </c>
      <c r="D78" s="81" t="s">
        <v>660</v>
      </c>
      <c r="E78" s="81" t="s">
        <v>397</v>
      </c>
      <c r="F78" s="81" t="s">
        <v>397</v>
      </c>
      <c r="G78" s="81"/>
      <c r="H78" s="94">
        <v>21</v>
      </c>
      <c r="I78" s="81" t="s">
        <v>8</v>
      </c>
      <c r="J78" s="81" t="s">
        <v>449</v>
      </c>
      <c r="K78" s="81">
        <v>21</v>
      </c>
      <c r="L78" s="81" t="s">
        <v>451</v>
      </c>
      <c r="M78" s="81" t="s">
        <v>452</v>
      </c>
      <c r="N78" s="81" t="s">
        <v>1430</v>
      </c>
      <c r="O78" s="81" t="s">
        <v>1445</v>
      </c>
      <c r="P78" s="81" t="s">
        <v>414</v>
      </c>
      <c r="Q78" s="81" t="s">
        <v>646</v>
      </c>
      <c r="R78" s="81">
        <v>0</v>
      </c>
      <c r="S78" s="81">
        <v>0</v>
      </c>
      <c r="T78" s="81">
        <v>0</v>
      </c>
      <c r="U78" s="81">
        <v>0</v>
      </c>
      <c r="V78" s="81">
        <v>1</v>
      </c>
      <c r="W78" s="81">
        <v>0</v>
      </c>
      <c r="X78" s="81">
        <v>0</v>
      </c>
      <c r="Y78" s="81">
        <v>0</v>
      </c>
      <c r="Z78" s="81">
        <v>1</v>
      </c>
      <c r="AA78" s="81">
        <v>0</v>
      </c>
      <c r="AB78" s="81">
        <v>1</v>
      </c>
      <c r="AC78" s="81">
        <v>0</v>
      </c>
      <c r="AD78" s="81">
        <v>0</v>
      </c>
      <c r="AE78" s="81">
        <v>0</v>
      </c>
      <c r="AF78" s="81">
        <v>0</v>
      </c>
      <c r="AG78" s="81">
        <v>0</v>
      </c>
      <c r="AH78" s="81">
        <v>0</v>
      </c>
      <c r="AI78" s="81">
        <v>0</v>
      </c>
      <c r="AJ78" s="81">
        <v>0</v>
      </c>
      <c r="AK78" s="81">
        <v>0</v>
      </c>
      <c r="AL78" s="81">
        <v>0</v>
      </c>
      <c r="AM78" s="81">
        <v>1</v>
      </c>
      <c r="AN78" s="81">
        <v>0</v>
      </c>
      <c r="AO78" s="81">
        <v>0</v>
      </c>
      <c r="AP78" s="81">
        <v>0</v>
      </c>
      <c r="AQ78" s="81">
        <v>0</v>
      </c>
      <c r="AR78" s="81">
        <v>1</v>
      </c>
      <c r="AS78" s="81">
        <v>0</v>
      </c>
      <c r="AT78" s="81">
        <v>0</v>
      </c>
      <c r="AU78" s="81">
        <v>1</v>
      </c>
      <c r="AV78" s="81">
        <v>0</v>
      </c>
      <c r="AW78" s="81">
        <v>0</v>
      </c>
      <c r="AX78" s="81">
        <v>0</v>
      </c>
      <c r="AY78" s="81">
        <v>1</v>
      </c>
      <c r="AZ78" s="81">
        <v>1</v>
      </c>
      <c r="BA78" s="81">
        <v>0</v>
      </c>
      <c r="BB78" s="81">
        <v>0</v>
      </c>
      <c r="BC78" s="81">
        <v>0</v>
      </c>
      <c r="BD78" s="81">
        <v>0</v>
      </c>
      <c r="BE78" s="81">
        <v>1</v>
      </c>
      <c r="BF78" s="81">
        <v>0</v>
      </c>
      <c r="BG78" s="81">
        <v>1</v>
      </c>
      <c r="BH78" s="81">
        <v>0</v>
      </c>
      <c r="BI78" s="81">
        <v>0</v>
      </c>
      <c r="BJ78" s="81">
        <v>1</v>
      </c>
      <c r="BK78" s="81">
        <v>0</v>
      </c>
      <c r="BL78" s="81">
        <v>1</v>
      </c>
      <c r="BM78" s="81">
        <v>0</v>
      </c>
      <c r="BN78" s="81">
        <v>0</v>
      </c>
      <c r="BO78" s="81">
        <v>2</v>
      </c>
      <c r="BP78" s="81">
        <v>1</v>
      </c>
      <c r="BQ78" s="81">
        <v>1</v>
      </c>
      <c r="BR78" s="81">
        <v>2</v>
      </c>
      <c r="BS78" s="81">
        <v>2</v>
      </c>
      <c r="BT78" s="81">
        <v>2</v>
      </c>
      <c r="BU78" s="81">
        <v>1</v>
      </c>
      <c r="BV78" s="81">
        <v>1</v>
      </c>
      <c r="BW78" s="81">
        <v>2</v>
      </c>
      <c r="BX78" s="81">
        <v>2</v>
      </c>
      <c r="BY78" s="81">
        <v>2</v>
      </c>
      <c r="BZ78" s="81">
        <v>2</v>
      </c>
      <c r="CA78" s="81">
        <v>2</v>
      </c>
      <c r="CB78" s="81">
        <v>2</v>
      </c>
      <c r="CC78" s="81">
        <v>2</v>
      </c>
      <c r="CD78" s="81">
        <v>2</v>
      </c>
      <c r="CE78" s="81">
        <v>2</v>
      </c>
      <c r="CF78" s="81">
        <v>2</v>
      </c>
      <c r="CG78" s="81">
        <v>2</v>
      </c>
      <c r="CH78" s="81">
        <v>2</v>
      </c>
      <c r="CI78" s="81">
        <v>2</v>
      </c>
      <c r="CJ78" s="81">
        <v>2</v>
      </c>
      <c r="CK78" s="81">
        <v>2</v>
      </c>
      <c r="CL78" s="81">
        <v>2</v>
      </c>
      <c r="CM78" s="81">
        <v>2</v>
      </c>
      <c r="CN78" s="81">
        <v>2</v>
      </c>
      <c r="CO78" s="81">
        <v>2</v>
      </c>
      <c r="CP78" s="81">
        <v>2</v>
      </c>
      <c r="CQ78" s="81">
        <v>2</v>
      </c>
      <c r="CR78" s="81">
        <v>2</v>
      </c>
      <c r="CS78" s="81">
        <v>2</v>
      </c>
      <c r="CT78" s="81">
        <v>2</v>
      </c>
      <c r="CU78" s="81">
        <v>0</v>
      </c>
      <c r="CV78" s="81">
        <v>1</v>
      </c>
      <c r="CW78" s="81">
        <v>1</v>
      </c>
      <c r="CX78" s="81">
        <v>2</v>
      </c>
      <c r="CY78" s="81">
        <v>1</v>
      </c>
      <c r="CZ78" s="81">
        <v>1</v>
      </c>
      <c r="DA78" s="81">
        <v>1</v>
      </c>
    </row>
    <row r="79" spans="1:105" ht="12" customHeight="1" x14ac:dyDescent="0.3">
      <c r="A79" s="81" t="s">
        <v>661</v>
      </c>
      <c r="B79" s="81" t="s">
        <v>1443</v>
      </c>
      <c r="C79" s="81" t="s">
        <v>449</v>
      </c>
      <c r="D79" s="81" t="s">
        <v>662</v>
      </c>
      <c r="E79" s="81" t="s">
        <v>397</v>
      </c>
      <c r="F79" s="81" t="s">
        <v>397</v>
      </c>
      <c r="G79" s="81" t="s">
        <v>396</v>
      </c>
      <c r="H79" s="94">
        <v>21</v>
      </c>
      <c r="I79" s="81" t="s">
        <v>8</v>
      </c>
      <c r="J79" s="81" t="s">
        <v>449</v>
      </c>
      <c r="K79" s="81">
        <v>21</v>
      </c>
      <c r="L79" s="81" t="s">
        <v>451</v>
      </c>
      <c r="M79" s="81" t="s">
        <v>452</v>
      </c>
      <c r="N79" s="81" t="s">
        <v>1430</v>
      </c>
      <c r="O79" s="81" t="s">
        <v>1445</v>
      </c>
      <c r="P79" s="81" t="s">
        <v>414</v>
      </c>
      <c r="Q79" s="81" t="s">
        <v>643</v>
      </c>
      <c r="R79" s="81">
        <v>0</v>
      </c>
      <c r="S79" s="81">
        <v>0</v>
      </c>
      <c r="T79" s="81">
        <v>0</v>
      </c>
      <c r="U79" s="81">
        <v>0</v>
      </c>
      <c r="V79" s="81">
        <v>1</v>
      </c>
      <c r="W79" s="81">
        <v>0</v>
      </c>
      <c r="X79" s="81">
        <v>0</v>
      </c>
      <c r="Y79" s="81">
        <v>0</v>
      </c>
      <c r="Z79" s="81">
        <v>1</v>
      </c>
      <c r="AA79" s="81">
        <v>0</v>
      </c>
      <c r="AB79" s="81">
        <v>1</v>
      </c>
      <c r="AC79" s="81">
        <v>0</v>
      </c>
      <c r="AD79" s="81">
        <v>0</v>
      </c>
      <c r="AE79" s="81">
        <v>0</v>
      </c>
      <c r="AF79" s="81">
        <v>0</v>
      </c>
      <c r="AG79" s="81">
        <v>0</v>
      </c>
      <c r="AH79" s="81">
        <v>0</v>
      </c>
      <c r="AI79" s="81">
        <v>0</v>
      </c>
      <c r="AJ79" s="81">
        <v>0</v>
      </c>
      <c r="AK79" s="81">
        <v>0</v>
      </c>
      <c r="AL79" s="81">
        <v>0</v>
      </c>
      <c r="AM79" s="81">
        <v>1</v>
      </c>
      <c r="AN79" s="81">
        <v>0</v>
      </c>
      <c r="AO79" s="81">
        <v>0</v>
      </c>
      <c r="AP79" s="81">
        <v>0</v>
      </c>
      <c r="AQ79" s="81">
        <v>0</v>
      </c>
      <c r="AR79" s="81">
        <v>1</v>
      </c>
      <c r="AS79" s="81">
        <v>0</v>
      </c>
      <c r="AT79" s="81">
        <v>0</v>
      </c>
      <c r="AU79" s="81">
        <v>1</v>
      </c>
      <c r="AV79" s="81">
        <v>0</v>
      </c>
      <c r="AW79" s="81">
        <v>0</v>
      </c>
      <c r="AX79" s="81">
        <v>0</v>
      </c>
      <c r="AY79" s="81">
        <v>1</v>
      </c>
      <c r="AZ79" s="81">
        <v>1</v>
      </c>
      <c r="BA79" s="81">
        <v>0</v>
      </c>
      <c r="BB79" s="81">
        <v>0</v>
      </c>
      <c r="BC79" s="81">
        <v>0</v>
      </c>
      <c r="BD79" s="81">
        <v>0</v>
      </c>
      <c r="BE79" s="81">
        <v>1</v>
      </c>
      <c r="BF79" s="81">
        <v>0</v>
      </c>
      <c r="BG79" s="81">
        <v>1</v>
      </c>
      <c r="BH79" s="81">
        <v>0</v>
      </c>
      <c r="BI79" s="81">
        <v>0</v>
      </c>
      <c r="BJ79" s="81">
        <v>1</v>
      </c>
      <c r="BK79" s="81">
        <v>0</v>
      </c>
      <c r="BL79" s="81">
        <v>1</v>
      </c>
      <c r="BM79" s="81">
        <v>0</v>
      </c>
      <c r="BN79" s="81">
        <v>0</v>
      </c>
      <c r="BO79" s="81">
        <v>2</v>
      </c>
      <c r="BP79" s="81">
        <v>1</v>
      </c>
      <c r="BQ79" s="81">
        <v>1</v>
      </c>
      <c r="BR79" s="81">
        <v>2</v>
      </c>
      <c r="BS79" s="81">
        <v>2</v>
      </c>
      <c r="BT79" s="81">
        <v>2</v>
      </c>
      <c r="BU79" s="81">
        <v>1</v>
      </c>
      <c r="BV79" s="81">
        <v>1</v>
      </c>
      <c r="BW79" s="81">
        <v>2</v>
      </c>
      <c r="BX79" s="81">
        <v>2</v>
      </c>
      <c r="BY79" s="81">
        <v>2</v>
      </c>
      <c r="BZ79" s="81">
        <v>2</v>
      </c>
      <c r="CA79" s="81">
        <v>2</v>
      </c>
      <c r="CB79" s="81">
        <v>2</v>
      </c>
      <c r="CC79" s="81">
        <v>2</v>
      </c>
      <c r="CD79" s="81">
        <v>2</v>
      </c>
      <c r="CE79" s="81">
        <v>2</v>
      </c>
      <c r="CF79" s="81">
        <v>2</v>
      </c>
      <c r="CG79" s="81">
        <v>2</v>
      </c>
      <c r="CH79" s="81">
        <v>2</v>
      </c>
      <c r="CI79" s="81">
        <v>2</v>
      </c>
      <c r="CJ79" s="81">
        <v>2</v>
      </c>
      <c r="CK79" s="81">
        <v>2</v>
      </c>
      <c r="CL79" s="81">
        <v>2</v>
      </c>
      <c r="CM79" s="81">
        <v>2</v>
      </c>
      <c r="CN79" s="81">
        <v>2</v>
      </c>
      <c r="CO79" s="81">
        <v>2</v>
      </c>
      <c r="CP79" s="81">
        <v>2</v>
      </c>
      <c r="CQ79" s="81">
        <v>2</v>
      </c>
      <c r="CR79" s="81">
        <v>2</v>
      </c>
      <c r="CS79" s="81">
        <v>2</v>
      </c>
      <c r="CT79" s="81">
        <v>2</v>
      </c>
      <c r="CU79" s="81">
        <v>0</v>
      </c>
      <c r="CV79" s="81">
        <v>1</v>
      </c>
      <c r="CW79" s="81">
        <v>1</v>
      </c>
      <c r="CX79" s="81">
        <v>2</v>
      </c>
      <c r="CY79" s="81">
        <v>1</v>
      </c>
      <c r="CZ79" s="81">
        <v>1</v>
      </c>
      <c r="DA79" s="81">
        <v>1</v>
      </c>
    </row>
    <row r="80" spans="1:105" ht="12" customHeight="1" x14ac:dyDescent="0.3">
      <c r="A80" s="81" t="s">
        <v>663</v>
      </c>
      <c r="B80" s="81" t="s">
        <v>1443</v>
      </c>
      <c r="C80" s="81" t="s">
        <v>449</v>
      </c>
      <c r="D80" s="81" t="s">
        <v>664</v>
      </c>
      <c r="E80" s="81" t="s">
        <v>397</v>
      </c>
      <c r="F80" s="81" t="s">
        <v>397</v>
      </c>
      <c r="G80" s="81"/>
      <c r="H80" s="94">
        <v>21</v>
      </c>
      <c r="I80" s="81" t="s">
        <v>8</v>
      </c>
      <c r="J80" s="81" t="s">
        <v>449</v>
      </c>
      <c r="K80" s="81">
        <v>21</v>
      </c>
      <c r="L80" s="81" t="s">
        <v>451</v>
      </c>
      <c r="M80" s="81" t="s">
        <v>452</v>
      </c>
      <c r="N80" s="81" t="s">
        <v>1430</v>
      </c>
      <c r="O80" s="81" t="s">
        <v>1445</v>
      </c>
      <c r="P80" s="81" t="s">
        <v>414</v>
      </c>
      <c r="Q80" s="81" t="s">
        <v>646</v>
      </c>
      <c r="R80" s="81">
        <v>0</v>
      </c>
      <c r="S80" s="81">
        <v>0</v>
      </c>
      <c r="T80" s="81">
        <v>0</v>
      </c>
      <c r="U80" s="81">
        <v>0</v>
      </c>
      <c r="V80" s="81">
        <v>1</v>
      </c>
      <c r="W80" s="81">
        <v>0</v>
      </c>
      <c r="X80" s="81">
        <v>0</v>
      </c>
      <c r="Y80" s="81">
        <v>0</v>
      </c>
      <c r="Z80" s="81">
        <v>1</v>
      </c>
      <c r="AA80" s="81">
        <v>0</v>
      </c>
      <c r="AB80" s="81">
        <v>1</v>
      </c>
      <c r="AC80" s="81">
        <v>0</v>
      </c>
      <c r="AD80" s="81">
        <v>0</v>
      </c>
      <c r="AE80" s="81">
        <v>0</v>
      </c>
      <c r="AF80" s="81">
        <v>0</v>
      </c>
      <c r="AG80" s="81">
        <v>0</v>
      </c>
      <c r="AH80" s="81">
        <v>0</v>
      </c>
      <c r="AI80" s="81">
        <v>0</v>
      </c>
      <c r="AJ80" s="81">
        <v>0</v>
      </c>
      <c r="AK80" s="81">
        <v>0</v>
      </c>
      <c r="AL80" s="81">
        <v>0</v>
      </c>
      <c r="AM80" s="81">
        <v>1</v>
      </c>
      <c r="AN80" s="81">
        <v>0</v>
      </c>
      <c r="AO80" s="81">
        <v>0</v>
      </c>
      <c r="AP80" s="81">
        <v>0</v>
      </c>
      <c r="AQ80" s="81">
        <v>0</v>
      </c>
      <c r="AR80" s="81">
        <v>1</v>
      </c>
      <c r="AS80" s="81">
        <v>0</v>
      </c>
      <c r="AT80" s="81">
        <v>0</v>
      </c>
      <c r="AU80" s="81">
        <v>1</v>
      </c>
      <c r="AV80" s="81">
        <v>0</v>
      </c>
      <c r="AW80" s="81">
        <v>0</v>
      </c>
      <c r="AX80" s="81">
        <v>0</v>
      </c>
      <c r="AY80" s="81">
        <v>1</v>
      </c>
      <c r="AZ80" s="81">
        <v>1</v>
      </c>
      <c r="BA80" s="81">
        <v>0</v>
      </c>
      <c r="BB80" s="81">
        <v>0</v>
      </c>
      <c r="BC80" s="81">
        <v>0</v>
      </c>
      <c r="BD80" s="81">
        <v>0</v>
      </c>
      <c r="BE80" s="81">
        <v>1</v>
      </c>
      <c r="BF80" s="81">
        <v>0</v>
      </c>
      <c r="BG80" s="81">
        <v>1</v>
      </c>
      <c r="BH80" s="81">
        <v>0</v>
      </c>
      <c r="BI80" s="81">
        <v>0</v>
      </c>
      <c r="BJ80" s="81">
        <v>1</v>
      </c>
      <c r="BK80" s="81">
        <v>0</v>
      </c>
      <c r="BL80" s="81">
        <v>1</v>
      </c>
      <c r="BM80" s="81">
        <v>0</v>
      </c>
      <c r="BN80" s="81">
        <v>0</v>
      </c>
      <c r="BO80" s="81">
        <v>2</v>
      </c>
      <c r="BP80" s="81">
        <v>1</v>
      </c>
      <c r="BQ80" s="81">
        <v>1</v>
      </c>
      <c r="BR80" s="81">
        <v>2</v>
      </c>
      <c r="BS80" s="81">
        <v>2</v>
      </c>
      <c r="BT80" s="81">
        <v>2</v>
      </c>
      <c r="BU80" s="81">
        <v>1</v>
      </c>
      <c r="BV80" s="81">
        <v>1</v>
      </c>
      <c r="BW80" s="81">
        <v>2</v>
      </c>
      <c r="BX80" s="81">
        <v>2</v>
      </c>
      <c r="BY80" s="81">
        <v>2</v>
      </c>
      <c r="BZ80" s="81">
        <v>2</v>
      </c>
      <c r="CA80" s="81">
        <v>2</v>
      </c>
      <c r="CB80" s="81">
        <v>2</v>
      </c>
      <c r="CC80" s="81">
        <v>2</v>
      </c>
      <c r="CD80" s="81">
        <v>2</v>
      </c>
      <c r="CE80" s="81">
        <v>2</v>
      </c>
      <c r="CF80" s="81">
        <v>2</v>
      </c>
      <c r="CG80" s="81">
        <v>2</v>
      </c>
      <c r="CH80" s="81">
        <v>2</v>
      </c>
      <c r="CI80" s="81">
        <v>2</v>
      </c>
      <c r="CJ80" s="81">
        <v>2</v>
      </c>
      <c r="CK80" s="81">
        <v>2</v>
      </c>
      <c r="CL80" s="81">
        <v>2</v>
      </c>
      <c r="CM80" s="81">
        <v>2</v>
      </c>
      <c r="CN80" s="81">
        <v>2</v>
      </c>
      <c r="CO80" s="81">
        <v>2</v>
      </c>
      <c r="CP80" s="81">
        <v>2</v>
      </c>
      <c r="CQ80" s="81">
        <v>2</v>
      </c>
      <c r="CR80" s="81">
        <v>2</v>
      </c>
      <c r="CS80" s="81">
        <v>2</v>
      </c>
      <c r="CT80" s="81">
        <v>2</v>
      </c>
      <c r="CU80" s="81">
        <v>0</v>
      </c>
      <c r="CV80" s="81">
        <v>1</v>
      </c>
      <c r="CW80" s="81">
        <v>1</v>
      </c>
      <c r="CX80" s="81">
        <v>2</v>
      </c>
      <c r="CY80" s="81">
        <v>1</v>
      </c>
      <c r="CZ80" s="81">
        <v>1</v>
      </c>
      <c r="DA80" s="81">
        <v>1</v>
      </c>
    </row>
    <row r="81" spans="1:105" ht="12" customHeight="1" x14ac:dyDescent="0.3">
      <c r="A81" s="81" t="s">
        <v>665</v>
      </c>
      <c r="B81" s="81" t="s">
        <v>1443</v>
      </c>
      <c r="C81" s="81" t="s">
        <v>449</v>
      </c>
      <c r="D81" s="81" t="s">
        <v>666</v>
      </c>
      <c r="E81" s="81" t="s">
        <v>397</v>
      </c>
      <c r="F81" s="81" t="s">
        <v>397</v>
      </c>
      <c r="G81" s="81"/>
      <c r="H81" s="94">
        <v>21</v>
      </c>
      <c r="I81" s="81" t="s">
        <v>8</v>
      </c>
      <c r="J81" s="81" t="s">
        <v>449</v>
      </c>
      <c r="K81" s="81">
        <v>21</v>
      </c>
      <c r="L81" s="81" t="s">
        <v>451</v>
      </c>
      <c r="M81" s="81" t="s">
        <v>452</v>
      </c>
      <c r="N81" s="81" t="s">
        <v>1430</v>
      </c>
      <c r="O81" s="81" t="s">
        <v>1445</v>
      </c>
      <c r="P81" s="81" t="s">
        <v>414</v>
      </c>
      <c r="Q81" s="81" t="s">
        <v>646</v>
      </c>
      <c r="R81" s="81">
        <v>0</v>
      </c>
      <c r="S81" s="81">
        <v>0</v>
      </c>
      <c r="T81" s="81">
        <v>0</v>
      </c>
      <c r="U81" s="81">
        <v>0</v>
      </c>
      <c r="V81" s="81">
        <v>1</v>
      </c>
      <c r="W81" s="81">
        <v>0</v>
      </c>
      <c r="X81" s="81">
        <v>0</v>
      </c>
      <c r="Y81" s="81">
        <v>0</v>
      </c>
      <c r="Z81" s="81">
        <v>1</v>
      </c>
      <c r="AA81" s="81">
        <v>0</v>
      </c>
      <c r="AB81" s="81">
        <v>1</v>
      </c>
      <c r="AC81" s="81">
        <v>0</v>
      </c>
      <c r="AD81" s="81">
        <v>0</v>
      </c>
      <c r="AE81" s="81">
        <v>0</v>
      </c>
      <c r="AF81" s="81">
        <v>0</v>
      </c>
      <c r="AG81" s="81">
        <v>0</v>
      </c>
      <c r="AH81" s="81">
        <v>0</v>
      </c>
      <c r="AI81" s="81">
        <v>0</v>
      </c>
      <c r="AJ81" s="81">
        <v>0</v>
      </c>
      <c r="AK81" s="81">
        <v>0</v>
      </c>
      <c r="AL81" s="81">
        <v>0</v>
      </c>
      <c r="AM81" s="81">
        <v>1</v>
      </c>
      <c r="AN81" s="81">
        <v>0</v>
      </c>
      <c r="AO81" s="81">
        <v>0</v>
      </c>
      <c r="AP81" s="81">
        <v>0</v>
      </c>
      <c r="AQ81" s="81">
        <v>0</v>
      </c>
      <c r="AR81" s="81">
        <v>1</v>
      </c>
      <c r="AS81" s="81">
        <v>0</v>
      </c>
      <c r="AT81" s="81">
        <v>0</v>
      </c>
      <c r="AU81" s="81">
        <v>1</v>
      </c>
      <c r="AV81" s="81">
        <v>0</v>
      </c>
      <c r="AW81" s="81">
        <v>0</v>
      </c>
      <c r="AX81" s="81">
        <v>0</v>
      </c>
      <c r="AY81" s="81">
        <v>1</v>
      </c>
      <c r="AZ81" s="81">
        <v>1</v>
      </c>
      <c r="BA81" s="81">
        <v>0</v>
      </c>
      <c r="BB81" s="81">
        <v>0</v>
      </c>
      <c r="BC81" s="81">
        <v>0</v>
      </c>
      <c r="BD81" s="81">
        <v>0</v>
      </c>
      <c r="BE81" s="81">
        <v>1</v>
      </c>
      <c r="BF81" s="81">
        <v>0</v>
      </c>
      <c r="BG81" s="81">
        <v>1</v>
      </c>
      <c r="BH81" s="81">
        <v>0</v>
      </c>
      <c r="BI81" s="81">
        <v>0</v>
      </c>
      <c r="BJ81" s="81">
        <v>1</v>
      </c>
      <c r="BK81" s="81">
        <v>0</v>
      </c>
      <c r="BL81" s="81">
        <v>1</v>
      </c>
      <c r="BM81" s="81">
        <v>0</v>
      </c>
      <c r="BN81" s="81">
        <v>0</v>
      </c>
      <c r="BO81" s="81">
        <v>2</v>
      </c>
      <c r="BP81" s="81">
        <v>1</v>
      </c>
      <c r="BQ81" s="81">
        <v>1</v>
      </c>
      <c r="BR81" s="81">
        <v>2</v>
      </c>
      <c r="BS81" s="81">
        <v>2</v>
      </c>
      <c r="BT81" s="81">
        <v>2</v>
      </c>
      <c r="BU81" s="81">
        <v>1</v>
      </c>
      <c r="BV81" s="81">
        <v>1</v>
      </c>
      <c r="BW81" s="81">
        <v>2</v>
      </c>
      <c r="BX81" s="81">
        <v>2</v>
      </c>
      <c r="BY81" s="81">
        <v>2</v>
      </c>
      <c r="BZ81" s="81">
        <v>2</v>
      </c>
      <c r="CA81" s="81">
        <v>2</v>
      </c>
      <c r="CB81" s="81">
        <v>2</v>
      </c>
      <c r="CC81" s="81">
        <v>2</v>
      </c>
      <c r="CD81" s="81">
        <v>2</v>
      </c>
      <c r="CE81" s="81">
        <v>2</v>
      </c>
      <c r="CF81" s="81">
        <v>2</v>
      </c>
      <c r="CG81" s="81">
        <v>2</v>
      </c>
      <c r="CH81" s="81">
        <v>2</v>
      </c>
      <c r="CI81" s="81">
        <v>2</v>
      </c>
      <c r="CJ81" s="81">
        <v>2</v>
      </c>
      <c r="CK81" s="81">
        <v>2</v>
      </c>
      <c r="CL81" s="81">
        <v>2</v>
      </c>
      <c r="CM81" s="81">
        <v>2</v>
      </c>
      <c r="CN81" s="81">
        <v>2</v>
      </c>
      <c r="CO81" s="81">
        <v>2</v>
      </c>
      <c r="CP81" s="81">
        <v>2</v>
      </c>
      <c r="CQ81" s="81">
        <v>2</v>
      </c>
      <c r="CR81" s="81">
        <v>2</v>
      </c>
      <c r="CS81" s="81">
        <v>2</v>
      </c>
      <c r="CT81" s="81">
        <v>2</v>
      </c>
      <c r="CU81" s="81">
        <v>0</v>
      </c>
      <c r="CV81" s="81">
        <v>1</v>
      </c>
      <c r="CW81" s="81">
        <v>1</v>
      </c>
      <c r="CX81" s="81">
        <v>2</v>
      </c>
      <c r="CY81" s="81">
        <v>1</v>
      </c>
      <c r="CZ81" s="81">
        <v>1</v>
      </c>
      <c r="DA81" s="81">
        <v>1</v>
      </c>
    </row>
    <row r="82" spans="1:105" ht="12" customHeight="1" x14ac:dyDescent="0.3">
      <c r="A82" s="81" t="s">
        <v>667</v>
      </c>
      <c r="B82" s="81" t="s">
        <v>1443</v>
      </c>
      <c r="C82" s="81" t="s">
        <v>449</v>
      </c>
      <c r="D82" s="81" t="s">
        <v>668</v>
      </c>
      <c r="E82" s="81" t="s">
        <v>397</v>
      </c>
      <c r="F82" s="81" t="s">
        <v>397</v>
      </c>
      <c r="G82" s="81" t="s">
        <v>398</v>
      </c>
      <c r="H82" s="94">
        <v>21</v>
      </c>
      <c r="I82" s="81" t="s">
        <v>8</v>
      </c>
      <c r="J82" s="81" t="s">
        <v>449</v>
      </c>
      <c r="K82" s="81">
        <v>21</v>
      </c>
      <c r="L82" s="81" t="s">
        <v>451</v>
      </c>
      <c r="M82" s="81" t="s">
        <v>452</v>
      </c>
      <c r="N82" s="81" t="s">
        <v>1430</v>
      </c>
      <c r="O82" s="81" t="s">
        <v>1445</v>
      </c>
      <c r="P82" s="81" t="s">
        <v>414</v>
      </c>
      <c r="Q82" s="81" t="s">
        <v>669</v>
      </c>
      <c r="R82" s="81">
        <v>0</v>
      </c>
      <c r="S82" s="81">
        <v>0</v>
      </c>
      <c r="T82" s="81">
        <v>0</v>
      </c>
      <c r="U82" s="81">
        <v>0</v>
      </c>
      <c r="V82" s="81">
        <v>1</v>
      </c>
      <c r="W82" s="81">
        <v>0</v>
      </c>
      <c r="X82" s="81">
        <v>0</v>
      </c>
      <c r="Y82" s="81">
        <v>0</v>
      </c>
      <c r="Z82" s="81">
        <v>1</v>
      </c>
      <c r="AA82" s="81">
        <v>0</v>
      </c>
      <c r="AB82" s="81">
        <v>1</v>
      </c>
      <c r="AC82" s="81">
        <v>0</v>
      </c>
      <c r="AD82" s="81">
        <v>0</v>
      </c>
      <c r="AE82" s="81">
        <v>0</v>
      </c>
      <c r="AF82" s="81">
        <v>0</v>
      </c>
      <c r="AG82" s="81">
        <v>0</v>
      </c>
      <c r="AH82" s="81">
        <v>0</v>
      </c>
      <c r="AI82" s="81">
        <v>0</v>
      </c>
      <c r="AJ82" s="81">
        <v>0</v>
      </c>
      <c r="AK82" s="81">
        <v>0</v>
      </c>
      <c r="AL82" s="81">
        <v>0</v>
      </c>
      <c r="AM82" s="81">
        <v>1</v>
      </c>
      <c r="AN82" s="81">
        <v>0</v>
      </c>
      <c r="AO82" s="81">
        <v>0</v>
      </c>
      <c r="AP82" s="81">
        <v>0</v>
      </c>
      <c r="AQ82" s="81">
        <v>0</v>
      </c>
      <c r="AR82" s="81">
        <v>1</v>
      </c>
      <c r="AS82" s="81">
        <v>0</v>
      </c>
      <c r="AT82" s="81">
        <v>0</v>
      </c>
      <c r="AU82" s="81">
        <v>1</v>
      </c>
      <c r="AV82" s="81">
        <v>0</v>
      </c>
      <c r="AW82" s="81">
        <v>0</v>
      </c>
      <c r="AX82" s="81">
        <v>0</v>
      </c>
      <c r="AY82" s="81">
        <v>1</v>
      </c>
      <c r="AZ82" s="81">
        <v>1</v>
      </c>
      <c r="BA82" s="81">
        <v>0</v>
      </c>
      <c r="BB82" s="81">
        <v>0</v>
      </c>
      <c r="BC82" s="81">
        <v>0</v>
      </c>
      <c r="BD82" s="81">
        <v>0</v>
      </c>
      <c r="BE82" s="81">
        <v>1</v>
      </c>
      <c r="BF82" s="81">
        <v>0</v>
      </c>
      <c r="BG82" s="81">
        <v>1</v>
      </c>
      <c r="BH82" s="81">
        <v>0</v>
      </c>
      <c r="BI82" s="81">
        <v>0</v>
      </c>
      <c r="BJ82" s="81">
        <v>1</v>
      </c>
      <c r="BK82" s="81">
        <v>0</v>
      </c>
      <c r="BL82" s="81">
        <v>1</v>
      </c>
      <c r="BM82" s="81">
        <v>0</v>
      </c>
      <c r="BN82" s="81">
        <v>0</v>
      </c>
      <c r="BO82" s="81">
        <v>2</v>
      </c>
      <c r="BP82" s="81">
        <v>1</v>
      </c>
      <c r="BQ82" s="81">
        <v>1</v>
      </c>
      <c r="BR82" s="81">
        <v>2</v>
      </c>
      <c r="BS82" s="81">
        <v>2</v>
      </c>
      <c r="BT82" s="81">
        <v>2</v>
      </c>
      <c r="BU82" s="81">
        <v>1</v>
      </c>
      <c r="BV82" s="81">
        <v>1</v>
      </c>
      <c r="BW82" s="81">
        <v>2</v>
      </c>
      <c r="BX82" s="81">
        <v>2</v>
      </c>
      <c r="BY82" s="81">
        <v>2</v>
      </c>
      <c r="BZ82" s="81">
        <v>2</v>
      </c>
      <c r="CA82" s="81">
        <v>2</v>
      </c>
      <c r="CB82" s="81">
        <v>2</v>
      </c>
      <c r="CC82" s="81">
        <v>2</v>
      </c>
      <c r="CD82" s="81">
        <v>2</v>
      </c>
      <c r="CE82" s="81">
        <v>2</v>
      </c>
      <c r="CF82" s="81">
        <v>2</v>
      </c>
      <c r="CG82" s="81">
        <v>2</v>
      </c>
      <c r="CH82" s="81">
        <v>2</v>
      </c>
      <c r="CI82" s="81">
        <v>2</v>
      </c>
      <c r="CJ82" s="81">
        <v>2</v>
      </c>
      <c r="CK82" s="81">
        <v>2</v>
      </c>
      <c r="CL82" s="81">
        <v>2</v>
      </c>
      <c r="CM82" s="81">
        <v>2</v>
      </c>
      <c r="CN82" s="81">
        <v>2</v>
      </c>
      <c r="CO82" s="81">
        <v>2</v>
      </c>
      <c r="CP82" s="81">
        <v>2</v>
      </c>
      <c r="CQ82" s="81">
        <v>2</v>
      </c>
      <c r="CR82" s="81">
        <v>2</v>
      </c>
      <c r="CS82" s="81">
        <v>2</v>
      </c>
      <c r="CT82" s="81">
        <v>2</v>
      </c>
      <c r="CU82" s="81">
        <v>0</v>
      </c>
      <c r="CV82" s="81">
        <v>1</v>
      </c>
      <c r="CW82" s="81">
        <v>1</v>
      </c>
      <c r="CX82" s="81">
        <v>2</v>
      </c>
      <c r="CY82" s="81">
        <v>1</v>
      </c>
      <c r="CZ82" s="81">
        <v>1</v>
      </c>
      <c r="DA82" s="81">
        <v>1</v>
      </c>
    </row>
    <row r="83" spans="1:105" ht="12" customHeight="1" x14ac:dyDescent="0.3">
      <c r="A83" s="81" t="s">
        <v>670</v>
      </c>
      <c r="B83" s="81" t="s">
        <v>1443</v>
      </c>
      <c r="C83" s="81" t="s">
        <v>449</v>
      </c>
      <c r="D83" s="81" t="s">
        <v>671</v>
      </c>
      <c r="E83" s="81" t="s">
        <v>397</v>
      </c>
      <c r="F83" s="81" t="s">
        <v>397</v>
      </c>
      <c r="G83" s="81"/>
      <c r="H83" s="94">
        <v>21</v>
      </c>
      <c r="I83" s="81" t="s">
        <v>8</v>
      </c>
      <c r="J83" s="81" t="s">
        <v>449</v>
      </c>
      <c r="K83" s="81">
        <v>21</v>
      </c>
      <c r="L83" s="81" t="s">
        <v>451</v>
      </c>
      <c r="M83" s="81" t="s">
        <v>452</v>
      </c>
      <c r="N83" s="81" t="s">
        <v>1430</v>
      </c>
      <c r="O83" s="81" t="s">
        <v>1445</v>
      </c>
      <c r="P83" s="81" t="s">
        <v>414</v>
      </c>
      <c r="Q83" s="81" t="s">
        <v>646</v>
      </c>
      <c r="R83" s="81">
        <v>0</v>
      </c>
      <c r="S83" s="81">
        <v>0</v>
      </c>
      <c r="T83" s="81">
        <v>0</v>
      </c>
      <c r="U83" s="81">
        <v>0</v>
      </c>
      <c r="V83" s="81">
        <v>1</v>
      </c>
      <c r="W83" s="81">
        <v>0</v>
      </c>
      <c r="X83" s="81">
        <v>0</v>
      </c>
      <c r="Y83" s="81">
        <v>0</v>
      </c>
      <c r="Z83" s="81">
        <v>1</v>
      </c>
      <c r="AA83" s="81">
        <v>0</v>
      </c>
      <c r="AB83" s="81">
        <v>1</v>
      </c>
      <c r="AC83" s="81">
        <v>0</v>
      </c>
      <c r="AD83" s="81">
        <v>0</v>
      </c>
      <c r="AE83" s="81">
        <v>0</v>
      </c>
      <c r="AF83" s="81">
        <v>0</v>
      </c>
      <c r="AG83" s="81">
        <v>0</v>
      </c>
      <c r="AH83" s="81">
        <v>0</v>
      </c>
      <c r="AI83" s="81">
        <v>0</v>
      </c>
      <c r="AJ83" s="81">
        <v>0</v>
      </c>
      <c r="AK83" s="81">
        <v>0</v>
      </c>
      <c r="AL83" s="81">
        <v>0</v>
      </c>
      <c r="AM83" s="81">
        <v>1</v>
      </c>
      <c r="AN83" s="81">
        <v>0</v>
      </c>
      <c r="AO83" s="81">
        <v>0</v>
      </c>
      <c r="AP83" s="81">
        <v>0</v>
      </c>
      <c r="AQ83" s="81">
        <v>0</v>
      </c>
      <c r="AR83" s="81">
        <v>1</v>
      </c>
      <c r="AS83" s="81">
        <v>0</v>
      </c>
      <c r="AT83" s="81">
        <v>0</v>
      </c>
      <c r="AU83" s="81">
        <v>1</v>
      </c>
      <c r="AV83" s="81">
        <v>0</v>
      </c>
      <c r="AW83" s="81">
        <v>0</v>
      </c>
      <c r="AX83" s="81">
        <v>0</v>
      </c>
      <c r="AY83" s="81">
        <v>1</v>
      </c>
      <c r="AZ83" s="81">
        <v>1</v>
      </c>
      <c r="BA83" s="81">
        <v>0</v>
      </c>
      <c r="BB83" s="81">
        <v>0</v>
      </c>
      <c r="BC83" s="81">
        <v>0</v>
      </c>
      <c r="BD83" s="81">
        <v>0</v>
      </c>
      <c r="BE83" s="81">
        <v>1</v>
      </c>
      <c r="BF83" s="81">
        <v>0</v>
      </c>
      <c r="BG83" s="81">
        <v>1</v>
      </c>
      <c r="BH83" s="81">
        <v>0</v>
      </c>
      <c r="BI83" s="81">
        <v>0</v>
      </c>
      <c r="BJ83" s="81">
        <v>1</v>
      </c>
      <c r="BK83" s="81">
        <v>0</v>
      </c>
      <c r="BL83" s="81">
        <v>1</v>
      </c>
      <c r="BM83" s="81">
        <v>0</v>
      </c>
      <c r="BN83" s="81">
        <v>0</v>
      </c>
      <c r="BO83" s="81">
        <v>2</v>
      </c>
      <c r="BP83" s="81">
        <v>1</v>
      </c>
      <c r="BQ83" s="81">
        <v>1</v>
      </c>
      <c r="BR83" s="81">
        <v>2</v>
      </c>
      <c r="BS83" s="81">
        <v>2</v>
      </c>
      <c r="BT83" s="81">
        <v>2</v>
      </c>
      <c r="BU83" s="81">
        <v>1</v>
      </c>
      <c r="BV83" s="81">
        <v>1</v>
      </c>
      <c r="BW83" s="81">
        <v>2</v>
      </c>
      <c r="BX83" s="81">
        <v>2</v>
      </c>
      <c r="BY83" s="81">
        <v>2</v>
      </c>
      <c r="BZ83" s="81">
        <v>2</v>
      </c>
      <c r="CA83" s="81">
        <v>2</v>
      </c>
      <c r="CB83" s="81">
        <v>2</v>
      </c>
      <c r="CC83" s="81">
        <v>2</v>
      </c>
      <c r="CD83" s="81">
        <v>2</v>
      </c>
      <c r="CE83" s="81">
        <v>2</v>
      </c>
      <c r="CF83" s="81">
        <v>2</v>
      </c>
      <c r="CG83" s="81">
        <v>2</v>
      </c>
      <c r="CH83" s="81">
        <v>2</v>
      </c>
      <c r="CI83" s="81">
        <v>2</v>
      </c>
      <c r="CJ83" s="81">
        <v>2</v>
      </c>
      <c r="CK83" s="81">
        <v>2</v>
      </c>
      <c r="CL83" s="81">
        <v>2</v>
      </c>
      <c r="CM83" s="81">
        <v>2</v>
      </c>
      <c r="CN83" s="81">
        <v>2</v>
      </c>
      <c r="CO83" s="81">
        <v>2</v>
      </c>
      <c r="CP83" s="81">
        <v>2</v>
      </c>
      <c r="CQ83" s="81">
        <v>2</v>
      </c>
      <c r="CR83" s="81">
        <v>2</v>
      </c>
      <c r="CS83" s="81">
        <v>2</v>
      </c>
      <c r="CT83" s="81">
        <v>2</v>
      </c>
      <c r="CU83" s="81">
        <v>0</v>
      </c>
      <c r="CV83" s="81">
        <v>1</v>
      </c>
      <c r="CW83" s="81">
        <v>1</v>
      </c>
      <c r="CX83" s="81">
        <v>2</v>
      </c>
      <c r="CY83" s="81">
        <v>1</v>
      </c>
      <c r="CZ83" s="81">
        <v>1</v>
      </c>
      <c r="DA83" s="81">
        <v>1</v>
      </c>
    </row>
    <row r="84" spans="1:105" ht="12" customHeight="1" x14ac:dyDescent="0.3">
      <c r="A84" s="81" t="s">
        <v>672</v>
      </c>
      <c r="B84" s="81" t="s">
        <v>1443</v>
      </c>
      <c r="C84" s="81" t="s">
        <v>449</v>
      </c>
      <c r="D84" s="81" t="s">
        <v>673</v>
      </c>
      <c r="E84" s="81" t="s">
        <v>397</v>
      </c>
      <c r="F84" s="81" t="s">
        <v>397</v>
      </c>
      <c r="G84" s="81"/>
      <c r="H84" s="94">
        <v>21</v>
      </c>
      <c r="I84" s="81" t="s">
        <v>8</v>
      </c>
      <c r="J84" s="81" t="s">
        <v>449</v>
      </c>
      <c r="K84" s="81">
        <v>21</v>
      </c>
      <c r="L84" s="81" t="s">
        <v>451</v>
      </c>
      <c r="M84" s="81" t="s">
        <v>452</v>
      </c>
      <c r="N84" s="81" t="s">
        <v>1430</v>
      </c>
      <c r="O84" s="81" t="s">
        <v>1445</v>
      </c>
      <c r="P84" s="81" t="s">
        <v>414</v>
      </c>
      <c r="Q84" s="81" t="s">
        <v>646</v>
      </c>
      <c r="R84" s="81">
        <v>0</v>
      </c>
      <c r="S84" s="81">
        <v>0</v>
      </c>
      <c r="T84" s="81">
        <v>0</v>
      </c>
      <c r="U84" s="81">
        <v>0</v>
      </c>
      <c r="V84" s="81">
        <v>1</v>
      </c>
      <c r="W84" s="81">
        <v>0</v>
      </c>
      <c r="X84" s="81">
        <v>0</v>
      </c>
      <c r="Y84" s="81">
        <v>0</v>
      </c>
      <c r="Z84" s="81">
        <v>1</v>
      </c>
      <c r="AA84" s="81">
        <v>0</v>
      </c>
      <c r="AB84" s="81">
        <v>1</v>
      </c>
      <c r="AC84" s="81">
        <v>0</v>
      </c>
      <c r="AD84" s="81">
        <v>0</v>
      </c>
      <c r="AE84" s="81">
        <v>0</v>
      </c>
      <c r="AF84" s="81">
        <v>0</v>
      </c>
      <c r="AG84" s="81">
        <v>0</v>
      </c>
      <c r="AH84" s="81">
        <v>0</v>
      </c>
      <c r="AI84" s="81">
        <v>0</v>
      </c>
      <c r="AJ84" s="81">
        <v>0</v>
      </c>
      <c r="AK84" s="81">
        <v>0</v>
      </c>
      <c r="AL84" s="81">
        <v>0</v>
      </c>
      <c r="AM84" s="81">
        <v>1</v>
      </c>
      <c r="AN84" s="81">
        <v>0</v>
      </c>
      <c r="AO84" s="81">
        <v>0</v>
      </c>
      <c r="AP84" s="81">
        <v>0</v>
      </c>
      <c r="AQ84" s="81">
        <v>0</v>
      </c>
      <c r="AR84" s="81">
        <v>1</v>
      </c>
      <c r="AS84" s="81">
        <v>0</v>
      </c>
      <c r="AT84" s="81">
        <v>0</v>
      </c>
      <c r="AU84" s="81">
        <v>1</v>
      </c>
      <c r="AV84" s="81">
        <v>0</v>
      </c>
      <c r="AW84" s="81">
        <v>0</v>
      </c>
      <c r="AX84" s="81">
        <v>0</v>
      </c>
      <c r="AY84" s="81">
        <v>1</v>
      </c>
      <c r="AZ84" s="81">
        <v>1</v>
      </c>
      <c r="BA84" s="81">
        <v>0</v>
      </c>
      <c r="BB84" s="81">
        <v>0</v>
      </c>
      <c r="BC84" s="81">
        <v>0</v>
      </c>
      <c r="BD84" s="81">
        <v>0</v>
      </c>
      <c r="BE84" s="81">
        <v>1</v>
      </c>
      <c r="BF84" s="81">
        <v>0</v>
      </c>
      <c r="BG84" s="81">
        <v>1</v>
      </c>
      <c r="BH84" s="81">
        <v>0</v>
      </c>
      <c r="BI84" s="81">
        <v>0</v>
      </c>
      <c r="BJ84" s="81">
        <v>1</v>
      </c>
      <c r="BK84" s="81">
        <v>0</v>
      </c>
      <c r="BL84" s="81">
        <v>1</v>
      </c>
      <c r="BM84" s="81">
        <v>0</v>
      </c>
      <c r="BN84" s="81">
        <v>0</v>
      </c>
      <c r="BO84" s="81">
        <v>2</v>
      </c>
      <c r="BP84" s="81">
        <v>1</v>
      </c>
      <c r="BQ84" s="81">
        <v>1</v>
      </c>
      <c r="BR84" s="81">
        <v>2</v>
      </c>
      <c r="BS84" s="81">
        <v>2</v>
      </c>
      <c r="BT84" s="81">
        <v>2</v>
      </c>
      <c r="BU84" s="81">
        <v>1</v>
      </c>
      <c r="BV84" s="81">
        <v>1</v>
      </c>
      <c r="BW84" s="81">
        <v>2</v>
      </c>
      <c r="BX84" s="81">
        <v>2</v>
      </c>
      <c r="BY84" s="81">
        <v>2</v>
      </c>
      <c r="BZ84" s="81">
        <v>2</v>
      </c>
      <c r="CA84" s="81">
        <v>2</v>
      </c>
      <c r="CB84" s="81">
        <v>2</v>
      </c>
      <c r="CC84" s="81">
        <v>2</v>
      </c>
      <c r="CD84" s="81">
        <v>2</v>
      </c>
      <c r="CE84" s="81">
        <v>2</v>
      </c>
      <c r="CF84" s="81">
        <v>2</v>
      </c>
      <c r="CG84" s="81">
        <v>2</v>
      </c>
      <c r="CH84" s="81">
        <v>2</v>
      </c>
      <c r="CI84" s="81">
        <v>2</v>
      </c>
      <c r="CJ84" s="81">
        <v>2</v>
      </c>
      <c r="CK84" s="81">
        <v>2</v>
      </c>
      <c r="CL84" s="81">
        <v>2</v>
      </c>
      <c r="CM84" s="81">
        <v>2</v>
      </c>
      <c r="CN84" s="81">
        <v>2</v>
      </c>
      <c r="CO84" s="81">
        <v>2</v>
      </c>
      <c r="CP84" s="81">
        <v>2</v>
      </c>
      <c r="CQ84" s="81">
        <v>2</v>
      </c>
      <c r="CR84" s="81">
        <v>2</v>
      </c>
      <c r="CS84" s="81">
        <v>2</v>
      </c>
      <c r="CT84" s="81">
        <v>2</v>
      </c>
      <c r="CU84" s="81">
        <v>0</v>
      </c>
      <c r="CV84" s="81">
        <v>1</v>
      </c>
      <c r="CW84" s="81">
        <v>1</v>
      </c>
      <c r="CX84" s="81">
        <v>2</v>
      </c>
      <c r="CY84" s="81">
        <v>1</v>
      </c>
      <c r="CZ84" s="81">
        <v>1</v>
      </c>
      <c r="DA84" s="81">
        <v>1</v>
      </c>
    </row>
    <row r="85" spans="1:105" ht="12" customHeight="1" x14ac:dyDescent="0.3">
      <c r="A85" s="81" t="s">
        <v>674</v>
      </c>
      <c r="B85" s="81" t="s">
        <v>1443</v>
      </c>
      <c r="C85" s="81" t="s">
        <v>449</v>
      </c>
      <c r="D85" s="81" t="s">
        <v>675</v>
      </c>
      <c r="E85" s="81" t="s">
        <v>397</v>
      </c>
      <c r="F85" s="81" t="s">
        <v>397</v>
      </c>
      <c r="G85" s="81"/>
      <c r="H85" s="94">
        <v>21</v>
      </c>
      <c r="I85" s="81" t="s">
        <v>8</v>
      </c>
      <c r="J85" s="81" t="s">
        <v>449</v>
      </c>
      <c r="K85" s="81">
        <v>21</v>
      </c>
      <c r="L85" s="81" t="s">
        <v>451</v>
      </c>
      <c r="M85" s="81" t="s">
        <v>452</v>
      </c>
      <c r="N85" s="81" t="s">
        <v>1430</v>
      </c>
      <c r="O85" s="81" t="s">
        <v>1445</v>
      </c>
      <c r="P85" s="81" t="s">
        <v>414</v>
      </c>
      <c r="Q85" s="81" t="s">
        <v>646</v>
      </c>
      <c r="R85" s="81">
        <v>0</v>
      </c>
      <c r="S85" s="81">
        <v>0</v>
      </c>
      <c r="T85" s="81">
        <v>0</v>
      </c>
      <c r="U85" s="81">
        <v>0</v>
      </c>
      <c r="V85" s="81">
        <v>1</v>
      </c>
      <c r="W85" s="81">
        <v>0</v>
      </c>
      <c r="X85" s="81">
        <v>0</v>
      </c>
      <c r="Y85" s="81">
        <v>0</v>
      </c>
      <c r="Z85" s="81">
        <v>1</v>
      </c>
      <c r="AA85" s="81">
        <v>0</v>
      </c>
      <c r="AB85" s="81">
        <v>1</v>
      </c>
      <c r="AC85" s="81">
        <v>0</v>
      </c>
      <c r="AD85" s="81">
        <v>0</v>
      </c>
      <c r="AE85" s="81">
        <v>0</v>
      </c>
      <c r="AF85" s="81">
        <v>0</v>
      </c>
      <c r="AG85" s="81">
        <v>0</v>
      </c>
      <c r="AH85" s="81">
        <v>0</v>
      </c>
      <c r="AI85" s="81">
        <v>0</v>
      </c>
      <c r="AJ85" s="81">
        <v>0</v>
      </c>
      <c r="AK85" s="81">
        <v>0</v>
      </c>
      <c r="AL85" s="81">
        <v>0</v>
      </c>
      <c r="AM85" s="81">
        <v>1</v>
      </c>
      <c r="AN85" s="81">
        <v>0</v>
      </c>
      <c r="AO85" s="81">
        <v>0</v>
      </c>
      <c r="AP85" s="81">
        <v>0</v>
      </c>
      <c r="AQ85" s="81">
        <v>0</v>
      </c>
      <c r="AR85" s="81">
        <v>1</v>
      </c>
      <c r="AS85" s="81">
        <v>0</v>
      </c>
      <c r="AT85" s="81">
        <v>0</v>
      </c>
      <c r="AU85" s="81">
        <v>1</v>
      </c>
      <c r="AV85" s="81">
        <v>0</v>
      </c>
      <c r="AW85" s="81">
        <v>0</v>
      </c>
      <c r="AX85" s="81">
        <v>0</v>
      </c>
      <c r="AY85" s="81">
        <v>1</v>
      </c>
      <c r="AZ85" s="81">
        <v>1</v>
      </c>
      <c r="BA85" s="81">
        <v>0</v>
      </c>
      <c r="BB85" s="81">
        <v>0</v>
      </c>
      <c r="BC85" s="81">
        <v>0</v>
      </c>
      <c r="BD85" s="81">
        <v>0</v>
      </c>
      <c r="BE85" s="81">
        <v>1</v>
      </c>
      <c r="BF85" s="81">
        <v>0</v>
      </c>
      <c r="BG85" s="81">
        <v>1</v>
      </c>
      <c r="BH85" s="81">
        <v>0</v>
      </c>
      <c r="BI85" s="81">
        <v>0</v>
      </c>
      <c r="BJ85" s="81">
        <v>1</v>
      </c>
      <c r="BK85" s="81">
        <v>0</v>
      </c>
      <c r="BL85" s="81">
        <v>1</v>
      </c>
      <c r="BM85" s="81">
        <v>0</v>
      </c>
      <c r="BN85" s="81">
        <v>0</v>
      </c>
      <c r="BO85" s="81">
        <v>2</v>
      </c>
      <c r="BP85" s="81">
        <v>1</v>
      </c>
      <c r="BQ85" s="81">
        <v>1</v>
      </c>
      <c r="BR85" s="81">
        <v>2</v>
      </c>
      <c r="BS85" s="81">
        <v>2</v>
      </c>
      <c r="BT85" s="81">
        <v>2</v>
      </c>
      <c r="BU85" s="81">
        <v>1</v>
      </c>
      <c r="BV85" s="81">
        <v>1</v>
      </c>
      <c r="BW85" s="81">
        <v>2</v>
      </c>
      <c r="BX85" s="81">
        <v>2</v>
      </c>
      <c r="BY85" s="81">
        <v>2</v>
      </c>
      <c r="BZ85" s="81">
        <v>2</v>
      </c>
      <c r="CA85" s="81">
        <v>2</v>
      </c>
      <c r="CB85" s="81">
        <v>2</v>
      </c>
      <c r="CC85" s="81">
        <v>2</v>
      </c>
      <c r="CD85" s="81">
        <v>2</v>
      </c>
      <c r="CE85" s="81">
        <v>2</v>
      </c>
      <c r="CF85" s="81">
        <v>2</v>
      </c>
      <c r="CG85" s="81">
        <v>2</v>
      </c>
      <c r="CH85" s="81">
        <v>2</v>
      </c>
      <c r="CI85" s="81">
        <v>2</v>
      </c>
      <c r="CJ85" s="81">
        <v>2</v>
      </c>
      <c r="CK85" s="81">
        <v>2</v>
      </c>
      <c r="CL85" s="81">
        <v>2</v>
      </c>
      <c r="CM85" s="81">
        <v>2</v>
      </c>
      <c r="CN85" s="81">
        <v>2</v>
      </c>
      <c r="CO85" s="81">
        <v>2</v>
      </c>
      <c r="CP85" s="81">
        <v>2</v>
      </c>
      <c r="CQ85" s="81">
        <v>2</v>
      </c>
      <c r="CR85" s="81">
        <v>2</v>
      </c>
      <c r="CS85" s="81">
        <v>2</v>
      </c>
      <c r="CT85" s="81">
        <v>2</v>
      </c>
      <c r="CU85" s="81">
        <v>0</v>
      </c>
      <c r="CV85" s="81">
        <v>1</v>
      </c>
      <c r="CW85" s="81">
        <v>1</v>
      </c>
      <c r="CX85" s="81">
        <v>2</v>
      </c>
      <c r="CY85" s="81">
        <v>1</v>
      </c>
      <c r="CZ85" s="81">
        <v>1</v>
      </c>
      <c r="DA85" s="81">
        <v>1</v>
      </c>
    </row>
    <row r="86" spans="1:105" ht="12" customHeight="1" x14ac:dyDescent="0.3">
      <c r="A86" s="81" t="s">
        <v>676</v>
      </c>
      <c r="B86" s="81" t="s">
        <v>1443</v>
      </c>
      <c r="C86" s="81" t="s">
        <v>449</v>
      </c>
      <c r="D86" s="81" t="s">
        <v>677</v>
      </c>
      <c r="E86" s="81" t="s">
        <v>397</v>
      </c>
      <c r="F86" s="81" t="s">
        <v>397</v>
      </c>
      <c r="G86" s="81"/>
      <c r="H86" s="94">
        <v>21</v>
      </c>
      <c r="I86" s="81" t="s">
        <v>8</v>
      </c>
      <c r="J86" s="81" t="s">
        <v>449</v>
      </c>
      <c r="K86" s="81">
        <v>21</v>
      </c>
      <c r="L86" s="81" t="s">
        <v>451</v>
      </c>
      <c r="M86" s="81" t="s">
        <v>452</v>
      </c>
      <c r="N86" s="81" t="s">
        <v>1430</v>
      </c>
      <c r="O86" s="81" t="s">
        <v>1445</v>
      </c>
      <c r="P86" s="81" t="s">
        <v>414</v>
      </c>
      <c r="Q86" s="81" t="s">
        <v>646</v>
      </c>
      <c r="R86" s="81">
        <v>0</v>
      </c>
      <c r="S86" s="81">
        <v>0</v>
      </c>
      <c r="T86" s="81">
        <v>0</v>
      </c>
      <c r="U86" s="81">
        <v>0</v>
      </c>
      <c r="V86" s="81">
        <v>1</v>
      </c>
      <c r="W86" s="81">
        <v>0</v>
      </c>
      <c r="X86" s="81">
        <v>0</v>
      </c>
      <c r="Y86" s="81">
        <v>0</v>
      </c>
      <c r="Z86" s="81">
        <v>1</v>
      </c>
      <c r="AA86" s="81">
        <v>0</v>
      </c>
      <c r="AB86" s="81">
        <v>1</v>
      </c>
      <c r="AC86" s="81">
        <v>0</v>
      </c>
      <c r="AD86" s="81">
        <v>0</v>
      </c>
      <c r="AE86" s="81">
        <v>0</v>
      </c>
      <c r="AF86" s="81">
        <v>0</v>
      </c>
      <c r="AG86" s="81">
        <v>0</v>
      </c>
      <c r="AH86" s="81">
        <v>0</v>
      </c>
      <c r="AI86" s="81">
        <v>0</v>
      </c>
      <c r="AJ86" s="81">
        <v>0</v>
      </c>
      <c r="AK86" s="81">
        <v>0</v>
      </c>
      <c r="AL86" s="81">
        <v>0</v>
      </c>
      <c r="AM86" s="81">
        <v>1</v>
      </c>
      <c r="AN86" s="81">
        <v>0</v>
      </c>
      <c r="AO86" s="81">
        <v>0</v>
      </c>
      <c r="AP86" s="81">
        <v>0</v>
      </c>
      <c r="AQ86" s="81">
        <v>0</v>
      </c>
      <c r="AR86" s="81">
        <v>1</v>
      </c>
      <c r="AS86" s="81">
        <v>0</v>
      </c>
      <c r="AT86" s="81">
        <v>0</v>
      </c>
      <c r="AU86" s="81">
        <v>1</v>
      </c>
      <c r="AV86" s="81">
        <v>0</v>
      </c>
      <c r="AW86" s="81">
        <v>0</v>
      </c>
      <c r="AX86" s="81">
        <v>0</v>
      </c>
      <c r="AY86" s="81">
        <v>1</v>
      </c>
      <c r="AZ86" s="81">
        <v>1</v>
      </c>
      <c r="BA86" s="81">
        <v>0</v>
      </c>
      <c r="BB86" s="81">
        <v>0</v>
      </c>
      <c r="BC86" s="81">
        <v>0</v>
      </c>
      <c r="BD86" s="81">
        <v>0</v>
      </c>
      <c r="BE86" s="81">
        <v>1</v>
      </c>
      <c r="BF86" s="81">
        <v>0</v>
      </c>
      <c r="BG86" s="81">
        <v>1</v>
      </c>
      <c r="BH86" s="81">
        <v>0</v>
      </c>
      <c r="BI86" s="81">
        <v>0</v>
      </c>
      <c r="BJ86" s="81">
        <v>1</v>
      </c>
      <c r="BK86" s="81">
        <v>0</v>
      </c>
      <c r="BL86" s="81">
        <v>1</v>
      </c>
      <c r="BM86" s="81">
        <v>0</v>
      </c>
      <c r="BN86" s="81">
        <v>0</v>
      </c>
      <c r="BO86" s="81">
        <v>2</v>
      </c>
      <c r="BP86" s="81">
        <v>1</v>
      </c>
      <c r="BQ86" s="81">
        <v>1</v>
      </c>
      <c r="BR86" s="81">
        <v>2</v>
      </c>
      <c r="BS86" s="81">
        <v>2</v>
      </c>
      <c r="BT86" s="81">
        <v>2</v>
      </c>
      <c r="BU86" s="81">
        <v>1</v>
      </c>
      <c r="BV86" s="81">
        <v>1</v>
      </c>
      <c r="BW86" s="81">
        <v>2</v>
      </c>
      <c r="BX86" s="81">
        <v>2</v>
      </c>
      <c r="BY86" s="81">
        <v>2</v>
      </c>
      <c r="BZ86" s="81">
        <v>2</v>
      </c>
      <c r="CA86" s="81">
        <v>2</v>
      </c>
      <c r="CB86" s="81">
        <v>2</v>
      </c>
      <c r="CC86" s="81">
        <v>2</v>
      </c>
      <c r="CD86" s="81">
        <v>2</v>
      </c>
      <c r="CE86" s="81">
        <v>2</v>
      </c>
      <c r="CF86" s="81">
        <v>2</v>
      </c>
      <c r="CG86" s="81">
        <v>2</v>
      </c>
      <c r="CH86" s="81">
        <v>2</v>
      </c>
      <c r="CI86" s="81">
        <v>2</v>
      </c>
      <c r="CJ86" s="81">
        <v>2</v>
      </c>
      <c r="CK86" s="81">
        <v>2</v>
      </c>
      <c r="CL86" s="81">
        <v>2</v>
      </c>
      <c r="CM86" s="81">
        <v>2</v>
      </c>
      <c r="CN86" s="81">
        <v>2</v>
      </c>
      <c r="CO86" s="81">
        <v>2</v>
      </c>
      <c r="CP86" s="81">
        <v>2</v>
      </c>
      <c r="CQ86" s="81">
        <v>2</v>
      </c>
      <c r="CR86" s="81">
        <v>2</v>
      </c>
      <c r="CS86" s="81">
        <v>2</v>
      </c>
      <c r="CT86" s="81">
        <v>2</v>
      </c>
      <c r="CU86" s="81">
        <v>0</v>
      </c>
      <c r="CV86" s="81">
        <v>1</v>
      </c>
      <c r="CW86" s="81">
        <v>1</v>
      </c>
      <c r="CX86" s="81">
        <v>2</v>
      </c>
      <c r="CY86" s="81">
        <v>1</v>
      </c>
      <c r="CZ86" s="81">
        <v>1</v>
      </c>
      <c r="DA86" s="81">
        <v>1</v>
      </c>
    </row>
    <row r="87" spans="1:105" ht="12" customHeight="1" x14ac:dyDescent="0.3">
      <c r="A87" s="81" t="s">
        <v>678</v>
      </c>
      <c r="B87" s="81" t="s">
        <v>1443</v>
      </c>
      <c r="C87" s="81" t="s">
        <v>449</v>
      </c>
      <c r="D87" s="81" t="s">
        <v>679</v>
      </c>
      <c r="E87" s="81" t="s">
        <v>397</v>
      </c>
      <c r="F87" s="81" t="s">
        <v>397</v>
      </c>
      <c r="G87" s="81"/>
      <c r="H87" s="94">
        <v>20</v>
      </c>
      <c r="I87" s="81" t="s">
        <v>8</v>
      </c>
      <c r="J87" s="81" t="s">
        <v>449</v>
      </c>
      <c r="K87" s="81">
        <v>21</v>
      </c>
      <c r="L87" s="81" t="s">
        <v>451</v>
      </c>
      <c r="M87" s="81" t="s">
        <v>452</v>
      </c>
      <c r="N87" s="81" t="s">
        <v>1430</v>
      </c>
      <c r="O87" s="81" t="s">
        <v>1445</v>
      </c>
      <c r="P87" s="81" t="s">
        <v>414</v>
      </c>
      <c r="Q87" s="81" t="s">
        <v>646</v>
      </c>
      <c r="R87" s="81">
        <v>0</v>
      </c>
      <c r="S87" s="81">
        <v>0</v>
      </c>
      <c r="T87" s="81">
        <v>0</v>
      </c>
      <c r="U87" s="81">
        <v>0</v>
      </c>
      <c r="V87" s="81">
        <v>1</v>
      </c>
      <c r="W87" s="81">
        <v>0</v>
      </c>
      <c r="X87" s="81">
        <v>0</v>
      </c>
      <c r="Y87" s="81">
        <v>0</v>
      </c>
      <c r="Z87" s="81">
        <v>1</v>
      </c>
      <c r="AA87" s="81">
        <v>0</v>
      </c>
      <c r="AB87" s="81">
        <v>1</v>
      </c>
      <c r="AC87" s="81">
        <v>0</v>
      </c>
      <c r="AD87" s="81">
        <v>0</v>
      </c>
      <c r="AE87" s="81">
        <v>0</v>
      </c>
      <c r="AF87" s="81">
        <v>0</v>
      </c>
      <c r="AG87" s="81">
        <v>0</v>
      </c>
      <c r="AH87" s="81">
        <v>0</v>
      </c>
      <c r="AI87" s="81">
        <v>0</v>
      </c>
      <c r="AJ87" s="81">
        <v>0</v>
      </c>
      <c r="AK87" s="81">
        <v>0</v>
      </c>
      <c r="AL87" s="81">
        <v>0</v>
      </c>
      <c r="AM87" s="81">
        <v>1</v>
      </c>
      <c r="AN87" s="81">
        <v>0</v>
      </c>
      <c r="AO87" s="81">
        <v>0</v>
      </c>
      <c r="AP87" s="81">
        <v>0</v>
      </c>
      <c r="AQ87" s="81">
        <v>0</v>
      </c>
      <c r="AR87" s="81">
        <v>1</v>
      </c>
      <c r="AS87" s="81">
        <v>0</v>
      </c>
      <c r="AT87" s="81">
        <v>0</v>
      </c>
      <c r="AU87" s="81">
        <v>1</v>
      </c>
      <c r="AV87" s="81">
        <v>0</v>
      </c>
      <c r="AW87" s="81">
        <v>0</v>
      </c>
      <c r="AX87" s="81">
        <v>0</v>
      </c>
      <c r="AY87" s="81">
        <v>1</v>
      </c>
      <c r="AZ87" s="81">
        <v>1</v>
      </c>
      <c r="BA87" s="81">
        <v>0</v>
      </c>
      <c r="BB87" s="81">
        <v>0</v>
      </c>
      <c r="BC87" s="81">
        <v>0</v>
      </c>
      <c r="BD87" s="81">
        <v>0</v>
      </c>
      <c r="BE87" s="81">
        <v>1</v>
      </c>
      <c r="BF87" s="81">
        <v>0</v>
      </c>
      <c r="BG87" s="81">
        <v>1</v>
      </c>
      <c r="BH87" s="81">
        <v>0</v>
      </c>
      <c r="BI87" s="81">
        <v>0</v>
      </c>
      <c r="BJ87" s="81">
        <v>1</v>
      </c>
      <c r="BK87" s="81">
        <v>0</v>
      </c>
      <c r="BL87" s="81">
        <v>1</v>
      </c>
      <c r="BM87" s="81">
        <v>0</v>
      </c>
      <c r="BN87" s="81">
        <v>0</v>
      </c>
      <c r="BO87" s="81">
        <v>2</v>
      </c>
      <c r="BP87" s="81">
        <v>1</v>
      </c>
      <c r="BQ87" s="81">
        <v>1</v>
      </c>
      <c r="BR87" s="81">
        <v>2</v>
      </c>
      <c r="BS87" s="81">
        <v>2</v>
      </c>
      <c r="BT87" s="81">
        <v>2</v>
      </c>
      <c r="BU87" s="81">
        <v>1</v>
      </c>
      <c r="BV87" s="81">
        <v>1</v>
      </c>
      <c r="BW87" s="81">
        <v>2</v>
      </c>
      <c r="BX87" s="81">
        <v>2</v>
      </c>
      <c r="BY87" s="81">
        <v>2</v>
      </c>
      <c r="BZ87" s="81">
        <v>2</v>
      </c>
      <c r="CA87" s="81">
        <v>2</v>
      </c>
      <c r="CB87" s="81">
        <v>2</v>
      </c>
      <c r="CC87" s="81">
        <v>2</v>
      </c>
      <c r="CD87" s="81">
        <v>2</v>
      </c>
      <c r="CE87" s="81">
        <v>2</v>
      </c>
      <c r="CF87" s="81">
        <v>2</v>
      </c>
      <c r="CG87" s="81">
        <v>2</v>
      </c>
      <c r="CH87" s="81">
        <v>2</v>
      </c>
      <c r="CI87" s="81">
        <v>2</v>
      </c>
      <c r="CJ87" s="81">
        <v>2</v>
      </c>
      <c r="CK87" s="81">
        <v>2</v>
      </c>
      <c r="CL87" s="81">
        <v>2</v>
      </c>
      <c r="CM87" s="81">
        <v>2</v>
      </c>
      <c r="CN87" s="81">
        <v>2</v>
      </c>
      <c r="CO87" s="81">
        <v>2</v>
      </c>
      <c r="CP87" s="81">
        <v>2</v>
      </c>
      <c r="CQ87" s="81">
        <v>2</v>
      </c>
      <c r="CR87" s="81">
        <v>2</v>
      </c>
      <c r="CS87" s="81">
        <v>2</v>
      </c>
      <c r="CT87" s="81">
        <v>2</v>
      </c>
      <c r="CU87" s="81">
        <v>0</v>
      </c>
      <c r="CV87" s="81">
        <v>1</v>
      </c>
      <c r="CW87" s="81">
        <v>1</v>
      </c>
      <c r="CX87" s="81">
        <v>2</v>
      </c>
      <c r="CY87" s="81">
        <v>1</v>
      </c>
      <c r="CZ87" s="81">
        <v>1</v>
      </c>
      <c r="DA87" s="81">
        <v>1</v>
      </c>
    </row>
    <row r="88" spans="1:105" ht="12" customHeight="1" x14ac:dyDescent="0.3">
      <c r="A88" s="81" t="s">
        <v>680</v>
      </c>
      <c r="B88" s="81" t="s">
        <v>1443</v>
      </c>
      <c r="C88" s="81" t="s">
        <v>449</v>
      </c>
      <c r="D88" s="81" t="s">
        <v>681</v>
      </c>
      <c r="E88" s="81" t="s">
        <v>397</v>
      </c>
      <c r="F88" s="81" t="s">
        <v>397</v>
      </c>
      <c r="G88" s="81"/>
      <c r="H88" s="94">
        <v>20</v>
      </c>
      <c r="I88" s="81" t="s">
        <v>8</v>
      </c>
      <c r="J88" s="81" t="s">
        <v>449</v>
      </c>
      <c r="K88" s="81">
        <v>21</v>
      </c>
      <c r="L88" s="81" t="s">
        <v>451</v>
      </c>
      <c r="M88" s="81" t="s">
        <v>452</v>
      </c>
      <c r="N88" s="81" t="s">
        <v>1430</v>
      </c>
      <c r="O88" s="81" t="s">
        <v>1445</v>
      </c>
      <c r="P88" s="81" t="s">
        <v>414</v>
      </c>
      <c r="Q88" s="81" t="s">
        <v>646</v>
      </c>
      <c r="R88" s="81">
        <v>0</v>
      </c>
      <c r="S88" s="81">
        <v>0</v>
      </c>
      <c r="T88" s="81">
        <v>0</v>
      </c>
      <c r="U88" s="81">
        <v>0</v>
      </c>
      <c r="V88" s="81">
        <v>1</v>
      </c>
      <c r="W88" s="81">
        <v>0</v>
      </c>
      <c r="X88" s="81">
        <v>0</v>
      </c>
      <c r="Y88" s="81">
        <v>0</v>
      </c>
      <c r="Z88" s="81">
        <v>1</v>
      </c>
      <c r="AA88" s="81">
        <v>0</v>
      </c>
      <c r="AB88" s="81">
        <v>1</v>
      </c>
      <c r="AC88" s="81">
        <v>0</v>
      </c>
      <c r="AD88" s="81">
        <v>0</v>
      </c>
      <c r="AE88" s="81">
        <v>0</v>
      </c>
      <c r="AF88" s="81">
        <v>0</v>
      </c>
      <c r="AG88" s="81">
        <v>0</v>
      </c>
      <c r="AH88" s="81">
        <v>0</v>
      </c>
      <c r="AI88" s="81">
        <v>0</v>
      </c>
      <c r="AJ88" s="81">
        <v>0</v>
      </c>
      <c r="AK88" s="81">
        <v>0</v>
      </c>
      <c r="AL88" s="81">
        <v>0</v>
      </c>
      <c r="AM88" s="81">
        <v>1</v>
      </c>
      <c r="AN88" s="81">
        <v>0</v>
      </c>
      <c r="AO88" s="81">
        <v>0</v>
      </c>
      <c r="AP88" s="81">
        <v>0</v>
      </c>
      <c r="AQ88" s="81">
        <v>0</v>
      </c>
      <c r="AR88" s="81">
        <v>1</v>
      </c>
      <c r="AS88" s="81">
        <v>0</v>
      </c>
      <c r="AT88" s="81">
        <v>0</v>
      </c>
      <c r="AU88" s="81">
        <v>1</v>
      </c>
      <c r="AV88" s="81">
        <v>0</v>
      </c>
      <c r="AW88" s="81">
        <v>0</v>
      </c>
      <c r="AX88" s="81">
        <v>0</v>
      </c>
      <c r="AY88" s="81">
        <v>1</v>
      </c>
      <c r="AZ88" s="81">
        <v>1</v>
      </c>
      <c r="BA88" s="81">
        <v>0</v>
      </c>
      <c r="BB88" s="81">
        <v>0</v>
      </c>
      <c r="BC88" s="81">
        <v>0</v>
      </c>
      <c r="BD88" s="81">
        <v>0</v>
      </c>
      <c r="BE88" s="81">
        <v>1</v>
      </c>
      <c r="BF88" s="81">
        <v>0</v>
      </c>
      <c r="BG88" s="81">
        <v>1</v>
      </c>
      <c r="BH88" s="81">
        <v>0</v>
      </c>
      <c r="BI88" s="81">
        <v>0</v>
      </c>
      <c r="BJ88" s="81">
        <v>1</v>
      </c>
      <c r="BK88" s="81">
        <v>0</v>
      </c>
      <c r="BL88" s="81">
        <v>1</v>
      </c>
      <c r="BM88" s="81">
        <v>0</v>
      </c>
      <c r="BN88" s="81">
        <v>0</v>
      </c>
      <c r="BO88" s="81">
        <v>2</v>
      </c>
      <c r="BP88" s="81">
        <v>1</v>
      </c>
      <c r="BQ88" s="81">
        <v>1</v>
      </c>
      <c r="BR88" s="81">
        <v>2</v>
      </c>
      <c r="BS88" s="81">
        <v>2</v>
      </c>
      <c r="BT88" s="81">
        <v>2</v>
      </c>
      <c r="BU88" s="81">
        <v>1</v>
      </c>
      <c r="BV88" s="81">
        <v>1</v>
      </c>
      <c r="BW88" s="81">
        <v>2</v>
      </c>
      <c r="BX88" s="81">
        <v>2</v>
      </c>
      <c r="BY88" s="81">
        <v>2</v>
      </c>
      <c r="BZ88" s="81">
        <v>2</v>
      </c>
      <c r="CA88" s="81">
        <v>2</v>
      </c>
      <c r="CB88" s="81">
        <v>2</v>
      </c>
      <c r="CC88" s="81">
        <v>2</v>
      </c>
      <c r="CD88" s="81">
        <v>2</v>
      </c>
      <c r="CE88" s="81">
        <v>2</v>
      </c>
      <c r="CF88" s="81">
        <v>2</v>
      </c>
      <c r="CG88" s="81">
        <v>2</v>
      </c>
      <c r="CH88" s="81">
        <v>2</v>
      </c>
      <c r="CI88" s="81">
        <v>2</v>
      </c>
      <c r="CJ88" s="81">
        <v>2</v>
      </c>
      <c r="CK88" s="81">
        <v>2</v>
      </c>
      <c r="CL88" s="81">
        <v>2</v>
      </c>
      <c r="CM88" s="81">
        <v>2</v>
      </c>
      <c r="CN88" s="81">
        <v>2</v>
      </c>
      <c r="CO88" s="81">
        <v>2</v>
      </c>
      <c r="CP88" s="81">
        <v>2</v>
      </c>
      <c r="CQ88" s="81">
        <v>2</v>
      </c>
      <c r="CR88" s="81">
        <v>2</v>
      </c>
      <c r="CS88" s="81">
        <v>2</v>
      </c>
      <c r="CT88" s="81">
        <v>2</v>
      </c>
      <c r="CU88" s="81">
        <v>0</v>
      </c>
      <c r="CV88" s="81">
        <v>1</v>
      </c>
      <c r="CW88" s="81">
        <v>1</v>
      </c>
      <c r="CX88" s="81">
        <v>2</v>
      </c>
      <c r="CY88" s="81">
        <v>1</v>
      </c>
      <c r="CZ88" s="81">
        <v>1</v>
      </c>
      <c r="DA88" s="81">
        <v>1</v>
      </c>
    </row>
    <row r="89" spans="1:105" ht="12" customHeight="1" x14ac:dyDescent="0.3">
      <c r="A89" s="81" t="s">
        <v>682</v>
      </c>
      <c r="B89" s="81" t="s">
        <v>1443</v>
      </c>
      <c r="C89" s="81" t="s">
        <v>449</v>
      </c>
      <c r="D89" s="81" t="s">
        <v>683</v>
      </c>
      <c r="E89" s="81" t="s">
        <v>397</v>
      </c>
      <c r="F89" s="81" t="s">
        <v>397</v>
      </c>
      <c r="G89" s="81"/>
      <c r="H89" s="94">
        <v>20</v>
      </c>
      <c r="I89" s="81" t="s">
        <v>8</v>
      </c>
      <c r="J89" s="81" t="s">
        <v>449</v>
      </c>
      <c r="K89" s="81">
        <v>21</v>
      </c>
      <c r="L89" s="81" t="s">
        <v>451</v>
      </c>
      <c r="M89" s="81" t="s">
        <v>452</v>
      </c>
      <c r="N89" s="81" t="s">
        <v>1430</v>
      </c>
      <c r="O89" s="81" t="s">
        <v>1445</v>
      </c>
      <c r="P89" s="81" t="s">
        <v>414</v>
      </c>
      <c r="Q89" s="81" t="s">
        <v>646</v>
      </c>
      <c r="R89" s="81">
        <v>0</v>
      </c>
      <c r="S89" s="81">
        <v>0</v>
      </c>
      <c r="T89" s="81">
        <v>0</v>
      </c>
      <c r="U89" s="81">
        <v>0</v>
      </c>
      <c r="V89" s="81">
        <v>1</v>
      </c>
      <c r="W89" s="81">
        <v>0</v>
      </c>
      <c r="X89" s="81">
        <v>0</v>
      </c>
      <c r="Y89" s="81">
        <v>0</v>
      </c>
      <c r="Z89" s="81">
        <v>1</v>
      </c>
      <c r="AA89" s="81">
        <v>0</v>
      </c>
      <c r="AB89" s="81">
        <v>1</v>
      </c>
      <c r="AC89" s="81">
        <v>0</v>
      </c>
      <c r="AD89" s="81">
        <v>0</v>
      </c>
      <c r="AE89" s="81">
        <v>0</v>
      </c>
      <c r="AF89" s="81">
        <v>0</v>
      </c>
      <c r="AG89" s="81">
        <v>0</v>
      </c>
      <c r="AH89" s="81">
        <v>0</v>
      </c>
      <c r="AI89" s="81">
        <v>0</v>
      </c>
      <c r="AJ89" s="81">
        <v>0</v>
      </c>
      <c r="AK89" s="81">
        <v>0</v>
      </c>
      <c r="AL89" s="81">
        <v>0</v>
      </c>
      <c r="AM89" s="81">
        <v>1</v>
      </c>
      <c r="AN89" s="81">
        <v>0</v>
      </c>
      <c r="AO89" s="81">
        <v>0</v>
      </c>
      <c r="AP89" s="81">
        <v>0</v>
      </c>
      <c r="AQ89" s="81">
        <v>0</v>
      </c>
      <c r="AR89" s="81">
        <v>1</v>
      </c>
      <c r="AS89" s="81">
        <v>0</v>
      </c>
      <c r="AT89" s="81">
        <v>0</v>
      </c>
      <c r="AU89" s="81">
        <v>1</v>
      </c>
      <c r="AV89" s="81">
        <v>0</v>
      </c>
      <c r="AW89" s="81">
        <v>0</v>
      </c>
      <c r="AX89" s="81">
        <v>0</v>
      </c>
      <c r="AY89" s="81">
        <v>1</v>
      </c>
      <c r="AZ89" s="81">
        <v>1</v>
      </c>
      <c r="BA89" s="81">
        <v>0</v>
      </c>
      <c r="BB89" s="81">
        <v>0</v>
      </c>
      <c r="BC89" s="81">
        <v>0</v>
      </c>
      <c r="BD89" s="81">
        <v>0</v>
      </c>
      <c r="BE89" s="81">
        <v>1</v>
      </c>
      <c r="BF89" s="81">
        <v>0</v>
      </c>
      <c r="BG89" s="81">
        <v>1</v>
      </c>
      <c r="BH89" s="81">
        <v>0</v>
      </c>
      <c r="BI89" s="81">
        <v>0</v>
      </c>
      <c r="BJ89" s="81">
        <v>1</v>
      </c>
      <c r="BK89" s="81">
        <v>0</v>
      </c>
      <c r="BL89" s="81">
        <v>1</v>
      </c>
      <c r="BM89" s="81">
        <v>0</v>
      </c>
      <c r="BN89" s="81">
        <v>0</v>
      </c>
      <c r="BO89" s="81">
        <v>2</v>
      </c>
      <c r="BP89" s="81">
        <v>1</v>
      </c>
      <c r="BQ89" s="81">
        <v>1</v>
      </c>
      <c r="BR89" s="81">
        <v>2</v>
      </c>
      <c r="BS89" s="81">
        <v>2</v>
      </c>
      <c r="BT89" s="81">
        <v>2</v>
      </c>
      <c r="BU89" s="81">
        <v>1</v>
      </c>
      <c r="BV89" s="81">
        <v>1</v>
      </c>
      <c r="BW89" s="81">
        <v>2</v>
      </c>
      <c r="BX89" s="81">
        <v>2</v>
      </c>
      <c r="BY89" s="81">
        <v>2</v>
      </c>
      <c r="BZ89" s="81">
        <v>2</v>
      </c>
      <c r="CA89" s="81">
        <v>2</v>
      </c>
      <c r="CB89" s="81">
        <v>2</v>
      </c>
      <c r="CC89" s="81">
        <v>2</v>
      </c>
      <c r="CD89" s="81">
        <v>2</v>
      </c>
      <c r="CE89" s="81">
        <v>2</v>
      </c>
      <c r="CF89" s="81">
        <v>2</v>
      </c>
      <c r="CG89" s="81">
        <v>2</v>
      </c>
      <c r="CH89" s="81">
        <v>2</v>
      </c>
      <c r="CI89" s="81">
        <v>2</v>
      </c>
      <c r="CJ89" s="81">
        <v>2</v>
      </c>
      <c r="CK89" s="81">
        <v>2</v>
      </c>
      <c r="CL89" s="81">
        <v>2</v>
      </c>
      <c r="CM89" s="81">
        <v>2</v>
      </c>
      <c r="CN89" s="81">
        <v>2</v>
      </c>
      <c r="CO89" s="81">
        <v>2</v>
      </c>
      <c r="CP89" s="81">
        <v>2</v>
      </c>
      <c r="CQ89" s="81">
        <v>2</v>
      </c>
      <c r="CR89" s="81">
        <v>2</v>
      </c>
      <c r="CS89" s="81">
        <v>2</v>
      </c>
      <c r="CT89" s="81">
        <v>2</v>
      </c>
      <c r="CU89" s="81">
        <v>0</v>
      </c>
      <c r="CV89" s="81">
        <v>1</v>
      </c>
      <c r="CW89" s="81">
        <v>1</v>
      </c>
      <c r="CX89" s="81">
        <v>2</v>
      </c>
      <c r="CY89" s="81">
        <v>1</v>
      </c>
      <c r="CZ89" s="81">
        <v>1</v>
      </c>
      <c r="DA89" s="81">
        <v>1</v>
      </c>
    </row>
    <row r="90" spans="1:105" ht="12" customHeight="1" x14ac:dyDescent="0.3">
      <c r="A90" s="81" t="s">
        <v>684</v>
      </c>
      <c r="B90" s="81" t="s">
        <v>1443</v>
      </c>
      <c r="C90" s="81" t="s">
        <v>449</v>
      </c>
      <c r="D90" s="81" t="s">
        <v>685</v>
      </c>
      <c r="E90" s="81" t="s">
        <v>397</v>
      </c>
      <c r="F90" s="81" t="s">
        <v>397</v>
      </c>
      <c r="G90" s="81"/>
      <c r="H90" s="94">
        <v>20</v>
      </c>
      <c r="I90" s="81" t="s">
        <v>8</v>
      </c>
      <c r="J90" s="81" t="s">
        <v>449</v>
      </c>
      <c r="K90" s="81">
        <v>21</v>
      </c>
      <c r="L90" s="81" t="s">
        <v>451</v>
      </c>
      <c r="M90" s="81" t="s">
        <v>452</v>
      </c>
      <c r="N90" s="81" t="s">
        <v>1430</v>
      </c>
      <c r="O90" s="81" t="s">
        <v>1445</v>
      </c>
      <c r="P90" s="81" t="s">
        <v>414</v>
      </c>
      <c r="Q90" s="81" t="s">
        <v>646</v>
      </c>
      <c r="R90" s="81">
        <v>0</v>
      </c>
      <c r="S90" s="81">
        <v>0</v>
      </c>
      <c r="T90" s="81">
        <v>0</v>
      </c>
      <c r="U90" s="81">
        <v>0</v>
      </c>
      <c r="V90" s="81">
        <v>1</v>
      </c>
      <c r="W90" s="81">
        <v>0</v>
      </c>
      <c r="X90" s="81">
        <v>0</v>
      </c>
      <c r="Y90" s="81">
        <v>0</v>
      </c>
      <c r="Z90" s="81">
        <v>1</v>
      </c>
      <c r="AA90" s="81">
        <v>0</v>
      </c>
      <c r="AB90" s="81">
        <v>1</v>
      </c>
      <c r="AC90" s="81">
        <v>0</v>
      </c>
      <c r="AD90" s="81">
        <v>0</v>
      </c>
      <c r="AE90" s="81">
        <v>0</v>
      </c>
      <c r="AF90" s="81">
        <v>0</v>
      </c>
      <c r="AG90" s="81">
        <v>0</v>
      </c>
      <c r="AH90" s="81">
        <v>0</v>
      </c>
      <c r="AI90" s="81">
        <v>0</v>
      </c>
      <c r="AJ90" s="81">
        <v>0</v>
      </c>
      <c r="AK90" s="81">
        <v>0</v>
      </c>
      <c r="AL90" s="81">
        <v>0</v>
      </c>
      <c r="AM90" s="81">
        <v>1</v>
      </c>
      <c r="AN90" s="81">
        <v>0</v>
      </c>
      <c r="AO90" s="81">
        <v>0</v>
      </c>
      <c r="AP90" s="81">
        <v>0</v>
      </c>
      <c r="AQ90" s="81">
        <v>0</v>
      </c>
      <c r="AR90" s="81">
        <v>1</v>
      </c>
      <c r="AS90" s="81">
        <v>0</v>
      </c>
      <c r="AT90" s="81">
        <v>0</v>
      </c>
      <c r="AU90" s="81">
        <v>1</v>
      </c>
      <c r="AV90" s="81">
        <v>0</v>
      </c>
      <c r="AW90" s="81">
        <v>0</v>
      </c>
      <c r="AX90" s="81">
        <v>0</v>
      </c>
      <c r="AY90" s="81">
        <v>1</v>
      </c>
      <c r="AZ90" s="81">
        <v>1</v>
      </c>
      <c r="BA90" s="81">
        <v>0</v>
      </c>
      <c r="BB90" s="81">
        <v>0</v>
      </c>
      <c r="BC90" s="81">
        <v>0</v>
      </c>
      <c r="BD90" s="81">
        <v>0</v>
      </c>
      <c r="BE90" s="81">
        <v>1</v>
      </c>
      <c r="BF90" s="81">
        <v>0</v>
      </c>
      <c r="BG90" s="81">
        <v>1</v>
      </c>
      <c r="BH90" s="81">
        <v>0</v>
      </c>
      <c r="BI90" s="81">
        <v>0</v>
      </c>
      <c r="BJ90" s="81">
        <v>1</v>
      </c>
      <c r="BK90" s="81">
        <v>0</v>
      </c>
      <c r="BL90" s="81">
        <v>1</v>
      </c>
      <c r="BM90" s="81">
        <v>0</v>
      </c>
      <c r="BN90" s="81">
        <v>0</v>
      </c>
      <c r="BO90" s="81">
        <v>2</v>
      </c>
      <c r="BP90" s="81">
        <v>1</v>
      </c>
      <c r="BQ90" s="81">
        <v>1</v>
      </c>
      <c r="BR90" s="81">
        <v>2</v>
      </c>
      <c r="BS90" s="81">
        <v>2</v>
      </c>
      <c r="BT90" s="81">
        <v>2</v>
      </c>
      <c r="BU90" s="81">
        <v>1</v>
      </c>
      <c r="BV90" s="81">
        <v>1</v>
      </c>
      <c r="BW90" s="81">
        <v>2</v>
      </c>
      <c r="BX90" s="81">
        <v>2</v>
      </c>
      <c r="BY90" s="81">
        <v>2</v>
      </c>
      <c r="BZ90" s="81">
        <v>2</v>
      </c>
      <c r="CA90" s="81">
        <v>2</v>
      </c>
      <c r="CB90" s="81">
        <v>2</v>
      </c>
      <c r="CC90" s="81">
        <v>2</v>
      </c>
      <c r="CD90" s="81">
        <v>2</v>
      </c>
      <c r="CE90" s="81">
        <v>2</v>
      </c>
      <c r="CF90" s="81">
        <v>2</v>
      </c>
      <c r="CG90" s="81">
        <v>2</v>
      </c>
      <c r="CH90" s="81">
        <v>2</v>
      </c>
      <c r="CI90" s="81">
        <v>2</v>
      </c>
      <c r="CJ90" s="81">
        <v>2</v>
      </c>
      <c r="CK90" s="81">
        <v>2</v>
      </c>
      <c r="CL90" s="81">
        <v>2</v>
      </c>
      <c r="CM90" s="81">
        <v>2</v>
      </c>
      <c r="CN90" s="81">
        <v>2</v>
      </c>
      <c r="CO90" s="81">
        <v>2</v>
      </c>
      <c r="CP90" s="81">
        <v>2</v>
      </c>
      <c r="CQ90" s="81">
        <v>2</v>
      </c>
      <c r="CR90" s="81">
        <v>2</v>
      </c>
      <c r="CS90" s="81">
        <v>2</v>
      </c>
      <c r="CT90" s="81">
        <v>2</v>
      </c>
      <c r="CU90" s="81">
        <v>0</v>
      </c>
      <c r="CV90" s="81">
        <v>1</v>
      </c>
      <c r="CW90" s="81">
        <v>1</v>
      </c>
      <c r="CX90" s="81">
        <v>2</v>
      </c>
      <c r="CY90" s="81">
        <v>1</v>
      </c>
      <c r="CZ90" s="81">
        <v>1</v>
      </c>
      <c r="DA90" s="81">
        <v>1</v>
      </c>
    </row>
    <row r="91" spans="1:105" ht="12" customHeight="1" x14ac:dyDescent="0.3">
      <c r="A91" s="81" t="s">
        <v>686</v>
      </c>
      <c r="B91" s="81" t="s">
        <v>1443</v>
      </c>
      <c r="C91" s="81" t="s">
        <v>449</v>
      </c>
      <c r="D91" s="81" t="s">
        <v>687</v>
      </c>
      <c r="E91" s="81" t="s">
        <v>397</v>
      </c>
      <c r="F91" s="81" t="s">
        <v>397</v>
      </c>
      <c r="G91" s="81"/>
      <c r="H91" s="94">
        <v>20</v>
      </c>
      <c r="I91" s="81" t="s">
        <v>8</v>
      </c>
      <c r="J91" s="81" t="s">
        <v>449</v>
      </c>
      <c r="K91" s="81">
        <v>21</v>
      </c>
      <c r="L91" s="81" t="s">
        <v>451</v>
      </c>
      <c r="M91" s="81" t="s">
        <v>452</v>
      </c>
      <c r="N91" s="81" t="s">
        <v>1430</v>
      </c>
      <c r="O91" s="81" t="s">
        <v>1445</v>
      </c>
      <c r="P91" s="81" t="s">
        <v>414</v>
      </c>
      <c r="Q91" s="81" t="s">
        <v>646</v>
      </c>
      <c r="R91" s="81">
        <v>0</v>
      </c>
      <c r="S91" s="81">
        <v>0</v>
      </c>
      <c r="T91" s="81">
        <v>0</v>
      </c>
      <c r="U91" s="81">
        <v>0</v>
      </c>
      <c r="V91" s="81">
        <v>1</v>
      </c>
      <c r="W91" s="81">
        <v>0</v>
      </c>
      <c r="X91" s="81">
        <v>0</v>
      </c>
      <c r="Y91" s="81">
        <v>0</v>
      </c>
      <c r="Z91" s="81">
        <v>1</v>
      </c>
      <c r="AA91" s="81">
        <v>0</v>
      </c>
      <c r="AB91" s="81">
        <v>1</v>
      </c>
      <c r="AC91" s="81">
        <v>0</v>
      </c>
      <c r="AD91" s="81">
        <v>0</v>
      </c>
      <c r="AE91" s="81">
        <v>0</v>
      </c>
      <c r="AF91" s="81">
        <v>0</v>
      </c>
      <c r="AG91" s="81">
        <v>0</v>
      </c>
      <c r="AH91" s="81">
        <v>0</v>
      </c>
      <c r="AI91" s="81">
        <v>0</v>
      </c>
      <c r="AJ91" s="81">
        <v>0</v>
      </c>
      <c r="AK91" s="81">
        <v>0</v>
      </c>
      <c r="AL91" s="81">
        <v>0</v>
      </c>
      <c r="AM91" s="81">
        <v>1</v>
      </c>
      <c r="AN91" s="81">
        <v>0</v>
      </c>
      <c r="AO91" s="81">
        <v>0</v>
      </c>
      <c r="AP91" s="81">
        <v>0</v>
      </c>
      <c r="AQ91" s="81">
        <v>0</v>
      </c>
      <c r="AR91" s="81">
        <v>1</v>
      </c>
      <c r="AS91" s="81">
        <v>0</v>
      </c>
      <c r="AT91" s="81">
        <v>0</v>
      </c>
      <c r="AU91" s="81">
        <v>1</v>
      </c>
      <c r="AV91" s="81">
        <v>0</v>
      </c>
      <c r="AW91" s="81">
        <v>0</v>
      </c>
      <c r="AX91" s="81">
        <v>0</v>
      </c>
      <c r="AY91" s="81">
        <v>1</v>
      </c>
      <c r="AZ91" s="81">
        <v>1</v>
      </c>
      <c r="BA91" s="81">
        <v>0</v>
      </c>
      <c r="BB91" s="81">
        <v>0</v>
      </c>
      <c r="BC91" s="81">
        <v>0</v>
      </c>
      <c r="BD91" s="81">
        <v>0</v>
      </c>
      <c r="BE91" s="81">
        <v>1</v>
      </c>
      <c r="BF91" s="81">
        <v>0</v>
      </c>
      <c r="BG91" s="81">
        <v>1</v>
      </c>
      <c r="BH91" s="81">
        <v>0</v>
      </c>
      <c r="BI91" s="81">
        <v>0</v>
      </c>
      <c r="BJ91" s="81">
        <v>1</v>
      </c>
      <c r="BK91" s="81">
        <v>0</v>
      </c>
      <c r="BL91" s="81">
        <v>1</v>
      </c>
      <c r="BM91" s="81">
        <v>0</v>
      </c>
      <c r="BN91" s="81">
        <v>0</v>
      </c>
      <c r="BO91" s="81">
        <v>2</v>
      </c>
      <c r="BP91" s="81">
        <v>1</v>
      </c>
      <c r="BQ91" s="81">
        <v>1</v>
      </c>
      <c r="BR91" s="81">
        <v>2</v>
      </c>
      <c r="BS91" s="81">
        <v>2</v>
      </c>
      <c r="BT91" s="81">
        <v>2</v>
      </c>
      <c r="BU91" s="81">
        <v>1</v>
      </c>
      <c r="BV91" s="81">
        <v>1</v>
      </c>
      <c r="BW91" s="81">
        <v>2</v>
      </c>
      <c r="BX91" s="81">
        <v>2</v>
      </c>
      <c r="BY91" s="81">
        <v>2</v>
      </c>
      <c r="BZ91" s="81">
        <v>2</v>
      </c>
      <c r="CA91" s="81">
        <v>2</v>
      </c>
      <c r="CB91" s="81">
        <v>2</v>
      </c>
      <c r="CC91" s="81">
        <v>2</v>
      </c>
      <c r="CD91" s="81">
        <v>2</v>
      </c>
      <c r="CE91" s="81">
        <v>2</v>
      </c>
      <c r="CF91" s="81">
        <v>2</v>
      </c>
      <c r="CG91" s="81">
        <v>2</v>
      </c>
      <c r="CH91" s="81">
        <v>2</v>
      </c>
      <c r="CI91" s="81">
        <v>2</v>
      </c>
      <c r="CJ91" s="81">
        <v>2</v>
      </c>
      <c r="CK91" s="81">
        <v>2</v>
      </c>
      <c r="CL91" s="81">
        <v>2</v>
      </c>
      <c r="CM91" s="81">
        <v>2</v>
      </c>
      <c r="CN91" s="81">
        <v>2</v>
      </c>
      <c r="CO91" s="81">
        <v>2</v>
      </c>
      <c r="CP91" s="81">
        <v>2</v>
      </c>
      <c r="CQ91" s="81">
        <v>2</v>
      </c>
      <c r="CR91" s="81">
        <v>2</v>
      </c>
      <c r="CS91" s="81">
        <v>2</v>
      </c>
      <c r="CT91" s="81">
        <v>2</v>
      </c>
      <c r="CU91" s="81">
        <v>0</v>
      </c>
      <c r="CV91" s="81">
        <v>1</v>
      </c>
      <c r="CW91" s="81">
        <v>1</v>
      </c>
      <c r="CX91" s="81">
        <v>2</v>
      </c>
      <c r="CY91" s="81">
        <v>1</v>
      </c>
      <c r="CZ91" s="81">
        <v>1</v>
      </c>
      <c r="DA91" s="81">
        <v>1</v>
      </c>
    </row>
    <row r="92" spans="1:105" ht="12" customHeight="1" x14ac:dyDescent="0.3">
      <c r="A92" s="81" t="s">
        <v>688</v>
      </c>
      <c r="B92" s="81" t="s">
        <v>1446</v>
      </c>
      <c r="C92" s="81" t="s">
        <v>1447</v>
      </c>
      <c r="D92" s="81" t="s">
        <v>689</v>
      </c>
      <c r="E92" s="81" t="s">
        <v>397</v>
      </c>
      <c r="F92" s="81" t="s">
        <v>397</v>
      </c>
      <c r="G92" s="81"/>
      <c r="H92" s="94">
        <v>20</v>
      </c>
      <c r="I92" s="81" t="s">
        <v>6</v>
      </c>
      <c r="J92" s="81" t="s">
        <v>438</v>
      </c>
      <c r="K92" s="81">
        <v>20</v>
      </c>
      <c r="L92" s="81" t="s">
        <v>435</v>
      </c>
      <c r="M92" s="81" t="s">
        <v>444</v>
      </c>
      <c r="N92" s="81" t="s">
        <v>1430</v>
      </c>
      <c r="O92" s="81" t="s">
        <v>1448</v>
      </c>
      <c r="P92" s="81" t="s">
        <v>414</v>
      </c>
      <c r="Q92" s="81" t="s">
        <v>690</v>
      </c>
      <c r="R92" s="81">
        <v>0</v>
      </c>
      <c r="S92" s="81">
        <v>0</v>
      </c>
      <c r="T92" s="81">
        <v>0</v>
      </c>
      <c r="U92" s="81">
        <v>1</v>
      </c>
      <c r="V92" s="81">
        <v>0</v>
      </c>
      <c r="W92" s="81">
        <v>1</v>
      </c>
      <c r="X92" s="81">
        <v>0</v>
      </c>
      <c r="Y92" s="81">
        <v>0</v>
      </c>
      <c r="Z92" s="81">
        <v>0</v>
      </c>
      <c r="AA92" s="81">
        <v>1</v>
      </c>
      <c r="AB92" s="81">
        <v>0</v>
      </c>
      <c r="AC92" s="81">
        <v>0</v>
      </c>
      <c r="AD92" s="81">
        <v>0</v>
      </c>
      <c r="AE92" s="81">
        <v>0</v>
      </c>
      <c r="AF92" s="81">
        <v>0</v>
      </c>
      <c r="AG92" s="81">
        <v>1</v>
      </c>
      <c r="AH92" s="81">
        <v>0</v>
      </c>
      <c r="AI92" s="81">
        <v>0</v>
      </c>
      <c r="AJ92" s="81">
        <v>0</v>
      </c>
      <c r="AK92" s="81">
        <v>0</v>
      </c>
      <c r="AL92" s="81">
        <v>0</v>
      </c>
      <c r="AM92" s="81">
        <v>1</v>
      </c>
      <c r="AN92" s="81">
        <v>0</v>
      </c>
      <c r="AO92" s="81">
        <v>0</v>
      </c>
      <c r="AP92" s="81">
        <v>0</v>
      </c>
      <c r="AQ92" s="81">
        <v>0</v>
      </c>
      <c r="AR92" s="81">
        <v>0</v>
      </c>
      <c r="AS92" s="81">
        <v>0</v>
      </c>
      <c r="AT92" s="81">
        <v>0</v>
      </c>
      <c r="AU92" s="81">
        <v>0</v>
      </c>
      <c r="AV92" s="81">
        <v>0</v>
      </c>
      <c r="AW92" s="81">
        <v>0</v>
      </c>
      <c r="AX92" s="81">
        <v>0</v>
      </c>
      <c r="AY92" s="81">
        <v>1</v>
      </c>
      <c r="AZ92" s="81">
        <v>0</v>
      </c>
      <c r="BA92" s="81">
        <v>0</v>
      </c>
      <c r="BB92" s="81">
        <v>1</v>
      </c>
      <c r="BC92" s="81">
        <v>0</v>
      </c>
      <c r="BD92" s="81">
        <v>0</v>
      </c>
      <c r="BE92" s="81">
        <v>0</v>
      </c>
      <c r="BF92" s="81">
        <v>0</v>
      </c>
      <c r="BG92" s="81">
        <v>1</v>
      </c>
      <c r="BH92" s="81">
        <v>0</v>
      </c>
      <c r="BI92" s="81">
        <v>0</v>
      </c>
      <c r="BJ92" s="81">
        <v>1</v>
      </c>
      <c r="BK92" s="81">
        <v>0</v>
      </c>
      <c r="BL92" s="81">
        <v>0</v>
      </c>
      <c r="BM92" s="81">
        <v>0</v>
      </c>
      <c r="BN92" s="81">
        <v>0</v>
      </c>
      <c r="BO92" s="81">
        <v>2</v>
      </c>
      <c r="BP92" s="81">
        <v>2</v>
      </c>
      <c r="BQ92" s="81">
        <v>1</v>
      </c>
      <c r="BR92" s="81">
        <v>2</v>
      </c>
      <c r="BS92" s="81">
        <v>2</v>
      </c>
      <c r="BT92" s="81">
        <v>2</v>
      </c>
      <c r="BU92" s="81">
        <v>1</v>
      </c>
      <c r="BV92" s="81">
        <v>1</v>
      </c>
      <c r="BW92" s="81">
        <v>2</v>
      </c>
      <c r="BX92" s="81">
        <v>2</v>
      </c>
      <c r="BY92" s="81">
        <v>2</v>
      </c>
      <c r="BZ92" s="81">
        <v>1</v>
      </c>
      <c r="CA92" s="81">
        <v>2</v>
      </c>
      <c r="CB92" s="81">
        <v>2</v>
      </c>
      <c r="CC92" s="81">
        <v>2</v>
      </c>
      <c r="CD92" s="81">
        <v>2</v>
      </c>
      <c r="CE92" s="81">
        <v>2</v>
      </c>
      <c r="CF92" s="81">
        <v>1</v>
      </c>
      <c r="CG92" s="81">
        <v>2</v>
      </c>
      <c r="CH92" s="81">
        <v>0</v>
      </c>
      <c r="CI92" s="81">
        <v>1</v>
      </c>
      <c r="CJ92" s="81">
        <v>0</v>
      </c>
      <c r="CK92" s="81">
        <v>1</v>
      </c>
      <c r="CL92" s="81">
        <v>0</v>
      </c>
      <c r="CM92" s="81">
        <v>0</v>
      </c>
      <c r="CN92" s="81">
        <v>0</v>
      </c>
      <c r="CO92" s="81">
        <v>2</v>
      </c>
      <c r="CP92" s="81">
        <v>2</v>
      </c>
      <c r="CQ92" s="81">
        <v>2</v>
      </c>
      <c r="CR92" s="81">
        <v>2</v>
      </c>
      <c r="CS92" s="81">
        <v>2</v>
      </c>
      <c r="CT92" s="81">
        <v>2</v>
      </c>
      <c r="CU92" s="81">
        <v>0</v>
      </c>
      <c r="CV92" s="81">
        <v>1</v>
      </c>
      <c r="CW92" s="81">
        <v>0</v>
      </c>
      <c r="CX92" s="81">
        <v>1</v>
      </c>
      <c r="CY92" s="81">
        <v>1</v>
      </c>
      <c r="CZ92" s="81">
        <v>0</v>
      </c>
      <c r="DA92" s="81">
        <v>1</v>
      </c>
    </row>
    <row r="93" spans="1:105" ht="12" customHeight="1" x14ac:dyDescent="0.3">
      <c r="A93" s="81" t="s">
        <v>691</v>
      </c>
      <c r="B93" s="81" t="s">
        <v>1446</v>
      </c>
      <c r="C93" s="81" t="s">
        <v>1447</v>
      </c>
      <c r="D93" s="81" t="s">
        <v>692</v>
      </c>
      <c r="E93" s="81" t="s">
        <v>397</v>
      </c>
      <c r="F93" s="81" t="s">
        <v>397</v>
      </c>
      <c r="G93" s="81"/>
      <c r="H93" s="94">
        <v>20</v>
      </c>
      <c r="I93" s="81" t="s">
        <v>6</v>
      </c>
      <c r="J93" s="81" t="s">
        <v>438</v>
      </c>
      <c r="K93" s="81">
        <v>20</v>
      </c>
      <c r="L93" s="81" t="s">
        <v>435</v>
      </c>
      <c r="M93" s="81" t="s">
        <v>444</v>
      </c>
      <c r="N93" s="81" t="s">
        <v>1430</v>
      </c>
      <c r="O93" s="81" t="s">
        <v>1448</v>
      </c>
      <c r="P93" s="81" t="s">
        <v>414</v>
      </c>
      <c r="Q93" s="81" t="s">
        <v>690</v>
      </c>
      <c r="R93" s="81">
        <v>0</v>
      </c>
      <c r="S93" s="81">
        <v>0</v>
      </c>
      <c r="T93" s="81">
        <v>0</v>
      </c>
      <c r="U93" s="81">
        <v>1</v>
      </c>
      <c r="V93" s="81">
        <v>0</v>
      </c>
      <c r="W93" s="81">
        <v>1</v>
      </c>
      <c r="X93" s="81">
        <v>0</v>
      </c>
      <c r="Y93" s="81">
        <v>0</v>
      </c>
      <c r="Z93" s="81">
        <v>0</v>
      </c>
      <c r="AA93" s="81">
        <v>1</v>
      </c>
      <c r="AB93" s="81">
        <v>0</v>
      </c>
      <c r="AC93" s="81">
        <v>0</v>
      </c>
      <c r="AD93" s="81">
        <v>0</v>
      </c>
      <c r="AE93" s="81">
        <v>0</v>
      </c>
      <c r="AF93" s="81">
        <v>0</v>
      </c>
      <c r="AG93" s="81">
        <v>1</v>
      </c>
      <c r="AH93" s="81">
        <v>0</v>
      </c>
      <c r="AI93" s="81">
        <v>0</v>
      </c>
      <c r="AJ93" s="81">
        <v>0</v>
      </c>
      <c r="AK93" s="81">
        <v>0</v>
      </c>
      <c r="AL93" s="81">
        <v>0</v>
      </c>
      <c r="AM93" s="81">
        <v>1</v>
      </c>
      <c r="AN93" s="81">
        <v>0</v>
      </c>
      <c r="AO93" s="81">
        <v>0</v>
      </c>
      <c r="AP93" s="81">
        <v>0</v>
      </c>
      <c r="AQ93" s="81">
        <v>0</v>
      </c>
      <c r="AR93" s="81">
        <v>0</v>
      </c>
      <c r="AS93" s="81">
        <v>0</v>
      </c>
      <c r="AT93" s="81">
        <v>0</v>
      </c>
      <c r="AU93" s="81">
        <v>0</v>
      </c>
      <c r="AV93" s="81">
        <v>0</v>
      </c>
      <c r="AW93" s="81">
        <v>0</v>
      </c>
      <c r="AX93" s="81">
        <v>0</v>
      </c>
      <c r="AY93" s="81">
        <v>1</v>
      </c>
      <c r="AZ93" s="81">
        <v>0</v>
      </c>
      <c r="BA93" s="81">
        <v>0</v>
      </c>
      <c r="BB93" s="81">
        <v>1</v>
      </c>
      <c r="BC93" s="81">
        <v>0</v>
      </c>
      <c r="BD93" s="81">
        <v>0</v>
      </c>
      <c r="BE93" s="81">
        <v>0</v>
      </c>
      <c r="BF93" s="81">
        <v>0</v>
      </c>
      <c r="BG93" s="81">
        <v>1</v>
      </c>
      <c r="BH93" s="81">
        <v>0</v>
      </c>
      <c r="BI93" s="81">
        <v>0</v>
      </c>
      <c r="BJ93" s="81">
        <v>1</v>
      </c>
      <c r="BK93" s="81">
        <v>0</v>
      </c>
      <c r="BL93" s="81">
        <v>0</v>
      </c>
      <c r="BM93" s="81">
        <v>0</v>
      </c>
      <c r="BN93" s="81">
        <v>0</v>
      </c>
      <c r="BO93" s="81">
        <v>2</v>
      </c>
      <c r="BP93" s="81">
        <v>2</v>
      </c>
      <c r="BQ93" s="81">
        <v>1</v>
      </c>
      <c r="BR93" s="81">
        <v>2</v>
      </c>
      <c r="BS93" s="81">
        <v>2</v>
      </c>
      <c r="BT93" s="81">
        <v>2</v>
      </c>
      <c r="BU93" s="81">
        <v>1</v>
      </c>
      <c r="BV93" s="81">
        <v>1</v>
      </c>
      <c r="BW93" s="81">
        <v>2</v>
      </c>
      <c r="BX93" s="81">
        <v>2</v>
      </c>
      <c r="BY93" s="81">
        <v>2</v>
      </c>
      <c r="BZ93" s="81">
        <v>1</v>
      </c>
      <c r="CA93" s="81">
        <v>2</v>
      </c>
      <c r="CB93" s="81">
        <v>2</v>
      </c>
      <c r="CC93" s="81">
        <v>2</v>
      </c>
      <c r="CD93" s="81">
        <v>2</v>
      </c>
      <c r="CE93" s="81">
        <v>2</v>
      </c>
      <c r="CF93" s="81">
        <v>1</v>
      </c>
      <c r="CG93" s="81">
        <v>2</v>
      </c>
      <c r="CH93" s="81">
        <v>0</v>
      </c>
      <c r="CI93" s="81">
        <v>1</v>
      </c>
      <c r="CJ93" s="81">
        <v>0</v>
      </c>
      <c r="CK93" s="81">
        <v>1</v>
      </c>
      <c r="CL93" s="81">
        <v>0</v>
      </c>
      <c r="CM93" s="81">
        <v>0</v>
      </c>
      <c r="CN93" s="81">
        <v>0</v>
      </c>
      <c r="CO93" s="81">
        <v>2</v>
      </c>
      <c r="CP93" s="81">
        <v>2</v>
      </c>
      <c r="CQ93" s="81">
        <v>2</v>
      </c>
      <c r="CR93" s="81">
        <v>2</v>
      </c>
      <c r="CS93" s="81">
        <v>2</v>
      </c>
      <c r="CT93" s="81">
        <v>2</v>
      </c>
      <c r="CU93" s="81">
        <v>0</v>
      </c>
      <c r="CV93" s="81">
        <v>1</v>
      </c>
      <c r="CW93" s="81">
        <v>0</v>
      </c>
      <c r="CX93" s="81">
        <v>1</v>
      </c>
      <c r="CY93" s="81">
        <v>1</v>
      </c>
      <c r="CZ93" s="81">
        <v>0</v>
      </c>
      <c r="DA93" s="81">
        <v>1</v>
      </c>
    </row>
    <row r="94" spans="1:105" ht="12" customHeight="1" x14ac:dyDescent="0.3">
      <c r="A94" s="81" t="s">
        <v>693</v>
      </c>
      <c r="B94" s="81" t="s">
        <v>1446</v>
      </c>
      <c r="C94" s="81" t="s">
        <v>1447</v>
      </c>
      <c r="D94" s="81" t="s">
        <v>694</v>
      </c>
      <c r="E94" s="81" t="s">
        <v>397</v>
      </c>
      <c r="F94" s="81" t="s">
        <v>397</v>
      </c>
      <c r="G94" s="81"/>
      <c r="H94" s="94">
        <v>20</v>
      </c>
      <c r="I94" s="81" t="s">
        <v>6</v>
      </c>
      <c r="J94" s="81" t="s">
        <v>438</v>
      </c>
      <c r="K94" s="81">
        <v>20</v>
      </c>
      <c r="L94" s="81" t="s">
        <v>435</v>
      </c>
      <c r="M94" s="81" t="s">
        <v>444</v>
      </c>
      <c r="N94" s="81" t="s">
        <v>1430</v>
      </c>
      <c r="O94" s="81" t="s">
        <v>1448</v>
      </c>
      <c r="P94" s="81" t="s">
        <v>414</v>
      </c>
      <c r="Q94" s="81" t="s">
        <v>690</v>
      </c>
      <c r="R94" s="81">
        <v>0</v>
      </c>
      <c r="S94" s="81">
        <v>0</v>
      </c>
      <c r="T94" s="81">
        <v>0</v>
      </c>
      <c r="U94" s="81">
        <v>1</v>
      </c>
      <c r="V94" s="81">
        <v>0</v>
      </c>
      <c r="W94" s="81">
        <v>1</v>
      </c>
      <c r="X94" s="81">
        <v>0</v>
      </c>
      <c r="Y94" s="81">
        <v>0</v>
      </c>
      <c r="Z94" s="81">
        <v>0</v>
      </c>
      <c r="AA94" s="81">
        <v>1</v>
      </c>
      <c r="AB94" s="81">
        <v>0</v>
      </c>
      <c r="AC94" s="81">
        <v>0</v>
      </c>
      <c r="AD94" s="81">
        <v>0</v>
      </c>
      <c r="AE94" s="81">
        <v>0</v>
      </c>
      <c r="AF94" s="81">
        <v>0</v>
      </c>
      <c r="AG94" s="81">
        <v>1</v>
      </c>
      <c r="AH94" s="81">
        <v>0</v>
      </c>
      <c r="AI94" s="81">
        <v>0</v>
      </c>
      <c r="AJ94" s="81">
        <v>0</v>
      </c>
      <c r="AK94" s="81">
        <v>0</v>
      </c>
      <c r="AL94" s="81">
        <v>0</v>
      </c>
      <c r="AM94" s="81">
        <v>1</v>
      </c>
      <c r="AN94" s="81">
        <v>0</v>
      </c>
      <c r="AO94" s="81">
        <v>0</v>
      </c>
      <c r="AP94" s="81">
        <v>0</v>
      </c>
      <c r="AQ94" s="81">
        <v>0</v>
      </c>
      <c r="AR94" s="81">
        <v>0</v>
      </c>
      <c r="AS94" s="81">
        <v>0</v>
      </c>
      <c r="AT94" s="81">
        <v>0</v>
      </c>
      <c r="AU94" s="81">
        <v>0</v>
      </c>
      <c r="AV94" s="81">
        <v>0</v>
      </c>
      <c r="AW94" s="81">
        <v>0</v>
      </c>
      <c r="AX94" s="81">
        <v>0</v>
      </c>
      <c r="AY94" s="81">
        <v>1</v>
      </c>
      <c r="AZ94" s="81">
        <v>0</v>
      </c>
      <c r="BA94" s="81">
        <v>0</v>
      </c>
      <c r="BB94" s="81">
        <v>1</v>
      </c>
      <c r="BC94" s="81">
        <v>0</v>
      </c>
      <c r="BD94" s="81">
        <v>0</v>
      </c>
      <c r="BE94" s="81">
        <v>0</v>
      </c>
      <c r="BF94" s="81">
        <v>0</v>
      </c>
      <c r="BG94" s="81">
        <v>1</v>
      </c>
      <c r="BH94" s="81">
        <v>0</v>
      </c>
      <c r="BI94" s="81">
        <v>0</v>
      </c>
      <c r="BJ94" s="81">
        <v>1</v>
      </c>
      <c r="BK94" s="81">
        <v>0</v>
      </c>
      <c r="BL94" s="81">
        <v>0</v>
      </c>
      <c r="BM94" s="81">
        <v>0</v>
      </c>
      <c r="BN94" s="81">
        <v>0</v>
      </c>
      <c r="BO94" s="81">
        <v>2</v>
      </c>
      <c r="BP94" s="81">
        <v>2</v>
      </c>
      <c r="BQ94" s="81">
        <v>1</v>
      </c>
      <c r="BR94" s="81">
        <v>2</v>
      </c>
      <c r="BS94" s="81">
        <v>2</v>
      </c>
      <c r="BT94" s="81">
        <v>2</v>
      </c>
      <c r="BU94" s="81">
        <v>1</v>
      </c>
      <c r="BV94" s="81">
        <v>1</v>
      </c>
      <c r="BW94" s="81">
        <v>2</v>
      </c>
      <c r="BX94" s="81">
        <v>2</v>
      </c>
      <c r="BY94" s="81">
        <v>2</v>
      </c>
      <c r="BZ94" s="81">
        <v>1</v>
      </c>
      <c r="CA94" s="81">
        <v>2</v>
      </c>
      <c r="CB94" s="81">
        <v>2</v>
      </c>
      <c r="CC94" s="81">
        <v>2</v>
      </c>
      <c r="CD94" s="81">
        <v>2</v>
      </c>
      <c r="CE94" s="81">
        <v>2</v>
      </c>
      <c r="CF94" s="81">
        <v>1</v>
      </c>
      <c r="CG94" s="81">
        <v>2</v>
      </c>
      <c r="CH94" s="81">
        <v>0</v>
      </c>
      <c r="CI94" s="81">
        <v>1</v>
      </c>
      <c r="CJ94" s="81">
        <v>0</v>
      </c>
      <c r="CK94" s="81">
        <v>1</v>
      </c>
      <c r="CL94" s="81">
        <v>0</v>
      </c>
      <c r="CM94" s="81">
        <v>0</v>
      </c>
      <c r="CN94" s="81">
        <v>0</v>
      </c>
      <c r="CO94" s="81">
        <v>2</v>
      </c>
      <c r="CP94" s="81">
        <v>2</v>
      </c>
      <c r="CQ94" s="81">
        <v>2</v>
      </c>
      <c r="CR94" s="81">
        <v>2</v>
      </c>
      <c r="CS94" s="81">
        <v>2</v>
      </c>
      <c r="CT94" s="81">
        <v>2</v>
      </c>
      <c r="CU94" s="81">
        <v>0</v>
      </c>
      <c r="CV94" s="81">
        <v>1</v>
      </c>
      <c r="CW94" s="81">
        <v>0</v>
      </c>
      <c r="CX94" s="81">
        <v>1</v>
      </c>
      <c r="CY94" s="81">
        <v>1</v>
      </c>
      <c r="CZ94" s="81">
        <v>0</v>
      </c>
      <c r="DA94" s="81">
        <v>1</v>
      </c>
    </row>
    <row r="95" spans="1:105" ht="12" customHeight="1" x14ac:dyDescent="0.3">
      <c r="A95" s="81" t="s">
        <v>695</v>
      </c>
      <c r="B95" s="81" t="s">
        <v>1446</v>
      </c>
      <c r="C95" s="81" t="s">
        <v>1447</v>
      </c>
      <c r="D95" s="81" t="s">
        <v>696</v>
      </c>
      <c r="E95" s="81" t="s">
        <v>397</v>
      </c>
      <c r="F95" s="81" t="s">
        <v>397</v>
      </c>
      <c r="G95" s="81"/>
      <c r="H95" s="94">
        <v>20</v>
      </c>
      <c r="I95" s="81" t="s">
        <v>6</v>
      </c>
      <c r="J95" s="81" t="s">
        <v>438</v>
      </c>
      <c r="K95" s="81">
        <v>20</v>
      </c>
      <c r="L95" s="81" t="s">
        <v>435</v>
      </c>
      <c r="M95" s="81" t="s">
        <v>444</v>
      </c>
      <c r="N95" s="81" t="s">
        <v>1430</v>
      </c>
      <c r="O95" s="81" t="s">
        <v>1448</v>
      </c>
      <c r="P95" s="81" t="s">
        <v>414</v>
      </c>
      <c r="Q95" s="81" t="s">
        <v>690</v>
      </c>
      <c r="R95" s="81">
        <v>0</v>
      </c>
      <c r="S95" s="81">
        <v>0</v>
      </c>
      <c r="T95" s="81">
        <v>0</v>
      </c>
      <c r="U95" s="81">
        <v>1</v>
      </c>
      <c r="V95" s="81">
        <v>0</v>
      </c>
      <c r="W95" s="81">
        <v>1</v>
      </c>
      <c r="X95" s="81">
        <v>0</v>
      </c>
      <c r="Y95" s="81">
        <v>0</v>
      </c>
      <c r="Z95" s="81">
        <v>0</v>
      </c>
      <c r="AA95" s="81">
        <v>1</v>
      </c>
      <c r="AB95" s="81">
        <v>0</v>
      </c>
      <c r="AC95" s="81">
        <v>0</v>
      </c>
      <c r="AD95" s="81">
        <v>0</v>
      </c>
      <c r="AE95" s="81">
        <v>0</v>
      </c>
      <c r="AF95" s="81">
        <v>0</v>
      </c>
      <c r="AG95" s="81">
        <v>1</v>
      </c>
      <c r="AH95" s="81">
        <v>0</v>
      </c>
      <c r="AI95" s="81">
        <v>0</v>
      </c>
      <c r="AJ95" s="81">
        <v>0</v>
      </c>
      <c r="AK95" s="81">
        <v>0</v>
      </c>
      <c r="AL95" s="81">
        <v>0</v>
      </c>
      <c r="AM95" s="81">
        <v>1</v>
      </c>
      <c r="AN95" s="81">
        <v>0</v>
      </c>
      <c r="AO95" s="81">
        <v>0</v>
      </c>
      <c r="AP95" s="81">
        <v>0</v>
      </c>
      <c r="AQ95" s="81">
        <v>0</v>
      </c>
      <c r="AR95" s="81">
        <v>0</v>
      </c>
      <c r="AS95" s="81">
        <v>0</v>
      </c>
      <c r="AT95" s="81">
        <v>0</v>
      </c>
      <c r="AU95" s="81">
        <v>0</v>
      </c>
      <c r="AV95" s="81">
        <v>0</v>
      </c>
      <c r="AW95" s="81">
        <v>0</v>
      </c>
      <c r="AX95" s="81">
        <v>0</v>
      </c>
      <c r="AY95" s="81">
        <v>1</v>
      </c>
      <c r="AZ95" s="81">
        <v>0</v>
      </c>
      <c r="BA95" s="81">
        <v>0</v>
      </c>
      <c r="BB95" s="81">
        <v>1</v>
      </c>
      <c r="BC95" s="81">
        <v>0</v>
      </c>
      <c r="BD95" s="81">
        <v>0</v>
      </c>
      <c r="BE95" s="81">
        <v>0</v>
      </c>
      <c r="BF95" s="81">
        <v>0</v>
      </c>
      <c r="BG95" s="81">
        <v>1</v>
      </c>
      <c r="BH95" s="81">
        <v>0</v>
      </c>
      <c r="BI95" s="81">
        <v>0</v>
      </c>
      <c r="BJ95" s="81">
        <v>1</v>
      </c>
      <c r="BK95" s="81">
        <v>0</v>
      </c>
      <c r="BL95" s="81">
        <v>0</v>
      </c>
      <c r="BM95" s="81">
        <v>0</v>
      </c>
      <c r="BN95" s="81">
        <v>0</v>
      </c>
      <c r="BO95" s="81">
        <v>2</v>
      </c>
      <c r="BP95" s="81">
        <v>2</v>
      </c>
      <c r="BQ95" s="81">
        <v>1</v>
      </c>
      <c r="BR95" s="81">
        <v>2</v>
      </c>
      <c r="BS95" s="81">
        <v>2</v>
      </c>
      <c r="BT95" s="81">
        <v>2</v>
      </c>
      <c r="BU95" s="81">
        <v>1</v>
      </c>
      <c r="BV95" s="81">
        <v>1</v>
      </c>
      <c r="BW95" s="81">
        <v>2</v>
      </c>
      <c r="BX95" s="81">
        <v>2</v>
      </c>
      <c r="BY95" s="81">
        <v>2</v>
      </c>
      <c r="BZ95" s="81">
        <v>1</v>
      </c>
      <c r="CA95" s="81">
        <v>2</v>
      </c>
      <c r="CB95" s="81">
        <v>2</v>
      </c>
      <c r="CC95" s="81">
        <v>2</v>
      </c>
      <c r="CD95" s="81">
        <v>2</v>
      </c>
      <c r="CE95" s="81">
        <v>2</v>
      </c>
      <c r="CF95" s="81">
        <v>1</v>
      </c>
      <c r="CG95" s="81">
        <v>2</v>
      </c>
      <c r="CH95" s="81">
        <v>0</v>
      </c>
      <c r="CI95" s="81">
        <v>1</v>
      </c>
      <c r="CJ95" s="81">
        <v>0</v>
      </c>
      <c r="CK95" s="81">
        <v>1</v>
      </c>
      <c r="CL95" s="81">
        <v>0</v>
      </c>
      <c r="CM95" s="81">
        <v>0</v>
      </c>
      <c r="CN95" s="81">
        <v>0</v>
      </c>
      <c r="CO95" s="81">
        <v>2</v>
      </c>
      <c r="CP95" s="81">
        <v>2</v>
      </c>
      <c r="CQ95" s="81">
        <v>2</v>
      </c>
      <c r="CR95" s="81">
        <v>2</v>
      </c>
      <c r="CS95" s="81">
        <v>2</v>
      </c>
      <c r="CT95" s="81">
        <v>2</v>
      </c>
      <c r="CU95" s="81">
        <v>0</v>
      </c>
      <c r="CV95" s="81">
        <v>1</v>
      </c>
      <c r="CW95" s="81">
        <v>0</v>
      </c>
      <c r="CX95" s="81">
        <v>1</v>
      </c>
      <c r="CY95" s="81">
        <v>1</v>
      </c>
      <c r="CZ95" s="81">
        <v>0</v>
      </c>
      <c r="DA95" s="81">
        <v>1</v>
      </c>
    </row>
    <row r="96" spans="1:105" ht="12" customHeight="1" x14ac:dyDescent="0.3">
      <c r="A96" s="81" t="s">
        <v>697</v>
      </c>
      <c r="B96" s="81" t="s">
        <v>1446</v>
      </c>
      <c r="C96" s="81" t="s">
        <v>1447</v>
      </c>
      <c r="D96" s="81" t="s">
        <v>698</v>
      </c>
      <c r="E96" s="81" t="s">
        <v>397</v>
      </c>
      <c r="F96" s="81" t="s">
        <v>397</v>
      </c>
      <c r="G96" s="81"/>
      <c r="H96" s="94">
        <v>20</v>
      </c>
      <c r="I96" s="81" t="s">
        <v>6</v>
      </c>
      <c r="J96" s="81" t="s">
        <v>438</v>
      </c>
      <c r="K96" s="81">
        <v>20</v>
      </c>
      <c r="L96" s="81" t="s">
        <v>435</v>
      </c>
      <c r="M96" s="81" t="s">
        <v>444</v>
      </c>
      <c r="N96" s="81" t="s">
        <v>1430</v>
      </c>
      <c r="O96" s="81" t="s">
        <v>1448</v>
      </c>
      <c r="P96" s="81" t="s">
        <v>414</v>
      </c>
      <c r="Q96" s="81" t="s">
        <v>690</v>
      </c>
      <c r="R96" s="81">
        <v>0</v>
      </c>
      <c r="S96" s="81">
        <v>0</v>
      </c>
      <c r="T96" s="81">
        <v>0</v>
      </c>
      <c r="U96" s="81">
        <v>1</v>
      </c>
      <c r="V96" s="81">
        <v>0</v>
      </c>
      <c r="W96" s="81">
        <v>1</v>
      </c>
      <c r="X96" s="81">
        <v>0</v>
      </c>
      <c r="Y96" s="81">
        <v>0</v>
      </c>
      <c r="Z96" s="81">
        <v>0</v>
      </c>
      <c r="AA96" s="81">
        <v>1</v>
      </c>
      <c r="AB96" s="81">
        <v>0</v>
      </c>
      <c r="AC96" s="81">
        <v>0</v>
      </c>
      <c r="AD96" s="81">
        <v>0</v>
      </c>
      <c r="AE96" s="81">
        <v>0</v>
      </c>
      <c r="AF96" s="81">
        <v>0</v>
      </c>
      <c r="AG96" s="81">
        <v>1</v>
      </c>
      <c r="AH96" s="81">
        <v>0</v>
      </c>
      <c r="AI96" s="81">
        <v>0</v>
      </c>
      <c r="AJ96" s="81">
        <v>0</v>
      </c>
      <c r="AK96" s="81">
        <v>0</v>
      </c>
      <c r="AL96" s="81">
        <v>0</v>
      </c>
      <c r="AM96" s="81">
        <v>1</v>
      </c>
      <c r="AN96" s="81">
        <v>0</v>
      </c>
      <c r="AO96" s="81">
        <v>0</v>
      </c>
      <c r="AP96" s="81">
        <v>0</v>
      </c>
      <c r="AQ96" s="81">
        <v>0</v>
      </c>
      <c r="AR96" s="81">
        <v>0</v>
      </c>
      <c r="AS96" s="81">
        <v>0</v>
      </c>
      <c r="AT96" s="81">
        <v>0</v>
      </c>
      <c r="AU96" s="81">
        <v>0</v>
      </c>
      <c r="AV96" s="81">
        <v>0</v>
      </c>
      <c r="AW96" s="81">
        <v>0</v>
      </c>
      <c r="AX96" s="81">
        <v>0</v>
      </c>
      <c r="AY96" s="81">
        <v>1</v>
      </c>
      <c r="AZ96" s="81">
        <v>0</v>
      </c>
      <c r="BA96" s="81">
        <v>0</v>
      </c>
      <c r="BB96" s="81">
        <v>1</v>
      </c>
      <c r="BC96" s="81">
        <v>0</v>
      </c>
      <c r="BD96" s="81">
        <v>0</v>
      </c>
      <c r="BE96" s="81">
        <v>0</v>
      </c>
      <c r="BF96" s="81">
        <v>0</v>
      </c>
      <c r="BG96" s="81">
        <v>1</v>
      </c>
      <c r="BH96" s="81">
        <v>0</v>
      </c>
      <c r="BI96" s="81">
        <v>0</v>
      </c>
      <c r="BJ96" s="81">
        <v>1</v>
      </c>
      <c r="BK96" s="81">
        <v>0</v>
      </c>
      <c r="BL96" s="81">
        <v>0</v>
      </c>
      <c r="BM96" s="81">
        <v>0</v>
      </c>
      <c r="BN96" s="81">
        <v>0</v>
      </c>
      <c r="BO96" s="81">
        <v>2</v>
      </c>
      <c r="BP96" s="81">
        <v>2</v>
      </c>
      <c r="BQ96" s="81">
        <v>1</v>
      </c>
      <c r="BR96" s="81">
        <v>2</v>
      </c>
      <c r="BS96" s="81">
        <v>2</v>
      </c>
      <c r="BT96" s="81">
        <v>2</v>
      </c>
      <c r="BU96" s="81">
        <v>1</v>
      </c>
      <c r="BV96" s="81">
        <v>1</v>
      </c>
      <c r="BW96" s="81">
        <v>2</v>
      </c>
      <c r="BX96" s="81">
        <v>2</v>
      </c>
      <c r="BY96" s="81">
        <v>2</v>
      </c>
      <c r="BZ96" s="81">
        <v>1</v>
      </c>
      <c r="CA96" s="81">
        <v>2</v>
      </c>
      <c r="CB96" s="81">
        <v>2</v>
      </c>
      <c r="CC96" s="81">
        <v>2</v>
      </c>
      <c r="CD96" s="81">
        <v>2</v>
      </c>
      <c r="CE96" s="81">
        <v>2</v>
      </c>
      <c r="CF96" s="81">
        <v>1</v>
      </c>
      <c r="CG96" s="81">
        <v>2</v>
      </c>
      <c r="CH96" s="81">
        <v>0</v>
      </c>
      <c r="CI96" s="81">
        <v>1</v>
      </c>
      <c r="CJ96" s="81">
        <v>0</v>
      </c>
      <c r="CK96" s="81">
        <v>1</v>
      </c>
      <c r="CL96" s="81">
        <v>0</v>
      </c>
      <c r="CM96" s="81">
        <v>0</v>
      </c>
      <c r="CN96" s="81">
        <v>0</v>
      </c>
      <c r="CO96" s="81">
        <v>2</v>
      </c>
      <c r="CP96" s="81">
        <v>2</v>
      </c>
      <c r="CQ96" s="81">
        <v>2</v>
      </c>
      <c r="CR96" s="81">
        <v>2</v>
      </c>
      <c r="CS96" s="81">
        <v>2</v>
      </c>
      <c r="CT96" s="81">
        <v>2</v>
      </c>
      <c r="CU96" s="81">
        <v>0</v>
      </c>
      <c r="CV96" s="81">
        <v>1</v>
      </c>
      <c r="CW96" s="81">
        <v>0</v>
      </c>
      <c r="CX96" s="81">
        <v>1</v>
      </c>
      <c r="CY96" s="81">
        <v>1</v>
      </c>
      <c r="CZ96" s="81">
        <v>0</v>
      </c>
      <c r="DA96" s="81">
        <v>1</v>
      </c>
    </row>
    <row r="97" spans="1:105" ht="12" customHeight="1" x14ac:dyDescent="0.3">
      <c r="A97" s="81" t="s">
        <v>699</v>
      </c>
      <c r="B97" s="81" t="s">
        <v>1446</v>
      </c>
      <c r="C97" s="81" t="s">
        <v>1447</v>
      </c>
      <c r="D97" s="81" t="s">
        <v>700</v>
      </c>
      <c r="E97" s="81" t="s">
        <v>397</v>
      </c>
      <c r="F97" s="81" t="s">
        <v>397</v>
      </c>
      <c r="G97" s="81"/>
      <c r="H97" s="94">
        <v>20</v>
      </c>
      <c r="I97" s="81" t="s">
        <v>6</v>
      </c>
      <c r="J97" s="81" t="s">
        <v>438</v>
      </c>
      <c r="K97" s="81">
        <v>20</v>
      </c>
      <c r="L97" s="81" t="s">
        <v>435</v>
      </c>
      <c r="M97" s="81" t="s">
        <v>444</v>
      </c>
      <c r="N97" s="81" t="s">
        <v>1430</v>
      </c>
      <c r="O97" s="81" t="s">
        <v>1448</v>
      </c>
      <c r="P97" s="81" t="s">
        <v>414</v>
      </c>
      <c r="Q97" s="81" t="s">
        <v>690</v>
      </c>
      <c r="R97" s="81">
        <v>0</v>
      </c>
      <c r="S97" s="81">
        <v>0</v>
      </c>
      <c r="T97" s="81">
        <v>0</v>
      </c>
      <c r="U97" s="81">
        <v>1</v>
      </c>
      <c r="V97" s="81">
        <v>0</v>
      </c>
      <c r="W97" s="81">
        <v>1</v>
      </c>
      <c r="X97" s="81">
        <v>0</v>
      </c>
      <c r="Y97" s="81">
        <v>0</v>
      </c>
      <c r="Z97" s="81">
        <v>0</v>
      </c>
      <c r="AA97" s="81">
        <v>1</v>
      </c>
      <c r="AB97" s="81">
        <v>0</v>
      </c>
      <c r="AC97" s="81">
        <v>0</v>
      </c>
      <c r="AD97" s="81">
        <v>0</v>
      </c>
      <c r="AE97" s="81">
        <v>0</v>
      </c>
      <c r="AF97" s="81">
        <v>0</v>
      </c>
      <c r="AG97" s="81">
        <v>1</v>
      </c>
      <c r="AH97" s="81">
        <v>0</v>
      </c>
      <c r="AI97" s="81">
        <v>0</v>
      </c>
      <c r="AJ97" s="81">
        <v>0</v>
      </c>
      <c r="AK97" s="81">
        <v>0</v>
      </c>
      <c r="AL97" s="81">
        <v>0</v>
      </c>
      <c r="AM97" s="81">
        <v>1</v>
      </c>
      <c r="AN97" s="81">
        <v>0</v>
      </c>
      <c r="AO97" s="81">
        <v>0</v>
      </c>
      <c r="AP97" s="81">
        <v>0</v>
      </c>
      <c r="AQ97" s="81">
        <v>0</v>
      </c>
      <c r="AR97" s="81">
        <v>0</v>
      </c>
      <c r="AS97" s="81">
        <v>0</v>
      </c>
      <c r="AT97" s="81">
        <v>0</v>
      </c>
      <c r="AU97" s="81">
        <v>0</v>
      </c>
      <c r="AV97" s="81">
        <v>0</v>
      </c>
      <c r="AW97" s="81">
        <v>0</v>
      </c>
      <c r="AX97" s="81">
        <v>0</v>
      </c>
      <c r="AY97" s="81">
        <v>1</v>
      </c>
      <c r="AZ97" s="81">
        <v>0</v>
      </c>
      <c r="BA97" s="81">
        <v>0</v>
      </c>
      <c r="BB97" s="81">
        <v>1</v>
      </c>
      <c r="BC97" s="81">
        <v>0</v>
      </c>
      <c r="BD97" s="81">
        <v>0</v>
      </c>
      <c r="BE97" s="81">
        <v>0</v>
      </c>
      <c r="BF97" s="81">
        <v>0</v>
      </c>
      <c r="BG97" s="81">
        <v>1</v>
      </c>
      <c r="BH97" s="81">
        <v>0</v>
      </c>
      <c r="BI97" s="81">
        <v>0</v>
      </c>
      <c r="BJ97" s="81">
        <v>1</v>
      </c>
      <c r="BK97" s="81">
        <v>0</v>
      </c>
      <c r="BL97" s="81">
        <v>0</v>
      </c>
      <c r="BM97" s="81">
        <v>0</v>
      </c>
      <c r="BN97" s="81">
        <v>0</v>
      </c>
      <c r="BO97" s="81">
        <v>2</v>
      </c>
      <c r="BP97" s="81">
        <v>2</v>
      </c>
      <c r="BQ97" s="81">
        <v>1</v>
      </c>
      <c r="BR97" s="81">
        <v>2</v>
      </c>
      <c r="BS97" s="81">
        <v>2</v>
      </c>
      <c r="BT97" s="81">
        <v>2</v>
      </c>
      <c r="BU97" s="81">
        <v>1</v>
      </c>
      <c r="BV97" s="81">
        <v>1</v>
      </c>
      <c r="BW97" s="81">
        <v>2</v>
      </c>
      <c r="BX97" s="81">
        <v>2</v>
      </c>
      <c r="BY97" s="81">
        <v>2</v>
      </c>
      <c r="BZ97" s="81">
        <v>1</v>
      </c>
      <c r="CA97" s="81">
        <v>2</v>
      </c>
      <c r="CB97" s="81">
        <v>2</v>
      </c>
      <c r="CC97" s="81">
        <v>2</v>
      </c>
      <c r="CD97" s="81">
        <v>2</v>
      </c>
      <c r="CE97" s="81">
        <v>2</v>
      </c>
      <c r="CF97" s="81">
        <v>1</v>
      </c>
      <c r="CG97" s="81">
        <v>2</v>
      </c>
      <c r="CH97" s="81">
        <v>0</v>
      </c>
      <c r="CI97" s="81">
        <v>1</v>
      </c>
      <c r="CJ97" s="81">
        <v>0</v>
      </c>
      <c r="CK97" s="81">
        <v>1</v>
      </c>
      <c r="CL97" s="81">
        <v>0</v>
      </c>
      <c r="CM97" s="81">
        <v>0</v>
      </c>
      <c r="CN97" s="81">
        <v>0</v>
      </c>
      <c r="CO97" s="81">
        <v>2</v>
      </c>
      <c r="CP97" s="81">
        <v>2</v>
      </c>
      <c r="CQ97" s="81">
        <v>2</v>
      </c>
      <c r="CR97" s="81">
        <v>2</v>
      </c>
      <c r="CS97" s="81">
        <v>2</v>
      </c>
      <c r="CT97" s="81">
        <v>2</v>
      </c>
      <c r="CU97" s="81">
        <v>0</v>
      </c>
      <c r="CV97" s="81">
        <v>1</v>
      </c>
      <c r="CW97" s="81">
        <v>0</v>
      </c>
      <c r="CX97" s="81">
        <v>1</v>
      </c>
      <c r="CY97" s="81">
        <v>1</v>
      </c>
      <c r="CZ97" s="81">
        <v>0</v>
      </c>
      <c r="DA97" s="81">
        <v>1</v>
      </c>
    </row>
    <row r="98" spans="1:105" ht="12" customHeight="1" x14ac:dyDescent="0.3">
      <c r="A98" s="81" t="s">
        <v>701</v>
      </c>
      <c r="B98" s="81" t="s">
        <v>1446</v>
      </c>
      <c r="C98" s="81" t="s">
        <v>1447</v>
      </c>
      <c r="D98" s="81" t="s">
        <v>702</v>
      </c>
      <c r="E98" s="81" t="s">
        <v>397</v>
      </c>
      <c r="F98" s="81" t="s">
        <v>397</v>
      </c>
      <c r="G98" s="81" t="s">
        <v>396</v>
      </c>
      <c r="H98" s="94">
        <v>20</v>
      </c>
      <c r="I98" s="81" t="s">
        <v>6</v>
      </c>
      <c r="J98" s="81" t="s">
        <v>438</v>
      </c>
      <c r="K98" s="81">
        <v>20</v>
      </c>
      <c r="L98" s="81" t="s">
        <v>435</v>
      </c>
      <c r="M98" s="81" t="s">
        <v>444</v>
      </c>
      <c r="N98" s="81" t="s">
        <v>1430</v>
      </c>
      <c r="O98" s="81" t="s">
        <v>1448</v>
      </c>
      <c r="P98" s="81" t="s">
        <v>414</v>
      </c>
      <c r="Q98" s="81" t="s">
        <v>703</v>
      </c>
      <c r="R98" s="81">
        <v>0</v>
      </c>
      <c r="S98" s="81">
        <v>0</v>
      </c>
      <c r="T98" s="81">
        <v>0</v>
      </c>
      <c r="U98" s="81">
        <v>1</v>
      </c>
      <c r="V98" s="81">
        <v>0</v>
      </c>
      <c r="W98" s="81">
        <v>1</v>
      </c>
      <c r="X98" s="81">
        <v>0</v>
      </c>
      <c r="Y98" s="81">
        <v>0</v>
      </c>
      <c r="Z98" s="81">
        <v>0</v>
      </c>
      <c r="AA98" s="81">
        <v>1</v>
      </c>
      <c r="AB98" s="81">
        <v>0</v>
      </c>
      <c r="AC98" s="81">
        <v>0</v>
      </c>
      <c r="AD98" s="81">
        <v>0</v>
      </c>
      <c r="AE98" s="81">
        <v>0</v>
      </c>
      <c r="AF98" s="81">
        <v>0</v>
      </c>
      <c r="AG98" s="81">
        <v>1</v>
      </c>
      <c r="AH98" s="81">
        <v>0</v>
      </c>
      <c r="AI98" s="81">
        <v>0</v>
      </c>
      <c r="AJ98" s="81">
        <v>0</v>
      </c>
      <c r="AK98" s="81">
        <v>0</v>
      </c>
      <c r="AL98" s="81">
        <v>0</v>
      </c>
      <c r="AM98" s="81">
        <v>1</v>
      </c>
      <c r="AN98" s="81">
        <v>0</v>
      </c>
      <c r="AO98" s="81">
        <v>0</v>
      </c>
      <c r="AP98" s="81">
        <v>0</v>
      </c>
      <c r="AQ98" s="81">
        <v>0</v>
      </c>
      <c r="AR98" s="81">
        <v>0</v>
      </c>
      <c r="AS98" s="81">
        <v>0</v>
      </c>
      <c r="AT98" s="81">
        <v>0</v>
      </c>
      <c r="AU98" s="81">
        <v>0</v>
      </c>
      <c r="AV98" s="81">
        <v>0</v>
      </c>
      <c r="AW98" s="81">
        <v>0</v>
      </c>
      <c r="AX98" s="81">
        <v>0</v>
      </c>
      <c r="AY98" s="81">
        <v>1</v>
      </c>
      <c r="AZ98" s="81">
        <v>0</v>
      </c>
      <c r="BA98" s="81">
        <v>0</v>
      </c>
      <c r="BB98" s="81">
        <v>1</v>
      </c>
      <c r="BC98" s="81">
        <v>0</v>
      </c>
      <c r="BD98" s="81">
        <v>0</v>
      </c>
      <c r="BE98" s="81">
        <v>0</v>
      </c>
      <c r="BF98" s="81">
        <v>0</v>
      </c>
      <c r="BG98" s="81">
        <v>1</v>
      </c>
      <c r="BH98" s="81">
        <v>0</v>
      </c>
      <c r="BI98" s="81">
        <v>0</v>
      </c>
      <c r="BJ98" s="81">
        <v>1</v>
      </c>
      <c r="BK98" s="81">
        <v>0</v>
      </c>
      <c r="BL98" s="81">
        <v>0</v>
      </c>
      <c r="BM98" s="81">
        <v>0</v>
      </c>
      <c r="BN98" s="81">
        <v>0</v>
      </c>
      <c r="BO98" s="81">
        <v>2</v>
      </c>
      <c r="BP98" s="81">
        <v>2</v>
      </c>
      <c r="BQ98" s="81">
        <v>1</v>
      </c>
      <c r="BR98" s="81">
        <v>2</v>
      </c>
      <c r="BS98" s="81">
        <v>2</v>
      </c>
      <c r="BT98" s="81">
        <v>2</v>
      </c>
      <c r="BU98" s="81">
        <v>1</v>
      </c>
      <c r="BV98" s="81">
        <v>1</v>
      </c>
      <c r="BW98" s="81">
        <v>2</v>
      </c>
      <c r="BX98" s="81">
        <v>2</v>
      </c>
      <c r="BY98" s="81">
        <v>2</v>
      </c>
      <c r="BZ98" s="81">
        <v>1</v>
      </c>
      <c r="CA98" s="81">
        <v>2</v>
      </c>
      <c r="CB98" s="81">
        <v>2</v>
      </c>
      <c r="CC98" s="81">
        <v>2</v>
      </c>
      <c r="CD98" s="81">
        <v>2</v>
      </c>
      <c r="CE98" s="81">
        <v>2</v>
      </c>
      <c r="CF98" s="81">
        <v>1</v>
      </c>
      <c r="CG98" s="81">
        <v>2</v>
      </c>
      <c r="CH98" s="81">
        <v>0</v>
      </c>
      <c r="CI98" s="81">
        <v>1</v>
      </c>
      <c r="CJ98" s="81">
        <v>0</v>
      </c>
      <c r="CK98" s="81">
        <v>1</v>
      </c>
      <c r="CL98" s="81">
        <v>0</v>
      </c>
      <c r="CM98" s="81">
        <v>0</v>
      </c>
      <c r="CN98" s="81">
        <v>0</v>
      </c>
      <c r="CO98" s="81">
        <v>2</v>
      </c>
      <c r="CP98" s="81">
        <v>2</v>
      </c>
      <c r="CQ98" s="81">
        <v>2</v>
      </c>
      <c r="CR98" s="81">
        <v>2</v>
      </c>
      <c r="CS98" s="81">
        <v>2</v>
      </c>
      <c r="CT98" s="81">
        <v>2</v>
      </c>
      <c r="CU98" s="81">
        <v>0</v>
      </c>
      <c r="CV98" s="81">
        <v>1</v>
      </c>
      <c r="CW98" s="81">
        <v>0</v>
      </c>
      <c r="CX98" s="81">
        <v>1</v>
      </c>
      <c r="CY98" s="81">
        <v>1</v>
      </c>
      <c r="CZ98" s="81">
        <v>0</v>
      </c>
      <c r="DA98" s="81">
        <v>1</v>
      </c>
    </row>
    <row r="99" spans="1:105" ht="12" customHeight="1" x14ac:dyDescent="0.3">
      <c r="A99" s="81" t="s">
        <v>704</v>
      </c>
      <c r="B99" s="81" t="s">
        <v>1446</v>
      </c>
      <c r="C99" s="81" t="s">
        <v>1447</v>
      </c>
      <c r="D99" s="81" t="s">
        <v>705</v>
      </c>
      <c r="E99" s="81" t="s">
        <v>397</v>
      </c>
      <c r="F99" s="81" t="s">
        <v>397</v>
      </c>
      <c r="G99" s="81"/>
      <c r="H99" s="94">
        <v>20</v>
      </c>
      <c r="I99" s="81" t="s">
        <v>6</v>
      </c>
      <c r="J99" s="81" t="s">
        <v>438</v>
      </c>
      <c r="K99" s="81">
        <v>20</v>
      </c>
      <c r="L99" s="81" t="s">
        <v>435</v>
      </c>
      <c r="M99" s="81" t="s">
        <v>444</v>
      </c>
      <c r="N99" s="81" t="s">
        <v>1430</v>
      </c>
      <c r="O99" s="81" t="s">
        <v>1448</v>
      </c>
      <c r="P99" s="81" t="s">
        <v>414</v>
      </c>
      <c r="Q99" s="81" t="s">
        <v>690</v>
      </c>
      <c r="R99" s="81">
        <v>0</v>
      </c>
      <c r="S99" s="81">
        <v>0</v>
      </c>
      <c r="T99" s="81">
        <v>0</v>
      </c>
      <c r="U99" s="81">
        <v>1</v>
      </c>
      <c r="V99" s="81">
        <v>0</v>
      </c>
      <c r="W99" s="81">
        <v>1</v>
      </c>
      <c r="X99" s="81">
        <v>0</v>
      </c>
      <c r="Y99" s="81">
        <v>0</v>
      </c>
      <c r="Z99" s="81">
        <v>0</v>
      </c>
      <c r="AA99" s="81">
        <v>1</v>
      </c>
      <c r="AB99" s="81">
        <v>0</v>
      </c>
      <c r="AC99" s="81">
        <v>0</v>
      </c>
      <c r="AD99" s="81">
        <v>0</v>
      </c>
      <c r="AE99" s="81">
        <v>0</v>
      </c>
      <c r="AF99" s="81">
        <v>0</v>
      </c>
      <c r="AG99" s="81">
        <v>1</v>
      </c>
      <c r="AH99" s="81">
        <v>0</v>
      </c>
      <c r="AI99" s="81">
        <v>0</v>
      </c>
      <c r="AJ99" s="81">
        <v>0</v>
      </c>
      <c r="AK99" s="81">
        <v>0</v>
      </c>
      <c r="AL99" s="81">
        <v>0</v>
      </c>
      <c r="AM99" s="81">
        <v>1</v>
      </c>
      <c r="AN99" s="81">
        <v>0</v>
      </c>
      <c r="AO99" s="81">
        <v>0</v>
      </c>
      <c r="AP99" s="81">
        <v>0</v>
      </c>
      <c r="AQ99" s="81">
        <v>0</v>
      </c>
      <c r="AR99" s="81">
        <v>0</v>
      </c>
      <c r="AS99" s="81">
        <v>0</v>
      </c>
      <c r="AT99" s="81">
        <v>0</v>
      </c>
      <c r="AU99" s="81">
        <v>0</v>
      </c>
      <c r="AV99" s="81">
        <v>0</v>
      </c>
      <c r="AW99" s="81">
        <v>0</v>
      </c>
      <c r="AX99" s="81">
        <v>0</v>
      </c>
      <c r="AY99" s="81">
        <v>1</v>
      </c>
      <c r="AZ99" s="81">
        <v>0</v>
      </c>
      <c r="BA99" s="81">
        <v>0</v>
      </c>
      <c r="BB99" s="81">
        <v>1</v>
      </c>
      <c r="BC99" s="81">
        <v>0</v>
      </c>
      <c r="BD99" s="81">
        <v>0</v>
      </c>
      <c r="BE99" s="81">
        <v>0</v>
      </c>
      <c r="BF99" s="81">
        <v>0</v>
      </c>
      <c r="BG99" s="81">
        <v>1</v>
      </c>
      <c r="BH99" s="81">
        <v>0</v>
      </c>
      <c r="BI99" s="81">
        <v>0</v>
      </c>
      <c r="BJ99" s="81">
        <v>1</v>
      </c>
      <c r="BK99" s="81">
        <v>0</v>
      </c>
      <c r="BL99" s="81">
        <v>0</v>
      </c>
      <c r="BM99" s="81">
        <v>0</v>
      </c>
      <c r="BN99" s="81">
        <v>0</v>
      </c>
      <c r="BO99" s="81">
        <v>2</v>
      </c>
      <c r="BP99" s="81">
        <v>2</v>
      </c>
      <c r="BQ99" s="81">
        <v>1</v>
      </c>
      <c r="BR99" s="81">
        <v>2</v>
      </c>
      <c r="BS99" s="81">
        <v>2</v>
      </c>
      <c r="BT99" s="81">
        <v>2</v>
      </c>
      <c r="BU99" s="81">
        <v>1</v>
      </c>
      <c r="BV99" s="81">
        <v>1</v>
      </c>
      <c r="BW99" s="81">
        <v>2</v>
      </c>
      <c r="BX99" s="81">
        <v>2</v>
      </c>
      <c r="BY99" s="81">
        <v>2</v>
      </c>
      <c r="BZ99" s="81">
        <v>1</v>
      </c>
      <c r="CA99" s="81">
        <v>2</v>
      </c>
      <c r="CB99" s="81">
        <v>2</v>
      </c>
      <c r="CC99" s="81">
        <v>2</v>
      </c>
      <c r="CD99" s="81">
        <v>2</v>
      </c>
      <c r="CE99" s="81">
        <v>2</v>
      </c>
      <c r="CF99" s="81">
        <v>1</v>
      </c>
      <c r="CG99" s="81">
        <v>2</v>
      </c>
      <c r="CH99" s="81">
        <v>0</v>
      </c>
      <c r="CI99" s="81">
        <v>1</v>
      </c>
      <c r="CJ99" s="81">
        <v>0</v>
      </c>
      <c r="CK99" s="81">
        <v>1</v>
      </c>
      <c r="CL99" s="81">
        <v>0</v>
      </c>
      <c r="CM99" s="81">
        <v>0</v>
      </c>
      <c r="CN99" s="81">
        <v>0</v>
      </c>
      <c r="CO99" s="81">
        <v>2</v>
      </c>
      <c r="CP99" s="81">
        <v>2</v>
      </c>
      <c r="CQ99" s="81">
        <v>2</v>
      </c>
      <c r="CR99" s="81">
        <v>2</v>
      </c>
      <c r="CS99" s="81">
        <v>2</v>
      </c>
      <c r="CT99" s="81">
        <v>2</v>
      </c>
      <c r="CU99" s="81">
        <v>0</v>
      </c>
      <c r="CV99" s="81">
        <v>1</v>
      </c>
      <c r="CW99" s="81">
        <v>0</v>
      </c>
      <c r="CX99" s="81">
        <v>1</v>
      </c>
      <c r="CY99" s="81">
        <v>1</v>
      </c>
      <c r="CZ99" s="81">
        <v>0</v>
      </c>
      <c r="DA99" s="81">
        <v>1</v>
      </c>
    </row>
    <row r="100" spans="1:105" ht="12" customHeight="1" x14ac:dyDescent="0.3">
      <c r="A100" s="81" t="s">
        <v>706</v>
      </c>
      <c r="B100" s="81" t="s">
        <v>1446</v>
      </c>
      <c r="C100" s="81" t="s">
        <v>1447</v>
      </c>
      <c r="D100" s="81" t="s">
        <v>707</v>
      </c>
      <c r="E100" s="81" t="s">
        <v>397</v>
      </c>
      <c r="F100" s="81" t="s">
        <v>397</v>
      </c>
      <c r="G100" s="81"/>
      <c r="H100" s="94">
        <v>20</v>
      </c>
      <c r="I100" s="81" t="s">
        <v>6</v>
      </c>
      <c r="J100" s="81" t="s">
        <v>438</v>
      </c>
      <c r="K100" s="81">
        <v>20</v>
      </c>
      <c r="L100" s="81" t="s">
        <v>435</v>
      </c>
      <c r="M100" s="81" t="s">
        <v>444</v>
      </c>
      <c r="N100" s="81" t="s">
        <v>1430</v>
      </c>
      <c r="O100" s="81" t="s">
        <v>1448</v>
      </c>
      <c r="P100" s="81" t="s">
        <v>414</v>
      </c>
      <c r="Q100" s="81" t="s">
        <v>690</v>
      </c>
      <c r="R100" s="81">
        <v>0</v>
      </c>
      <c r="S100" s="81">
        <v>0</v>
      </c>
      <c r="T100" s="81">
        <v>0</v>
      </c>
      <c r="U100" s="81">
        <v>1</v>
      </c>
      <c r="V100" s="81">
        <v>0</v>
      </c>
      <c r="W100" s="81">
        <v>1</v>
      </c>
      <c r="X100" s="81">
        <v>0</v>
      </c>
      <c r="Y100" s="81">
        <v>0</v>
      </c>
      <c r="Z100" s="81">
        <v>0</v>
      </c>
      <c r="AA100" s="81">
        <v>1</v>
      </c>
      <c r="AB100" s="81">
        <v>0</v>
      </c>
      <c r="AC100" s="81">
        <v>0</v>
      </c>
      <c r="AD100" s="81">
        <v>0</v>
      </c>
      <c r="AE100" s="81">
        <v>0</v>
      </c>
      <c r="AF100" s="81">
        <v>0</v>
      </c>
      <c r="AG100" s="81">
        <v>1</v>
      </c>
      <c r="AH100" s="81">
        <v>0</v>
      </c>
      <c r="AI100" s="81">
        <v>0</v>
      </c>
      <c r="AJ100" s="81">
        <v>0</v>
      </c>
      <c r="AK100" s="81">
        <v>0</v>
      </c>
      <c r="AL100" s="81">
        <v>0</v>
      </c>
      <c r="AM100" s="81">
        <v>1</v>
      </c>
      <c r="AN100" s="81">
        <v>0</v>
      </c>
      <c r="AO100" s="81">
        <v>0</v>
      </c>
      <c r="AP100" s="81">
        <v>0</v>
      </c>
      <c r="AQ100" s="81">
        <v>0</v>
      </c>
      <c r="AR100" s="81">
        <v>0</v>
      </c>
      <c r="AS100" s="81">
        <v>0</v>
      </c>
      <c r="AT100" s="81">
        <v>0</v>
      </c>
      <c r="AU100" s="81">
        <v>0</v>
      </c>
      <c r="AV100" s="81">
        <v>0</v>
      </c>
      <c r="AW100" s="81">
        <v>0</v>
      </c>
      <c r="AX100" s="81">
        <v>0</v>
      </c>
      <c r="AY100" s="81">
        <v>1</v>
      </c>
      <c r="AZ100" s="81">
        <v>0</v>
      </c>
      <c r="BA100" s="81">
        <v>0</v>
      </c>
      <c r="BB100" s="81">
        <v>1</v>
      </c>
      <c r="BC100" s="81">
        <v>0</v>
      </c>
      <c r="BD100" s="81">
        <v>0</v>
      </c>
      <c r="BE100" s="81">
        <v>0</v>
      </c>
      <c r="BF100" s="81">
        <v>0</v>
      </c>
      <c r="BG100" s="81">
        <v>1</v>
      </c>
      <c r="BH100" s="81">
        <v>0</v>
      </c>
      <c r="BI100" s="81">
        <v>0</v>
      </c>
      <c r="BJ100" s="81">
        <v>1</v>
      </c>
      <c r="BK100" s="81">
        <v>0</v>
      </c>
      <c r="BL100" s="81">
        <v>0</v>
      </c>
      <c r="BM100" s="81">
        <v>0</v>
      </c>
      <c r="BN100" s="81">
        <v>0</v>
      </c>
      <c r="BO100" s="81">
        <v>2</v>
      </c>
      <c r="BP100" s="81">
        <v>2</v>
      </c>
      <c r="BQ100" s="81">
        <v>1</v>
      </c>
      <c r="BR100" s="81">
        <v>2</v>
      </c>
      <c r="BS100" s="81">
        <v>2</v>
      </c>
      <c r="BT100" s="81">
        <v>2</v>
      </c>
      <c r="BU100" s="81">
        <v>1</v>
      </c>
      <c r="BV100" s="81">
        <v>1</v>
      </c>
      <c r="BW100" s="81">
        <v>2</v>
      </c>
      <c r="BX100" s="81">
        <v>2</v>
      </c>
      <c r="BY100" s="81">
        <v>2</v>
      </c>
      <c r="BZ100" s="81">
        <v>1</v>
      </c>
      <c r="CA100" s="81">
        <v>2</v>
      </c>
      <c r="CB100" s="81">
        <v>2</v>
      </c>
      <c r="CC100" s="81">
        <v>2</v>
      </c>
      <c r="CD100" s="81">
        <v>2</v>
      </c>
      <c r="CE100" s="81">
        <v>2</v>
      </c>
      <c r="CF100" s="81">
        <v>1</v>
      </c>
      <c r="CG100" s="81">
        <v>2</v>
      </c>
      <c r="CH100" s="81">
        <v>0</v>
      </c>
      <c r="CI100" s="81">
        <v>1</v>
      </c>
      <c r="CJ100" s="81">
        <v>0</v>
      </c>
      <c r="CK100" s="81">
        <v>1</v>
      </c>
      <c r="CL100" s="81">
        <v>0</v>
      </c>
      <c r="CM100" s="81">
        <v>0</v>
      </c>
      <c r="CN100" s="81">
        <v>0</v>
      </c>
      <c r="CO100" s="81">
        <v>2</v>
      </c>
      <c r="CP100" s="81">
        <v>2</v>
      </c>
      <c r="CQ100" s="81">
        <v>2</v>
      </c>
      <c r="CR100" s="81">
        <v>2</v>
      </c>
      <c r="CS100" s="81">
        <v>2</v>
      </c>
      <c r="CT100" s="81">
        <v>2</v>
      </c>
      <c r="CU100" s="81">
        <v>0</v>
      </c>
      <c r="CV100" s="81">
        <v>1</v>
      </c>
      <c r="CW100" s="81">
        <v>0</v>
      </c>
      <c r="CX100" s="81">
        <v>1</v>
      </c>
      <c r="CY100" s="81">
        <v>1</v>
      </c>
      <c r="CZ100" s="81">
        <v>0</v>
      </c>
      <c r="DA100" s="81">
        <v>1</v>
      </c>
    </row>
    <row r="101" spans="1:105" ht="12" customHeight="1" x14ac:dyDescent="0.3">
      <c r="A101" s="81" t="s">
        <v>708</v>
      </c>
      <c r="B101" s="81" t="s">
        <v>1446</v>
      </c>
      <c r="C101" s="81" t="s">
        <v>1447</v>
      </c>
      <c r="D101" s="81" t="s">
        <v>709</v>
      </c>
      <c r="E101" s="81" t="s">
        <v>397</v>
      </c>
      <c r="F101" s="81" t="s">
        <v>397</v>
      </c>
      <c r="G101" s="81"/>
      <c r="H101" s="94">
        <v>20</v>
      </c>
      <c r="I101" s="81" t="s">
        <v>6</v>
      </c>
      <c r="J101" s="81" t="s">
        <v>438</v>
      </c>
      <c r="K101" s="81">
        <v>20</v>
      </c>
      <c r="L101" s="81" t="s">
        <v>435</v>
      </c>
      <c r="M101" s="81" t="s">
        <v>444</v>
      </c>
      <c r="N101" s="81" t="s">
        <v>1430</v>
      </c>
      <c r="O101" s="81" t="s">
        <v>1448</v>
      </c>
      <c r="P101" s="81" t="s">
        <v>414</v>
      </c>
      <c r="Q101" s="81" t="s">
        <v>690</v>
      </c>
      <c r="R101" s="81">
        <v>0</v>
      </c>
      <c r="S101" s="81">
        <v>0</v>
      </c>
      <c r="T101" s="81">
        <v>0</v>
      </c>
      <c r="U101" s="81">
        <v>1</v>
      </c>
      <c r="V101" s="81">
        <v>0</v>
      </c>
      <c r="W101" s="81">
        <v>1</v>
      </c>
      <c r="X101" s="81">
        <v>0</v>
      </c>
      <c r="Y101" s="81">
        <v>0</v>
      </c>
      <c r="Z101" s="81">
        <v>0</v>
      </c>
      <c r="AA101" s="81">
        <v>1</v>
      </c>
      <c r="AB101" s="81">
        <v>0</v>
      </c>
      <c r="AC101" s="81">
        <v>0</v>
      </c>
      <c r="AD101" s="81">
        <v>0</v>
      </c>
      <c r="AE101" s="81">
        <v>0</v>
      </c>
      <c r="AF101" s="81">
        <v>0</v>
      </c>
      <c r="AG101" s="81">
        <v>1</v>
      </c>
      <c r="AH101" s="81">
        <v>0</v>
      </c>
      <c r="AI101" s="81">
        <v>0</v>
      </c>
      <c r="AJ101" s="81">
        <v>0</v>
      </c>
      <c r="AK101" s="81">
        <v>0</v>
      </c>
      <c r="AL101" s="81">
        <v>0</v>
      </c>
      <c r="AM101" s="81">
        <v>1</v>
      </c>
      <c r="AN101" s="81">
        <v>0</v>
      </c>
      <c r="AO101" s="81">
        <v>0</v>
      </c>
      <c r="AP101" s="81">
        <v>0</v>
      </c>
      <c r="AQ101" s="81">
        <v>0</v>
      </c>
      <c r="AR101" s="81">
        <v>0</v>
      </c>
      <c r="AS101" s="81">
        <v>0</v>
      </c>
      <c r="AT101" s="81">
        <v>0</v>
      </c>
      <c r="AU101" s="81">
        <v>0</v>
      </c>
      <c r="AV101" s="81">
        <v>0</v>
      </c>
      <c r="AW101" s="81">
        <v>0</v>
      </c>
      <c r="AX101" s="81">
        <v>0</v>
      </c>
      <c r="AY101" s="81">
        <v>1</v>
      </c>
      <c r="AZ101" s="81">
        <v>0</v>
      </c>
      <c r="BA101" s="81">
        <v>0</v>
      </c>
      <c r="BB101" s="81">
        <v>1</v>
      </c>
      <c r="BC101" s="81">
        <v>0</v>
      </c>
      <c r="BD101" s="81">
        <v>0</v>
      </c>
      <c r="BE101" s="81">
        <v>0</v>
      </c>
      <c r="BF101" s="81">
        <v>0</v>
      </c>
      <c r="BG101" s="81">
        <v>1</v>
      </c>
      <c r="BH101" s="81">
        <v>0</v>
      </c>
      <c r="BI101" s="81">
        <v>0</v>
      </c>
      <c r="BJ101" s="81">
        <v>1</v>
      </c>
      <c r="BK101" s="81">
        <v>0</v>
      </c>
      <c r="BL101" s="81">
        <v>0</v>
      </c>
      <c r="BM101" s="81">
        <v>0</v>
      </c>
      <c r="BN101" s="81">
        <v>0</v>
      </c>
      <c r="BO101" s="81">
        <v>2</v>
      </c>
      <c r="BP101" s="81">
        <v>2</v>
      </c>
      <c r="BQ101" s="81">
        <v>1</v>
      </c>
      <c r="BR101" s="81">
        <v>2</v>
      </c>
      <c r="BS101" s="81">
        <v>2</v>
      </c>
      <c r="BT101" s="81">
        <v>2</v>
      </c>
      <c r="BU101" s="81">
        <v>1</v>
      </c>
      <c r="BV101" s="81">
        <v>1</v>
      </c>
      <c r="BW101" s="81">
        <v>2</v>
      </c>
      <c r="BX101" s="81">
        <v>2</v>
      </c>
      <c r="BY101" s="81">
        <v>2</v>
      </c>
      <c r="BZ101" s="81">
        <v>1</v>
      </c>
      <c r="CA101" s="81">
        <v>2</v>
      </c>
      <c r="CB101" s="81">
        <v>2</v>
      </c>
      <c r="CC101" s="81">
        <v>2</v>
      </c>
      <c r="CD101" s="81">
        <v>2</v>
      </c>
      <c r="CE101" s="81">
        <v>2</v>
      </c>
      <c r="CF101" s="81">
        <v>1</v>
      </c>
      <c r="CG101" s="81">
        <v>2</v>
      </c>
      <c r="CH101" s="81">
        <v>0</v>
      </c>
      <c r="CI101" s="81">
        <v>1</v>
      </c>
      <c r="CJ101" s="81">
        <v>0</v>
      </c>
      <c r="CK101" s="81">
        <v>1</v>
      </c>
      <c r="CL101" s="81">
        <v>0</v>
      </c>
      <c r="CM101" s="81">
        <v>0</v>
      </c>
      <c r="CN101" s="81">
        <v>0</v>
      </c>
      <c r="CO101" s="81">
        <v>2</v>
      </c>
      <c r="CP101" s="81">
        <v>2</v>
      </c>
      <c r="CQ101" s="81">
        <v>2</v>
      </c>
      <c r="CR101" s="81">
        <v>2</v>
      </c>
      <c r="CS101" s="81">
        <v>2</v>
      </c>
      <c r="CT101" s="81">
        <v>2</v>
      </c>
      <c r="CU101" s="81">
        <v>0</v>
      </c>
      <c r="CV101" s="81">
        <v>1</v>
      </c>
      <c r="CW101" s="81">
        <v>0</v>
      </c>
      <c r="CX101" s="81">
        <v>1</v>
      </c>
      <c r="CY101" s="81">
        <v>1</v>
      </c>
      <c r="CZ101" s="81">
        <v>0</v>
      </c>
      <c r="DA101" s="81">
        <v>1</v>
      </c>
    </row>
    <row r="102" spans="1:105" ht="12" customHeight="1" x14ac:dyDescent="0.3">
      <c r="A102" s="81" t="s">
        <v>710</v>
      </c>
      <c r="B102" s="81" t="s">
        <v>1446</v>
      </c>
      <c r="C102" s="81" t="s">
        <v>1447</v>
      </c>
      <c r="D102" s="81" t="s">
        <v>711</v>
      </c>
      <c r="E102" s="81" t="s">
        <v>397</v>
      </c>
      <c r="F102" s="81" t="s">
        <v>397</v>
      </c>
      <c r="G102" s="81"/>
      <c r="H102" s="94">
        <v>20</v>
      </c>
      <c r="I102" s="81" t="s">
        <v>6</v>
      </c>
      <c r="J102" s="81" t="s">
        <v>438</v>
      </c>
      <c r="K102" s="81">
        <v>20</v>
      </c>
      <c r="L102" s="81" t="s">
        <v>435</v>
      </c>
      <c r="M102" s="81" t="s">
        <v>444</v>
      </c>
      <c r="N102" s="81" t="s">
        <v>1430</v>
      </c>
      <c r="O102" s="81" t="s">
        <v>1448</v>
      </c>
      <c r="P102" s="81" t="s">
        <v>414</v>
      </c>
      <c r="Q102" s="81" t="s">
        <v>690</v>
      </c>
      <c r="R102" s="81">
        <v>0</v>
      </c>
      <c r="S102" s="81">
        <v>0</v>
      </c>
      <c r="T102" s="81">
        <v>0</v>
      </c>
      <c r="U102" s="81">
        <v>1</v>
      </c>
      <c r="V102" s="81">
        <v>0</v>
      </c>
      <c r="W102" s="81">
        <v>1</v>
      </c>
      <c r="X102" s="81">
        <v>0</v>
      </c>
      <c r="Y102" s="81">
        <v>0</v>
      </c>
      <c r="Z102" s="81">
        <v>0</v>
      </c>
      <c r="AA102" s="81">
        <v>1</v>
      </c>
      <c r="AB102" s="81">
        <v>0</v>
      </c>
      <c r="AC102" s="81">
        <v>0</v>
      </c>
      <c r="AD102" s="81">
        <v>0</v>
      </c>
      <c r="AE102" s="81">
        <v>0</v>
      </c>
      <c r="AF102" s="81">
        <v>0</v>
      </c>
      <c r="AG102" s="81">
        <v>1</v>
      </c>
      <c r="AH102" s="81">
        <v>0</v>
      </c>
      <c r="AI102" s="81">
        <v>0</v>
      </c>
      <c r="AJ102" s="81">
        <v>0</v>
      </c>
      <c r="AK102" s="81">
        <v>0</v>
      </c>
      <c r="AL102" s="81">
        <v>0</v>
      </c>
      <c r="AM102" s="81">
        <v>1</v>
      </c>
      <c r="AN102" s="81">
        <v>0</v>
      </c>
      <c r="AO102" s="81">
        <v>0</v>
      </c>
      <c r="AP102" s="81">
        <v>0</v>
      </c>
      <c r="AQ102" s="81">
        <v>0</v>
      </c>
      <c r="AR102" s="81">
        <v>0</v>
      </c>
      <c r="AS102" s="81">
        <v>0</v>
      </c>
      <c r="AT102" s="81">
        <v>0</v>
      </c>
      <c r="AU102" s="81">
        <v>0</v>
      </c>
      <c r="AV102" s="81">
        <v>0</v>
      </c>
      <c r="AW102" s="81">
        <v>0</v>
      </c>
      <c r="AX102" s="81">
        <v>0</v>
      </c>
      <c r="AY102" s="81">
        <v>1</v>
      </c>
      <c r="AZ102" s="81">
        <v>0</v>
      </c>
      <c r="BA102" s="81">
        <v>0</v>
      </c>
      <c r="BB102" s="81">
        <v>1</v>
      </c>
      <c r="BC102" s="81">
        <v>0</v>
      </c>
      <c r="BD102" s="81">
        <v>0</v>
      </c>
      <c r="BE102" s="81">
        <v>0</v>
      </c>
      <c r="BF102" s="81">
        <v>0</v>
      </c>
      <c r="BG102" s="81">
        <v>1</v>
      </c>
      <c r="BH102" s="81">
        <v>0</v>
      </c>
      <c r="BI102" s="81">
        <v>0</v>
      </c>
      <c r="BJ102" s="81">
        <v>1</v>
      </c>
      <c r="BK102" s="81">
        <v>0</v>
      </c>
      <c r="BL102" s="81">
        <v>0</v>
      </c>
      <c r="BM102" s="81">
        <v>0</v>
      </c>
      <c r="BN102" s="81">
        <v>0</v>
      </c>
      <c r="BO102" s="81">
        <v>2</v>
      </c>
      <c r="BP102" s="81">
        <v>2</v>
      </c>
      <c r="BQ102" s="81">
        <v>1</v>
      </c>
      <c r="BR102" s="81">
        <v>2</v>
      </c>
      <c r="BS102" s="81">
        <v>2</v>
      </c>
      <c r="BT102" s="81">
        <v>2</v>
      </c>
      <c r="BU102" s="81">
        <v>1</v>
      </c>
      <c r="BV102" s="81">
        <v>1</v>
      </c>
      <c r="BW102" s="81">
        <v>2</v>
      </c>
      <c r="BX102" s="81">
        <v>2</v>
      </c>
      <c r="BY102" s="81">
        <v>2</v>
      </c>
      <c r="BZ102" s="81">
        <v>1</v>
      </c>
      <c r="CA102" s="81">
        <v>2</v>
      </c>
      <c r="CB102" s="81">
        <v>2</v>
      </c>
      <c r="CC102" s="81">
        <v>2</v>
      </c>
      <c r="CD102" s="81">
        <v>2</v>
      </c>
      <c r="CE102" s="81">
        <v>2</v>
      </c>
      <c r="CF102" s="81">
        <v>1</v>
      </c>
      <c r="CG102" s="81">
        <v>2</v>
      </c>
      <c r="CH102" s="81">
        <v>0</v>
      </c>
      <c r="CI102" s="81">
        <v>1</v>
      </c>
      <c r="CJ102" s="81">
        <v>0</v>
      </c>
      <c r="CK102" s="81">
        <v>1</v>
      </c>
      <c r="CL102" s="81">
        <v>0</v>
      </c>
      <c r="CM102" s="81">
        <v>0</v>
      </c>
      <c r="CN102" s="81">
        <v>0</v>
      </c>
      <c r="CO102" s="81">
        <v>2</v>
      </c>
      <c r="CP102" s="81">
        <v>2</v>
      </c>
      <c r="CQ102" s="81">
        <v>2</v>
      </c>
      <c r="CR102" s="81">
        <v>2</v>
      </c>
      <c r="CS102" s="81">
        <v>2</v>
      </c>
      <c r="CT102" s="81">
        <v>2</v>
      </c>
      <c r="CU102" s="81">
        <v>0</v>
      </c>
      <c r="CV102" s="81">
        <v>1</v>
      </c>
      <c r="CW102" s="81">
        <v>0</v>
      </c>
      <c r="CX102" s="81">
        <v>1</v>
      </c>
      <c r="CY102" s="81">
        <v>1</v>
      </c>
      <c r="CZ102" s="81">
        <v>0</v>
      </c>
      <c r="DA102" s="81">
        <v>1</v>
      </c>
    </row>
    <row r="103" spans="1:105" ht="12" customHeight="1" x14ac:dyDescent="0.3">
      <c r="A103" s="81" t="s">
        <v>712</v>
      </c>
      <c r="B103" s="81" t="s">
        <v>1446</v>
      </c>
      <c r="C103" s="81" t="s">
        <v>1447</v>
      </c>
      <c r="D103" s="81" t="s">
        <v>713</v>
      </c>
      <c r="E103" s="81" t="s">
        <v>397</v>
      </c>
      <c r="F103" s="81" t="s">
        <v>397</v>
      </c>
      <c r="G103" s="81"/>
      <c r="H103" s="94">
        <v>20</v>
      </c>
      <c r="I103" s="81" t="s">
        <v>6</v>
      </c>
      <c r="J103" s="81" t="s">
        <v>438</v>
      </c>
      <c r="K103" s="81">
        <v>20</v>
      </c>
      <c r="L103" s="81" t="s">
        <v>435</v>
      </c>
      <c r="M103" s="81" t="s">
        <v>444</v>
      </c>
      <c r="N103" s="81" t="s">
        <v>1430</v>
      </c>
      <c r="O103" s="81" t="s">
        <v>1448</v>
      </c>
      <c r="P103" s="81" t="s">
        <v>414</v>
      </c>
      <c r="Q103" s="81" t="s">
        <v>690</v>
      </c>
      <c r="R103" s="81">
        <v>0</v>
      </c>
      <c r="S103" s="81">
        <v>0</v>
      </c>
      <c r="T103" s="81">
        <v>0</v>
      </c>
      <c r="U103" s="81">
        <v>1</v>
      </c>
      <c r="V103" s="81">
        <v>0</v>
      </c>
      <c r="W103" s="81">
        <v>1</v>
      </c>
      <c r="X103" s="81">
        <v>0</v>
      </c>
      <c r="Y103" s="81">
        <v>0</v>
      </c>
      <c r="Z103" s="81">
        <v>0</v>
      </c>
      <c r="AA103" s="81">
        <v>1</v>
      </c>
      <c r="AB103" s="81">
        <v>0</v>
      </c>
      <c r="AC103" s="81">
        <v>0</v>
      </c>
      <c r="AD103" s="81">
        <v>0</v>
      </c>
      <c r="AE103" s="81">
        <v>0</v>
      </c>
      <c r="AF103" s="81">
        <v>0</v>
      </c>
      <c r="AG103" s="81">
        <v>1</v>
      </c>
      <c r="AH103" s="81">
        <v>0</v>
      </c>
      <c r="AI103" s="81">
        <v>0</v>
      </c>
      <c r="AJ103" s="81">
        <v>0</v>
      </c>
      <c r="AK103" s="81">
        <v>0</v>
      </c>
      <c r="AL103" s="81">
        <v>0</v>
      </c>
      <c r="AM103" s="81">
        <v>1</v>
      </c>
      <c r="AN103" s="81">
        <v>0</v>
      </c>
      <c r="AO103" s="81">
        <v>0</v>
      </c>
      <c r="AP103" s="81">
        <v>0</v>
      </c>
      <c r="AQ103" s="81">
        <v>0</v>
      </c>
      <c r="AR103" s="81">
        <v>0</v>
      </c>
      <c r="AS103" s="81">
        <v>0</v>
      </c>
      <c r="AT103" s="81">
        <v>0</v>
      </c>
      <c r="AU103" s="81">
        <v>0</v>
      </c>
      <c r="AV103" s="81">
        <v>0</v>
      </c>
      <c r="AW103" s="81">
        <v>0</v>
      </c>
      <c r="AX103" s="81">
        <v>0</v>
      </c>
      <c r="AY103" s="81">
        <v>1</v>
      </c>
      <c r="AZ103" s="81">
        <v>0</v>
      </c>
      <c r="BA103" s="81">
        <v>0</v>
      </c>
      <c r="BB103" s="81">
        <v>1</v>
      </c>
      <c r="BC103" s="81">
        <v>0</v>
      </c>
      <c r="BD103" s="81">
        <v>0</v>
      </c>
      <c r="BE103" s="81">
        <v>0</v>
      </c>
      <c r="BF103" s="81">
        <v>0</v>
      </c>
      <c r="BG103" s="81">
        <v>1</v>
      </c>
      <c r="BH103" s="81">
        <v>0</v>
      </c>
      <c r="BI103" s="81">
        <v>0</v>
      </c>
      <c r="BJ103" s="81">
        <v>1</v>
      </c>
      <c r="BK103" s="81">
        <v>0</v>
      </c>
      <c r="BL103" s="81">
        <v>0</v>
      </c>
      <c r="BM103" s="81">
        <v>0</v>
      </c>
      <c r="BN103" s="81">
        <v>0</v>
      </c>
      <c r="BO103" s="81">
        <v>2</v>
      </c>
      <c r="BP103" s="81">
        <v>2</v>
      </c>
      <c r="BQ103" s="81">
        <v>1</v>
      </c>
      <c r="BR103" s="81">
        <v>2</v>
      </c>
      <c r="BS103" s="81">
        <v>2</v>
      </c>
      <c r="BT103" s="81">
        <v>2</v>
      </c>
      <c r="BU103" s="81">
        <v>1</v>
      </c>
      <c r="BV103" s="81">
        <v>1</v>
      </c>
      <c r="BW103" s="81">
        <v>2</v>
      </c>
      <c r="BX103" s="81">
        <v>2</v>
      </c>
      <c r="BY103" s="81">
        <v>2</v>
      </c>
      <c r="BZ103" s="81">
        <v>1</v>
      </c>
      <c r="CA103" s="81">
        <v>2</v>
      </c>
      <c r="CB103" s="81">
        <v>2</v>
      </c>
      <c r="CC103" s="81">
        <v>2</v>
      </c>
      <c r="CD103" s="81">
        <v>2</v>
      </c>
      <c r="CE103" s="81">
        <v>2</v>
      </c>
      <c r="CF103" s="81">
        <v>1</v>
      </c>
      <c r="CG103" s="81">
        <v>2</v>
      </c>
      <c r="CH103" s="81">
        <v>0</v>
      </c>
      <c r="CI103" s="81">
        <v>1</v>
      </c>
      <c r="CJ103" s="81">
        <v>0</v>
      </c>
      <c r="CK103" s="81">
        <v>1</v>
      </c>
      <c r="CL103" s="81">
        <v>0</v>
      </c>
      <c r="CM103" s="81">
        <v>0</v>
      </c>
      <c r="CN103" s="81">
        <v>0</v>
      </c>
      <c r="CO103" s="81">
        <v>2</v>
      </c>
      <c r="CP103" s="81">
        <v>2</v>
      </c>
      <c r="CQ103" s="81">
        <v>2</v>
      </c>
      <c r="CR103" s="81">
        <v>2</v>
      </c>
      <c r="CS103" s="81">
        <v>2</v>
      </c>
      <c r="CT103" s="81">
        <v>2</v>
      </c>
      <c r="CU103" s="81">
        <v>0</v>
      </c>
      <c r="CV103" s="81">
        <v>1</v>
      </c>
      <c r="CW103" s="81">
        <v>0</v>
      </c>
      <c r="CX103" s="81">
        <v>1</v>
      </c>
      <c r="CY103" s="81">
        <v>1</v>
      </c>
      <c r="CZ103" s="81">
        <v>0</v>
      </c>
      <c r="DA103" s="81">
        <v>1</v>
      </c>
    </row>
    <row r="104" spans="1:105" ht="12" customHeight="1" x14ac:dyDescent="0.3">
      <c r="A104" s="81" t="s">
        <v>714</v>
      </c>
      <c r="B104" s="81" t="s">
        <v>1446</v>
      </c>
      <c r="C104" s="81" t="s">
        <v>1447</v>
      </c>
      <c r="D104" s="81" t="s">
        <v>715</v>
      </c>
      <c r="E104" s="81" t="s">
        <v>397</v>
      </c>
      <c r="F104" s="81" t="s">
        <v>397</v>
      </c>
      <c r="G104" s="81"/>
      <c r="H104" s="94">
        <v>20</v>
      </c>
      <c r="I104" s="81" t="s">
        <v>6</v>
      </c>
      <c r="J104" s="81" t="s">
        <v>438</v>
      </c>
      <c r="K104" s="81">
        <v>20</v>
      </c>
      <c r="L104" s="81" t="s">
        <v>435</v>
      </c>
      <c r="M104" s="81" t="s">
        <v>444</v>
      </c>
      <c r="N104" s="81" t="s">
        <v>1430</v>
      </c>
      <c r="O104" s="81" t="s">
        <v>1448</v>
      </c>
      <c r="P104" s="81" t="s">
        <v>414</v>
      </c>
      <c r="Q104" s="81" t="s">
        <v>690</v>
      </c>
      <c r="R104" s="81">
        <v>0</v>
      </c>
      <c r="S104" s="81">
        <v>0</v>
      </c>
      <c r="T104" s="81">
        <v>0</v>
      </c>
      <c r="U104" s="81">
        <v>1</v>
      </c>
      <c r="V104" s="81">
        <v>0</v>
      </c>
      <c r="W104" s="81">
        <v>1</v>
      </c>
      <c r="X104" s="81">
        <v>0</v>
      </c>
      <c r="Y104" s="81">
        <v>0</v>
      </c>
      <c r="Z104" s="81">
        <v>0</v>
      </c>
      <c r="AA104" s="81">
        <v>1</v>
      </c>
      <c r="AB104" s="81">
        <v>0</v>
      </c>
      <c r="AC104" s="81">
        <v>0</v>
      </c>
      <c r="AD104" s="81">
        <v>0</v>
      </c>
      <c r="AE104" s="81">
        <v>0</v>
      </c>
      <c r="AF104" s="81">
        <v>0</v>
      </c>
      <c r="AG104" s="81">
        <v>1</v>
      </c>
      <c r="AH104" s="81">
        <v>0</v>
      </c>
      <c r="AI104" s="81">
        <v>0</v>
      </c>
      <c r="AJ104" s="81">
        <v>0</v>
      </c>
      <c r="AK104" s="81">
        <v>0</v>
      </c>
      <c r="AL104" s="81">
        <v>0</v>
      </c>
      <c r="AM104" s="81">
        <v>1</v>
      </c>
      <c r="AN104" s="81">
        <v>0</v>
      </c>
      <c r="AO104" s="81">
        <v>0</v>
      </c>
      <c r="AP104" s="81">
        <v>0</v>
      </c>
      <c r="AQ104" s="81">
        <v>0</v>
      </c>
      <c r="AR104" s="81">
        <v>0</v>
      </c>
      <c r="AS104" s="81">
        <v>0</v>
      </c>
      <c r="AT104" s="81">
        <v>0</v>
      </c>
      <c r="AU104" s="81">
        <v>0</v>
      </c>
      <c r="AV104" s="81">
        <v>0</v>
      </c>
      <c r="AW104" s="81">
        <v>0</v>
      </c>
      <c r="AX104" s="81">
        <v>0</v>
      </c>
      <c r="AY104" s="81">
        <v>1</v>
      </c>
      <c r="AZ104" s="81">
        <v>0</v>
      </c>
      <c r="BA104" s="81">
        <v>0</v>
      </c>
      <c r="BB104" s="81">
        <v>1</v>
      </c>
      <c r="BC104" s="81">
        <v>0</v>
      </c>
      <c r="BD104" s="81">
        <v>0</v>
      </c>
      <c r="BE104" s="81">
        <v>0</v>
      </c>
      <c r="BF104" s="81">
        <v>0</v>
      </c>
      <c r="BG104" s="81">
        <v>1</v>
      </c>
      <c r="BH104" s="81">
        <v>0</v>
      </c>
      <c r="BI104" s="81">
        <v>0</v>
      </c>
      <c r="BJ104" s="81">
        <v>1</v>
      </c>
      <c r="BK104" s="81">
        <v>0</v>
      </c>
      <c r="BL104" s="81">
        <v>0</v>
      </c>
      <c r="BM104" s="81">
        <v>0</v>
      </c>
      <c r="BN104" s="81">
        <v>0</v>
      </c>
      <c r="BO104" s="81">
        <v>2</v>
      </c>
      <c r="BP104" s="81">
        <v>2</v>
      </c>
      <c r="BQ104" s="81">
        <v>1</v>
      </c>
      <c r="BR104" s="81">
        <v>2</v>
      </c>
      <c r="BS104" s="81">
        <v>2</v>
      </c>
      <c r="BT104" s="81">
        <v>2</v>
      </c>
      <c r="BU104" s="81">
        <v>1</v>
      </c>
      <c r="BV104" s="81">
        <v>1</v>
      </c>
      <c r="BW104" s="81">
        <v>2</v>
      </c>
      <c r="BX104" s="81">
        <v>2</v>
      </c>
      <c r="BY104" s="81">
        <v>2</v>
      </c>
      <c r="BZ104" s="81">
        <v>1</v>
      </c>
      <c r="CA104" s="81">
        <v>2</v>
      </c>
      <c r="CB104" s="81">
        <v>2</v>
      </c>
      <c r="CC104" s="81">
        <v>2</v>
      </c>
      <c r="CD104" s="81">
        <v>2</v>
      </c>
      <c r="CE104" s="81">
        <v>2</v>
      </c>
      <c r="CF104" s="81">
        <v>1</v>
      </c>
      <c r="CG104" s="81">
        <v>2</v>
      </c>
      <c r="CH104" s="81">
        <v>0</v>
      </c>
      <c r="CI104" s="81">
        <v>1</v>
      </c>
      <c r="CJ104" s="81">
        <v>0</v>
      </c>
      <c r="CK104" s="81">
        <v>1</v>
      </c>
      <c r="CL104" s="81">
        <v>0</v>
      </c>
      <c r="CM104" s="81">
        <v>0</v>
      </c>
      <c r="CN104" s="81">
        <v>0</v>
      </c>
      <c r="CO104" s="81">
        <v>2</v>
      </c>
      <c r="CP104" s="81">
        <v>2</v>
      </c>
      <c r="CQ104" s="81">
        <v>2</v>
      </c>
      <c r="CR104" s="81">
        <v>2</v>
      </c>
      <c r="CS104" s="81">
        <v>2</v>
      </c>
      <c r="CT104" s="81">
        <v>2</v>
      </c>
      <c r="CU104" s="81">
        <v>0</v>
      </c>
      <c r="CV104" s="81">
        <v>1</v>
      </c>
      <c r="CW104" s="81">
        <v>0</v>
      </c>
      <c r="CX104" s="81">
        <v>1</v>
      </c>
      <c r="CY104" s="81">
        <v>1</v>
      </c>
      <c r="CZ104" s="81">
        <v>0</v>
      </c>
      <c r="DA104" s="81">
        <v>1</v>
      </c>
    </row>
    <row r="105" spans="1:105" ht="12" customHeight="1" x14ac:dyDescent="0.3">
      <c r="A105" s="81" t="s">
        <v>716</v>
      </c>
      <c r="B105" s="81" t="s">
        <v>1446</v>
      </c>
      <c r="C105" s="81" t="s">
        <v>1447</v>
      </c>
      <c r="D105" s="81" t="s">
        <v>717</v>
      </c>
      <c r="E105" s="81" t="s">
        <v>397</v>
      </c>
      <c r="F105" s="81" t="s">
        <v>397</v>
      </c>
      <c r="G105" s="81"/>
      <c r="H105" s="94">
        <v>20</v>
      </c>
      <c r="I105" s="81" t="s">
        <v>6</v>
      </c>
      <c r="J105" s="81" t="s">
        <v>438</v>
      </c>
      <c r="K105" s="81">
        <v>20</v>
      </c>
      <c r="L105" s="81" t="s">
        <v>435</v>
      </c>
      <c r="M105" s="81" t="s">
        <v>444</v>
      </c>
      <c r="N105" s="81" t="s">
        <v>1430</v>
      </c>
      <c r="O105" s="81" t="s">
        <v>1448</v>
      </c>
      <c r="P105" s="81" t="s">
        <v>414</v>
      </c>
      <c r="Q105" s="81" t="s">
        <v>690</v>
      </c>
      <c r="R105" s="81">
        <v>0</v>
      </c>
      <c r="S105" s="81">
        <v>0</v>
      </c>
      <c r="T105" s="81">
        <v>0</v>
      </c>
      <c r="U105" s="81">
        <v>1</v>
      </c>
      <c r="V105" s="81">
        <v>0</v>
      </c>
      <c r="W105" s="81">
        <v>1</v>
      </c>
      <c r="X105" s="81">
        <v>0</v>
      </c>
      <c r="Y105" s="81">
        <v>0</v>
      </c>
      <c r="Z105" s="81">
        <v>0</v>
      </c>
      <c r="AA105" s="81">
        <v>1</v>
      </c>
      <c r="AB105" s="81">
        <v>0</v>
      </c>
      <c r="AC105" s="81">
        <v>0</v>
      </c>
      <c r="AD105" s="81">
        <v>0</v>
      </c>
      <c r="AE105" s="81">
        <v>0</v>
      </c>
      <c r="AF105" s="81">
        <v>0</v>
      </c>
      <c r="AG105" s="81">
        <v>1</v>
      </c>
      <c r="AH105" s="81">
        <v>0</v>
      </c>
      <c r="AI105" s="81">
        <v>0</v>
      </c>
      <c r="AJ105" s="81">
        <v>0</v>
      </c>
      <c r="AK105" s="81">
        <v>0</v>
      </c>
      <c r="AL105" s="81">
        <v>0</v>
      </c>
      <c r="AM105" s="81">
        <v>1</v>
      </c>
      <c r="AN105" s="81">
        <v>0</v>
      </c>
      <c r="AO105" s="81">
        <v>0</v>
      </c>
      <c r="AP105" s="81">
        <v>0</v>
      </c>
      <c r="AQ105" s="81">
        <v>0</v>
      </c>
      <c r="AR105" s="81">
        <v>0</v>
      </c>
      <c r="AS105" s="81">
        <v>0</v>
      </c>
      <c r="AT105" s="81">
        <v>0</v>
      </c>
      <c r="AU105" s="81">
        <v>0</v>
      </c>
      <c r="AV105" s="81">
        <v>0</v>
      </c>
      <c r="AW105" s="81">
        <v>0</v>
      </c>
      <c r="AX105" s="81">
        <v>0</v>
      </c>
      <c r="AY105" s="81">
        <v>1</v>
      </c>
      <c r="AZ105" s="81">
        <v>0</v>
      </c>
      <c r="BA105" s="81">
        <v>0</v>
      </c>
      <c r="BB105" s="81">
        <v>1</v>
      </c>
      <c r="BC105" s="81">
        <v>0</v>
      </c>
      <c r="BD105" s="81">
        <v>0</v>
      </c>
      <c r="BE105" s="81">
        <v>0</v>
      </c>
      <c r="BF105" s="81">
        <v>0</v>
      </c>
      <c r="BG105" s="81">
        <v>1</v>
      </c>
      <c r="BH105" s="81">
        <v>0</v>
      </c>
      <c r="BI105" s="81">
        <v>0</v>
      </c>
      <c r="BJ105" s="81">
        <v>1</v>
      </c>
      <c r="BK105" s="81">
        <v>0</v>
      </c>
      <c r="BL105" s="81">
        <v>0</v>
      </c>
      <c r="BM105" s="81">
        <v>0</v>
      </c>
      <c r="BN105" s="81">
        <v>0</v>
      </c>
      <c r="BO105" s="81">
        <v>2</v>
      </c>
      <c r="BP105" s="81">
        <v>2</v>
      </c>
      <c r="BQ105" s="81">
        <v>1</v>
      </c>
      <c r="BR105" s="81">
        <v>2</v>
      </c>
      <c r="BS105" s="81">
        <v>2</v>
      </c>
      <c r="BT105" s="81">
        <v>2</v>
      </c>
      <c r="BU105" s="81">
        <v>1</v>
      </c>
      <c r="BV105" s="81">
        <v>1</v>
      </c>
      <c r="BW105" s="81">
        <v>2</v>
      </c>
      <c r="BX105" s="81">
        <v>2</v>
      </c>
      <c r="BY105" s="81">
        <v>2</v>
      </c>
      <c r="BZ105" s="81">
        <v>1</v>
      </c>
      <c r="CA105" s="81">
        <v>2</v>
      </c>
      <c r="CB105" s="81">
        <v>2</v>
      </c>
      <c r="CC105" s="81">
        <v>2</v>
      </c>
      <c r="CD105" s="81">
        <v>2</v>
      </c>
      <c r="CE105" s="81">
        <v>2</v>
      </c>
      <c r="CF105" s="81">
        <v>1</v>
      </c>
      <c r="CG105" s="81">
        <v>2</v>
      </c>
      <c r="CH105" s="81">
        <v>0</v>
      </c>
      <c r="CI105" s="81">
        <v>1</v>
      </c>
      <c r="CJ105" s="81">
        <v>0</v>
      </c>
      <c r="CK105" s="81">
        <v>1</v>
      </c>
      <c r="CL105" s="81">
        <v>0</v>
      </c>
      <c r="CM105" s="81">
        <v>0</v>
      </c>
      <c r="CN105" s="81">
        <v>0</v>
      </c>
      <c r="CO105" s="81">
        <v>2</v>
      </c>
      <c r="CP105" s="81">
        <v>2</v>
      </c>
      <c r="CQ105" s="81">
        <v>2</v>
      </c>
      <c r="CR105" s="81">
        <v>2</v>
      </c>
      <c r="CS105" s="81">
        <v>2</v>
      </c>
      <c r="CT105" s="81">
        <v>2</v>
      </c>
      <c r="CU105" s="81">
        <v>0</v>
      </c>
      <c r="CV105" s="81">
        <v>1</v>
      </c>
      <c r="CW105" s="81">
        <v>0</v>
      </c>
      <c r="CX105" s="81">
        <v>1</v>
      </c>
      <c r="CY105" s="81">
        <v>1</v>
      </c>
      <c r="CZ105" s="81">
        <v>0</v>
      </c>
      <c r="DA105" s="81">
        <v>1</v>
      </c>
    </row>
    <row r="106" spans="1:105" ht="12" customHeight="1" x14ac:dyDescent="0.3">
      <c r="A106" s="81" t="s">
        <v>718</v>
      </c>
      <c r="B106" s="81" t="s">
        <v>1446</v>
      </c>
      <c r="C106" s="81" t="s">
        <v>1447</v>
      </c>
      <c r="D106" s="81" t="s">
        <v>719</v>
      </c>
      <c r="E106" s="81" t="s">
        <v>397</v>
      </c>
      <c r="F106" s="81" t="s">
        <v>397</v>
      </c>
      <c r="G106" s="81" t="s">
        <v>396</v>
      </c>
      <c r="H106" s="94">
        <v>21</v>
      </c>
      <c r="I106" s="81" t="s">
        <v>7</v>
      </c>
      <c r="J106" s="81" t="s">
        <v>438</v>
      </c>
      <c r="K106" s="81">
        <v>21</v>
      </c>
      <c r="L106" s="81" t="s">
        <v>435</v>
      </c>
      <c r="M106" s="81" t="s">
        <v>447</v>
      </c>
      <c r="N106" s="81" t="s">
        <v>1430</v>
      </c>
      <c r="O106" s="81" t="s">
        <v>1449</v>
      </c>
      <c r="P106" s="81" t="s">
        <v>414</v>
      </c>
      <c r="Q106" s="81" t="s">
        <v>720</v>
      </c>
      <c r="R106" s="81">
        <v>0</v>
      </c>
      <c r="S106" s="81">
        <v>0</v>
      </c>
      <c r="T106" s="81">
        <v>0</v>
      </c>
      <c r="U106" s="81">
        <v>0</v>
      </c>
      <c r="V106" s="81">
        <v>1</v>
      </c>
      <c r="W106" s="81">
        <v>0</v>
      </c>
      <c r="X106" s="81">
        <v>0</v>
      </c>
      <c r="Y106" s="81">
        <v>0</v>
      </c>
      <c r="Z106" s="81">
        <v>1</v>
      </c>
      <c r="AA106" s="81">
        <v>0</v>
      </c>
      <c r="AB106" s="81">
        <v>0</v>
      </c>
      <c r="AC106" s="81">
        <v>0</v>
      </c>
      <c r="AD106" s="81">
        <v>0</v>
      </c>
      <c r="AE106" s="81">
        <v>0</v>
      </c>
      <c r="AF106" s="81">
        <v>0</v>
      </c>
      <c r="AG106" s="81">
        <v>0</v>
      </c>
      <c r="AH106" s="81">
        <v>0</v>
      </c>
      <c r="AI106" s="81">
        <v>0</v>
      </c>
      <c r="AJ106" s="81">
        <v>0</v>
      </c>
      <c r="AK106" s="81">
        <v>0</v>
      </c>
      <c r="AL106" s="81">
        <v>0</v>
      </c>
      <c r="AM106" s="81">
        <v>1</v>
      </c>
      <c r="AN106" s="81">
        <v>0</v>
      </c>
      <c r="AO106" s="81">
        <v>0</v>
      </c>
      <c r="AP106" s="81">
        <v>0</v>
      </c>
      <c r="AQ106" s="81">
        <v>0</v>
      </c>
      <c r="AR106" s="81">
        <v>1</v>
      </c>
      <c r="AS106" s="81">
        <v>0</v>
      </c>
      <c r="AT106" s="81">
        <v>0</v>
      </c>
      <c r="AU106" s="81">
        <v>0</v>
      </c>
      <c r="AV106" s="81">
        <v>0</v>
      </c>
      <c r="AW106" s="81">
        <v>0</v>
      </c>
      <c r="AX106" s="81">
        <v>0</v>
      </c>
      <c r="AY106" s="81">
        <v>1</v>
      </c>
      <c r="AZ106" s="81">
        <v>0</v>
      </c>
      <c r="BA106" s="81">
        <v>0</v>
      </c>
      <c r="BB106" s="81">
        <v>0</v>
      </c>
      <c r="BC106" s="81">
        <v>0</v>
      </c>
      <c r="BD106" s="81">
        <v>0</v>
      </c>
      <c r="BE106" s="81">
        <v>0</v>
      </c>
      <c r="BF106" s="81">
        <v>0</v>
      </c>
      <c r="BG106" s="81">
        <v>1</v>
      </c>
      <c r="BH106" s="81">
        <v>0</v>
      </c>
      <c r="BI106" s="81">
        <v>0</v>
      </c>
      <c r="BJ106" s="81">
        <v>1</v>
      </c>
      <c r="BK106" s="81">
        <v>0</v>
      </c>
      <c r="BL106" s="81">
        <v>0</v>
      </c>
      <c r="BM106" s="81">
        <v>0</v>
      </c>
      <c r="BN106" s="81">
        <v>0</v>
      </c>
      <c r="BO106" s="81">
        <v>2</v>
      </c>
      <c r="BP106" s="81">
        <v>2</v>
      </c>
      <c r="BQ106" s="81">
        <v>1</v>
      </c>
      <c r="BR106" s="81">
        <v>2</v>
      </c>
      <c r="BS106" s="81">
        <v>2</v>
      </c>
      <c r="BT106" s="81">
        <v>2</v>
      </c>
      <c r="BU106" s="81">
        <v>2</v>
      </c>
      <c r="BV106" s="81">
        <v>1</v>
      </c>
      <c r="BW106" s="81">
        <v>2</v>
      </c>
      <c r="BX106" s="81">
        <v>2</v>
      </c>
      <c r="BY106" s="81">
        <v>2</v>
      </c>
      <c r="BZ106" s="81">
        <v>1</v>
      </c>
      <c r="CA106" s="81">
        <v>2</v>
      </c>
      <c r="CB106" s="81">
        <v>2</v>
      </c>
      <c r="CC106" s="81">
        <v>2</v>
      </c>
      <c r="CD106" s="81">
        <v>2</v>
      </c>
      <c r="CE106" s="81">
        <v>2</v>
      </c>
      <c r="CF106" s="81">
        <v>1</v>
      </c>
      <c r="CG106" s="81">
        <v>2</v>
      </c>
      <c r="CH106" s="81">
        <v>0</v>
      </c>
      <c r="CI106" s="81">
        <v>1</v>
      </c>
      <c r="CJ106" s="81">
        <v>1</v>
      </c>
      <c r="CK106" s="81">
        <v>1</v>
      </c>
      <c r="CL106" s="81">
        <v>1</v>
      </c>
      <c r="CM106" s="81">
        <v>0</v>
      </c>
      <c r="CN106" s="81">
        <v>0</v>
      </c>
      <c r="CO106" s="81">
        <v>2</v>
      </c>
      <c r="CP106" s="81">
        <v>2</v>
      </c>
      <c r="CQ106" s="81">
        <v>2</v>
      </c>
      <c r="CR106" s="81">
        <v>2</v>
      </c>
      <c r="CS106" s="81">
        <v>2</v>
      </c>
      <c r="CT106" s="81">
        <v>2</v>
      </c>
      <c r="CU106" s="81">
        <v>0</v>
      </c>
      <c r="CV106" s="81">
        <v>1</v>
      </c>
      <c r="CW106" s="81">
        <v>1</v>
      </c>
      <c r="CX106" s="81">
        <v>1</v>
      </c>
      <c r="CY106" s="81">
        <v>1</v>
      </c>
      <c r="CZ106" s="81">
        <v>0</v>
      </c>
      <c r="DA106" s="81">
        <v>1</v>
      </c>
    </row>
    <row r="107" spans="1:105" ht="12" customHeight="1" x14ac:dyDescent="0.3">
      <c r="A107" s="81" t="s">
        <v>721</v>
      </c>
      <c r="B107" s="81" t="s">
        <v>1446</v>
      </c>
      <c r="C107" s="81" t="s">
        <v>1447</v>
      </c>
      <c r="D107" s="81" t="s">
        <v>722</v>
      </c>
      <c r="E107" s="81" t="s">
        <v>397</v>
      </c>
      <c r="F107" s="81" t="s">
        <v>397</v>
      </c>
      <c r="G107" s="81"/>
      <c r="H107" s="94">
        <v>20</v>
      </c>
      <c r="I107" s="81" t="s">
        <v>6</v>
      </c>
      <c r="J107" s="81" t="s">
        <v>438</v>
      </c>
      <c r="K107" s="81">
        <v>20</v>
      </c>
      <c r="L107" s="81" t="s">
        <v>435</v>
      </c>
      <c r="M107" s="81" t="s">
        <v>444</v>
      </c>
      <c r="N107" s="81" t="s">
        <v>1430</v>
      </c>
      <c r="O107" s="81" t="s">
        <v>1448</v>
      </c>
      <c r="P107" s="81" t="s">
        <v>414</v>
      </c>
      <c r="Q107" s="81" t="s">
        <v>690</v>
      </c>
      <c r="R107" s="81">
        <v>0</v>
      </c>
      <c r="S107" s="81">
        <v>0</v>
      </c>
      <c r="T107" s="81">
        <v>0</v>
      </c>
      <c r="U107" s="81">
        <v>1</v>
      </c>
      <c r="V107" s="81">
        <v>0</v>
      </c>
      <c r="W107" s="81">
        <v>1</v>
      </c>
      <c r="X107" s="81">
        <v>0</v>
      </c>
      <c r="Y107" s="81">
        <v>0</v>
      </c>
      <c r="Z107" s="81">
        <v>0</v>
      </c>
      <c r="AA107" s="81">
        <v>1</v>
      </c>
      <c r="AB107" s="81">
        <v>0</v>
      </c>
      <c r="AC107" s="81">
        <v>0</v>
      </c>
      <c r="AD107" s="81">
        <v>0</v>
      </c>
      <c r="AE107" s="81">
        <v>0</v>
      </c>
      <c r="AF107" s="81">
        <v>0</v>
      </c>
      <c r="AG107" s="81">
        <v>1</v>
      </c>
      <c r="AH107" s="81">
        <v>0</v>
      </c>
      <c r="AI107" s="81">
        <v>0</v>
      </c>
      <c r="AJ107" s="81">
        <v>0</v>
      </c>
      <c r="AK107" s="81">
        <v>0</v>
      </c>
      <c r="AL107" s="81">
        <v>0</v>
      </c>
      <c r="AM107" s="81">
        <v>1</v>
      </c>
      <c r="AN107" s="81">
        <v>0</v>
      </c>
      <c r="AO107" s="81">
        <v>0</v>
      </c>
      <c r="AP107" s="81">
        <v>0</v>
      </c>
      <c r="AQ107" s="81">
        <v>0</v>
      </c>
      <c r="AR107" s="81">
        <v>0</v>
      </c>
      <c r="AS107" s="81">
        <v>0</v>
      </c>
      <c r="AT107" s="81">
        <v>0</v>
      </c>
      <c r="AU107" s="81">
        <v>0</v>
      </c>
      <c r="AV107" s="81">
        <v>0</v>
      </c>
      <c r="AW107" s="81">
        <v>0</v>
      </c>
      <c r="AX107" s="81">
        <v>0</v>
      </c>
      <c r="AY107" s="81">
        <v>1</v>
      </c>
      <c r="AZ107" s="81">
        <v>0</v>
      </c>
      <c r="BA107" s="81">
        <v>0</v>
      </c>
      <c r="BB107" s="81">
        <v>1</v>
      </c>
      <c r="BC107" s="81">
        <v>0</v>
      </c>
      <c r="BD107" s="81">
        <v>0</v>
      </c>
      <c r="BE107" s="81">
        <v>0</v>
      </c>
      <c r="BF107" s="81">
        <v>0</v>
      </c>
      <c r="BG107" s="81">
        <v>1</v>
      </c>
      <c r="BH107" s="81">
        <v>0</v>
      </c>
      <c r="BI107" s="81">
        <v>0</v>
      </c>
      <c r="BJ107" s="81">
        <v>1</v>
      </c>
      <c r="BK107" s="81">
        <v>0</v>
      </c>
      <c r="BL107" s="81">
        <v>0</v>
      </c>
      <c r="BM107" s="81">
        <v>0</v>
      </c>
      <c r="BN107" s="81">
        <v>0</v>
      </c>
      <c r="BO107" s="81">
        <v>2</v>
      </c>
      <c r="BP107" s="81">
        <v>2</v>
      </c>
      <c r="BQ107" s="81">
        <v>1</v>
      </c>
      <c r="BR107" s="81">
        <v>2</v>
      </c>
      <c r="BS107" s="81">
        <v>2</v>
      </c>
      <c r="BT107" s="81">
        <v>2</v>
      </c>
      <c r="BU107" s="81">
        <v>1</v>
      </c>
      <c r="BV107" s="81">
        <v>1</v>
      </c>
      <c r="BW107" s="81">
        <v>2</v>
      </c>
      <c r="BX107" s="81">
        <v>2</v>
      </c>
      <c r="BY107" s="81">
        <v>2</v>
      </c>
      <c r="BZ107" s="81">
        <v>1</v>
      </c>
      <c r="CA107" s="81">
        <v>2</v>
      </c>
      <c r="CB107" s="81">
        <v>2</v>
      </c>
      <c r="CC107" s="81">
        <v>2</v>
      </c>
      <c r="CD107" s="81">
        <v>2</v>
      </c>
      <c r="CE107" s="81">
        <v>2</v>
      </c>
      <c r="CF107" s="81">
        <v>1</v>
      </c>
      <c r="CG107" s="81">
        <v>2</v>
      </c>
      <c r="CH107" s="81">
        <v>0</v>
      </c>
      <c r="CI107" s="81">
        <v>1</v>
      </c>
      <c r="CJ107" s="81">
        <v>0</v>
      </c>
      <c r="CK107" s="81">
        <v>1</v>
      </c>
      <c r="CL107" s="81">
        <v>0</v>
      </c>
      <c r="CM107" s="81">
        <v>0</v>
      </c>
      <c r="CN107" s="81">
        <v>0</v>
      </c>
      <c r="CO107" s="81">
        <v>2</v>
      </c>
      <c r="CP107" s="81">
        <v>2</v>
      </c>
      <c r="CQ107" s="81">
        <v>2</v>
      </c>
      <c r="CR107" s="81">
        <v>2</v>
      </c>
      <c r="CS107" s="81">
        <v>2</v>
      </c>
      <c r="CT107" s="81">
        <v>2</v>
      </c>
      <c r="CU107" s="81">
        <v>0</v>
      </c>
      <c r="CV107" s="81">
        <v>1</v>
      </c>
      <c r="CW107" s="81">
        <v>0</v>
      </c>
      <c r="CX107" s="81">
        <v>1</v>
      </c>
      <c r="CY107" s="81">
        <v>1</v>
      </c>
      <c r="CZ107" s="81">
        <v>0</v>
      </c>
      <c r="DA107" s="81">
        <v>1</v>
      </c>
    </row>
    <row r="108" spans="1:105" ht="12" customHeight="1" x14ac:dyDescent="0.3">
      <c r="A108" s="81" t="s">
        <v>723</v>
      </c>
      <c r="B108" s="81" t="s">
        <v>1446</v>
      </c>
      <c r="C108" s="81" t="s">
        <v>1447</v>
      </c>
      <c r="D108" s="81" t="s">
        <v>724</v>
      </c>
      <c r="E108" s="81" t="s">
        <v>397</v>
      </c>
      <c r="F108" s="81" t="s">
        <v>397</v>
      </c>
      <c r="G108" s="81" t="s">
        <v>396</v>
      </c>
      <c r="H108" s="94">
        <v>20</v>
      </c>
      <c r="I108" s="81" t="s">
        <v>6</v>
      </c>
      <c r="J108" s="81" t="s">
        <v>438</v>
      </c>
      <c r="K108" s="81">
        <v>20</v>
      </c>
      <c r="L108" s="81" t="s">
        <v>435</v>
      </c>
      <c r="M108" s="81" t="s">
        <v>444</v>
      </c>
      <c r="N108" s="81" t="s">
        <v>1430</v>
      </c>
      <c r="O108" s="81" t="s">
        <v>1448</v>
      </c>
      <c r="P108" s="81" t="s">
        <v>414</v>
      </c>
      <c r="Q108" s="81" t="s">
        <v>703</v>
      </c>
      <c r="R108" s="81">
        <v>0</v>
      </c>
      <c r="S108" s="81">
        <v>0</v>
      </c>
      <c r="T108" s="81">
        <v>0</v>
      </c>
      <c r="U108" s="81">
        <v>1</v>
      </c>
      <c r="V108" s="81">
        <v>0</v>
      </c>
      <c r="W108" s="81">
        <v>1</v>
      </c>
      <c r="X108" s="81">
        <v>0</v>
      </c>
      <c r="Y108" s="81">
        <v>0</v>
      </c>
      <c r="Z108" s="81">
        <v>0</v>
      </c>
      <c r="AA108" s="81">
        <v>1</v>
      </c>
      <c r="AB108" s="81">
        <v>0</v>
      </c>
      <c r="AC108" s="81">
        <v>0</v>
      </c>
      <c r="AD108" s="81">
        <v>0</v>
      </c>
      <c r="AE108" s="81">
        <v>0</v>
      </c>
      <c r="AF108" s="81">
        <v>0</v>
      </c>
      <c r="AG108" s="81">
        <v>1</v>
      </c>
      <c r="AH108" s="81">
        <v>0</v>
      </c>
      <c r="AI108" s="81">
        <v>0</v>
      </c>
      <c r="AJ108" s="81">
        <v>0</v>
      </c>
      <c r="AK108" s="81">
        <v>0</v>
      </c>
      <c r="AL108" s="81">
        <v>0</v>
      </c>
      <c r="AM108" s="81">
        <v>1</v>
      </c>
      <c r="AN108" s="81">
        <v>0</v>
      </c>
      <c r="AO108" s="81">
        <v>0</v>
      </c>
      <c r="AP108" s="81">
        <v>0</v>
      </c>
      <c r="AQ108" s="81">
        <v>0</v>
      </c>
      <c r="AR108" s="81">
        <v>0</v>
      </c>
      <c r="AS108" s="81">
        <v>0</v>
      </c>
      <c r="AT108" s="81">
        <v>0</v>
      </c>
      <c r="AU108" s="81">
        <v>0</v>
      </c>
      <c r="AV108" s="81">
        <v>0</v>
      </c>
      <c r="AW108" s="81">
        <v>0</v>
      </c>
      <c r="AX108" s="81">
        <v>0</v>
      </c>
      <c r="AY108" s="81">
        <v>1</v>
      </c>
      <c r="AZ108" s="81">
        <v>0</v>
      </c>
      <c r="BA108" s="81">
        <v>0</v>
      </c>
      <c r="BB108" s="81">
        <v>1</v>
      </c>
      <c r="BC108" s="81">
        <v>0</v>
      </c>
      <c r="BD108" s="81">
        <v>0</v>
      </c>
      <c r="BE108" s="81">
        <v>0</v>
      </c>
      <c r="BF108" s="81">
        <v>0</v>
      </c>
      <c r="BG108" s="81">
        <v>1</v>
      </c>
      <c r="BH108" s="81">
        <v>0</v>
      </c>
      <c r="BI108" s="81">
        <v>0</v>
      </c>
      <c r="BJ108" s="81">
        <v>1</v>
      </c>
      <c r="BK108" s="81">
        <v>0</v>
      </c>
      <c r="BL108" s="81">
        <v>0</v>
      </c>
      <c r="BM108" s="81">
        <v>0</v>
      </c>
      <c r="BN108" s="81">
        <v>0</v>
      </c>
      <c r="BO108" s="81">
        <v>2</v>
      </c>
      <c r="BP108" s="81">
        <v>2</v>
      </c>
      <c r="BQ108" s="81">
        <v>1</v>
      </c>
      <c r="BR108" s="81">
        <v>2</v>
      </c>
      <c r="BS108" s="81">
        <v>2</v>
      </c>
      <c r="BT108" s="81">
        <v>2</v>
      </c>
      <c r="BU108" s="81">
        <v>1</v>
      </c>
      <c r="BV108" s="81">
        <v>1</v>
      </c>
      <c r="BW108" s="81">
        <v>2</v>
      </c>
      <c r="BX108" s="81">
        <v>2</v>
      </c>
      <c r="BY108" s="81">
        <v>2</v>
      </c>
      <c r="BZ108" s="81">
        <v>1</v>
      </c>
      <c r="CA108" s="81">
        <v>2</v>
      </c>
      <c r="CB108" s="81">
        <v>2</v>
      </c>
      <c r="CC108" s="81">
        <v>2</v>
      </c>
      <c r="CD108" s="81">
        <v>2</v>
      </c>
      <c r="CE108" s="81">
        <v>2</v>
      </c>
      <c r="CF108" s="81">
        <v>1</v>
      </c>
      <c r="CG108" s="81">
        <v>2</v>
      </c>
      <c r="CH108" s="81">
        <v>0</v>
      </c>
      <c r="CI108" s="81">
        <v>1</v>
      </c>
      <c r="CJ108" s="81">
        <v>0</v>
      </c>
      <c r="CK108" s="81">
        <v>1</v>
      </c>
      <c r="CL108" s="81">
        <v>0</v>
      </c>
      <c r="CM108" s="81">
        <v>0</v>
      </c>
      <c r="CN108" s="81">
        <v>0</v>
      </c>
      <c r="CO108" s="81">
        <v>2</v>
      </c>
      <c r="CP108" s="81">
        <v>2</v>
      </c>
      <c r="CQ108" s="81">
        <v>2</v>
      </c>
      <c r="CR108" s="81">
        <v>2</v>
      </c>
      <c r="CS108" s="81">
        <v>2</v>
      </c>
      <c r="CT108" s="81">
        <v>2</v>
      </c>
      <c r="CU108" s="81">
        <v>0</v>
      </c>
      <c r="CV108" s="81">
        <v>1</v>
      </c>
      <c r="CW108" s="81">
        <v>0</v>
      </c>
      <c r="CX108" s="81">
        <v>1</v>
      </c>
      <c r="CY108" s="81">
        <v>1</v>
      </c>
      <c r="CZ108" s="81">
        <v>0</v>
      </c>
      <c r="DA108" s="81">
        <v>1</v>
      </c>
    </row>
    <row r="109" spans="1:105" ht="12" customHeight="1" x14ac:dyDescent="0.3">
      <c r="A109" s="81" t="s">
        <v>725</v>
      </c>
      <c r="B109" s="81" t="s">
        <v>1446</v>
      </c>
      <c r="C109" s="81" t="s">
        <v>1447</v>
      </c>
      <c r="D109" s="81" t="s">
        <v>726</v>
      </c>
      <c r="E109" s="81" t="s">
        <v>397</v>
      </c>
      <c r="F109" s="81" t="s">
        <v>397</v>
      </c>
      <c r="G109" s="81"/>
      <c r="H109" s="94">
        <v>20</v>
      </c>
      <c r="I109" s="81" t="s">
        <v>6</v>
      </c>
      <c r="J109" s="81" t="s">
        <v>438</v>
      </c>
      <c r="K109" s="81">
        <v>20</v>
      </c>
      <c r="L109" s="81" t="s">
        <v>435</v>
      </c>
      <c r="M109" s="81" t="s">
        <v>444</v>
      </c>
      <c r="N109" s="81" t="s">
        <v>1430</v>
      </c>
      <c r="O109" s="81" t="s">
        <v>1448</v>
      </c>
      <c r="P109" s="81" t="s">
        <v>414</v>
      </c>
      <c r="Q109" s="81" t="s">
        <v>690</v>
      </c>
      <c r="R109" s="81">
        <v>0</v>
      </c>
      <c r="S109" s="81">
        <v>0</v>
      </c>
      <c r="T109" s="81">
        <v>0</v>
      </c>
      <c r="U109" s="81">
        <v>1</v>
      </c>
      <c r="V109" s="81">
        <v>0</v>
      </c>
      <c r="W109" s="81">
        <v>1</v>
      </c>
      <c r="X109" s="81">
        <v>0</v>
      </c>
      <c r="Y109" s="81">
        <v>0</v>
      </c>
      <c r="Z109" s="81">
        <v>0</v>
      </c>
      <c r="AA109" s="81">
        <v>1</v>
      </c>
      <c r="AB109" s="81">
        <v>0</v>
      </c>
      <c r="AC109" s="81">
        <v>0</v>
      </c>
      <c r="AD109" s="81">
        <v>0</v>
      </c>
      <c r="AE109" s="81">
        <v>0</v>
      </c>
      <c r="AF109" s="81">
        <v>0</v>
      </c>
      <c r="AG109" s="81">
        <v>1</v>
      </c>
      <c r="AH109" s="81">
        <v>0</v>
      </c>
      <c r="AI109" s="81">
        <v>0</v>
      </c>
      <c r="AJ109" s="81">
        <v>0</v>
      </c>
      <c r="AK109" s="81">
        <v>0</v>
      </c>
      <c r="AL109" s="81">
        <v>0</v>
      </c>
      <c r="AM109" s="81">
        <v>1</v>
      </c>
      <c r="AN109" s="81">
        <v>0</v>
      </c>
      <c r="AO109" s="81">
        <v>0</v>
      </c>
      <c r="AP109" s="81">
        <v>0</v>
      </c>
      <c r="AQ109" s="81">
        <v>0</v>
      </c>
      <c r="AR109" s="81">
        <v>0</v>
      </c>
      <c r="AS109" s="81">
        <v>0</v>
      </c>
      <c r="AT109" s="81">
        <v>0</v>
      </c>
      <c r="AU109" s="81">
        <v>0</v>
      </c>
      <c r="AV109" s="81">
        <v>0</v>
      </c>
      <c r="AW109" s="81">
        <v>0</v>
      </c>
      <c r="AX109" s="81">
        <v>0</v>
      </c>
      <c r="AY109" s="81">
        <v>1</v>
      </c>
      <c r="AZ109" s="81">
        <v>0</v>
      </c>
      <c r="BA109" s="81">
        <v>0</v>
      </c>
      <c r="BB109" s="81">
        <v>1</v>
      </c>
      <c r="BC109" s="81">
        <v>0</v>
      </c>
      <c r="BD109" s="81">
        <v>0</v>
      </c>
      <c r="BE109" s="81">
        <v>0</v>
      </c>
      <c r="BF109" s="81">
        <v>0</v>
      </c>
      <c r="BG109" s="81">
        <v>1</v>
      </c>
      <c r="BH109" s="81">
        <v>0</v>
      </c>
      <c r="BI109" s="81">
        <v>0</v>
      </c>
      <c r="BJ109" s="81">
        <v>1</v>
      </c>
      <c r="BK109" s="81">
        <v>0</v>
      </c>
      <c r="BL109" s="81">
        <v>0</v>
      </c>
      <c r="BM109" s="81">
        <v>0</v>
      </c>
      <c r="BN109" s="81">
        <v>0</v>
      </c>
      <c r="BO109" s="81">
        <v>2</v>
      </c>
      <c r="BP109" s="81">
        <v>2</v>
      </c>
      <c r="BQ109" s="81">
        <v>1</v>
      </c>
      <c r="BR109" s="81">
        <v>2</v>
      </c>
      <c r="BS109" s="81">
        <v>2</v>
      </c>
      <c r="BT109" s="81">
        <v>2</v>
      </c>
      <c r="BU109" s="81">
        <v>1</v>
      </c>
      <c r="BV109" s="81">
        <v>1</v>
      </c>
      <c r="BW109" s="81">
        <v>2</v>
      </c>
      <c r="BX109" s="81">
        <v>2</v>
      </c>
      <c r="BY109" s="81">
        <v>2</v>
      </c>
      <c r="BZ109" s="81">
        <v>1</v>
      </c>
      <c r="CA109" s="81">
        <v>2</v>
      </c>
      <c r="CB109" s="81">
        <v>2</v>
      </c>
      <c r="CC109" s="81">
        <v>2</v>
      </c>
      <c r="CD109" s="81">
        <v>2</v>
      </c>
      <c r="CE109" s="81">
        <v>2</v>
      </c>
      <c r="CF109" s="81">
        <v>1</v>
      </c>
      <c r="CG109" s="81">
        <v>2</v>
      </c>
      <c r="CH109" s="81">
        <v>0</v>
      </c>
      <c r="CI109" s="81">
        <v>1</v>
      </c>
      <c r="CJ109" s="81">
        <v>0</v>
      </c>
      <c r="CK109" s="81">
        <v>1</v>
      </c>
      <c r="CL109" s="81">
        <v>0</v>
      </c>
      <c r="CM109" s="81">
        <v>0</v>
      </c>
      <c r="CN109" s="81">
        <v>0</v>
      </c>
      <c r="CO109" s="81">
        <v>2</v>
      </c>
      <c r="CP109" s="81">
        <v>2</v>
      </c>
      <c r="CQ109" s="81">
        <v>2</v>
      </c>
      <c r="CR109" s="81">
        <v>2</v>
      </c>
      <c r="CS109" s="81">
        <v>2</v>
      </c>
      <c r="CT109" s="81">
        <v>2</v>
      </c>
      <c r="CU109" s="81">
        <v>0</v>
      </c>
      <c r="CV109" s="81">
        <v>1</v>
      </c>
      <c r="CW109" s="81">
        <v>0</v>
      </c>
      <c r="CX109" s="81">
        <v>1</v>
      </c>
      <c r="CY109" s="81">
        <v>1</v>
      </c>
      <c r="CZ109" s="81">
        <v>0</v>
      </c>
      <c r="DA109" s="81">
        <v>1</v>
      </c>
    </row>
    <row r="110" spans="1:105" ht="12" customHeight="1" x14ac:dyDescent="0.3">
      <c r="A110" s="81" t="s">
        <v>727</v>
      </c>
      <c r="B110" s="81" t="s">
        <v>1446</v>
      </c>
      <c r="C110" s="81" t="s">
        <v>1447</v>
      </c>
      <c r="D110" s="81" t="s">
        <v>728</v>
      </c>
      <c r="E110" s="81" t="s">
        <v>397</v>
      </c>
      <c r="F110" s="81" t="s">
        <v>397</v>
      </c>
      <c r="G110" s="81"/>
      <c r="H110" s="94">
        <v>20</v>
      </c>
      <c r="I110" s="81" t="s">
        <v>6</v>
      </c>
      <c r="J110" s="81" t="s">
        <v>438</v>
      </c>
      <c r="K110" s="81">
        <v>20</v>
      </c>
      <c r="L110" s="81" t="s">
        <v>435</v>
      </c>
      <c r="M110" s="81" t="s">
        <v>444</v>
      </c>
      <c r="N110" s="81" t="s">
        <v>1430</v>
      </c>
      <c r="O110" s="81" t="s">
        <v>1448</v>
      </c>
      <c r="P110" s="81" t="s">
        <v>414</v>
      </c>
      <c r="Q110" s="81" t="s">
        <v>690</v>
      </c>
      <c r="R110" s="81">
        <v>0</v>
      </c>
      <c r="S110" s="81">
        <v>0</v>
      </c>
      <c r="T110" s="81">
        <v>0</v>
      </c>
      <c r="U110" s="81">
        <v>1</v>
      </c>
      <c r="V110" s="81">
        <v>0</v>
      </c>
      <c r="W110" s="81">
        <v>1</v>
      </c>
      <c r="X110" s="81">
        <v>0</v>
      </c>
      <c r="Y110" s="81">
        <v>0</v>
      </c>
      <c r="Z110" s="81">
        <v>0</v>
      </c>
      <c r="AA110" s="81">
        <v>1</v>
      </c>
      <c r="AB110" s="81">
        <v>0</v>
      </c>
      <c r="AC110" s="81">
        <v>0</v>
      </c>
      <c r="AD110" s="81">
        <v>0</v>
      </c>
      <c r="AE110" s="81">
        <v>0</v>
      </c>
      <c r="AF110" s="81">
        <v>0</v>
      </c>
      <c r="AG110" s="81">
        <v>1</v>
      </c>
      <c r="AH110" s="81">
        <v>0</v>
      </c>
      <c r="AI110" s="81">
        <v>0</v>
      </c>
      <c r="AJ110" s="81">
        <v>0</v>
      </c>
      <c r="AK110" s="81">
        <v>0</v>
      </c>
      <c r="AL110" s="81">
        <v>0</v>
      </c>
      <c r="AM110" s="81">
        <v>1</v>
      </c>
      <c r="AN110" s="81">
        <v>0</v>
      </c>
      <c r="AO110" s="81">
        <v>0</v>
      </c>
      <c r="AP110" s="81">
        <v>0</v>
      </c>
      <c r="AQ110" s="81">
        <v>0</v>
      </c>
      <c r="AR110" s="81">
        <v>0</v>
      </c>
      <c r="AS110" s="81">
        <v>0</v>
      </c>
      <c r="AT110" s="81">
        <v>0</v>
      </c>
      <c r="AU110" s="81">
        <v>0</v>
      </c>
      <c r="AV110" s="81">
        <v>0</v>
      </c>
      <c r="AW110" s="81">
        <v>0</v>
      </c>
      <c r="AX110" s="81">
        <v>0</v>
      </c>
      <c r="AY110" s="81">
        <v>1</v>
      </c>
      <c r="AZ110" s="81">
        <v>0</v>
      </c>
      <c r="BA110" s="81">
        <v>0</v>
      </c>
      <c r="BB110" s="81">
        <v>1</v>
      </c>
      <c r="BC110" s="81">
        <v>0</v>
      </c>
      <c r="BD110" s="81">
        <v>0</v>
      </c>
      <c r="BE110" s="81">
        <v>0</v>
      </c>
      <c r="BF110" s="81">
        <v>0</v>
      </c>
      <c r="BG110" s="81">
        <v>1</v>
      </c>
      <c r="BH110" s="81">
        <v>0</v>
      </c>
      <c r="BI110" s="81">
        <v>0</v>
      </c>
      <c r="BJ110" s="81">
        <v>1</v>
      </c>
      <c r="BK110" s="81">
        <v>0</v>
      </c>
      <c r="BL110" s="81">
        <v>0</v>
      </c>
      <c r="BM110" s="81">
        <v>0</v>
      </c>
      <c r="BN110" s="81">
        <v>0</v>
      </c>
      <c r="BO110" s="81">
        <v>2</v>
      </c>
      <c r="BP110" s="81">
        <v>2</v>
      </c>
      <c r="BQ110" s="81">
        <v>1</v>
      </c>
      <c r="BR110" s="81">
        <v>2</v>
      </c>
      <c r="BS110" s="81">
        <v>2</v>
      </c>
      <c r="BT110" s="81">
        <v>2</v>
      </c>
      <c r="BU110" s="81">
        <v>1</v>
      </c>
      <c r="BV110" s="81">
        <v>1</v>
      </c>
      <c r="BW110" s="81">
        <v>2</v>
      </c>
      <c r="BX110" s="81">
        <v>2</v>
      </c>
      <c r="BY110" s="81">
        <v>2</v>
      </c>
      <c r="BZ110" s="81">
        <v>1</v>
      </c>
      <c r="CA110" s="81">
        <v>2</v>
      </c>
      <c r="CB110" s="81">
        <v>2</v>
      </c>
      <c r="CC110" s="81">
        <v>2</v>
      </c>
      <c r="CD110" s="81">
        <v>2</v>
      </c>
      <c r="CE110" s="81">
        <v>2</v>
      </c>
      <c r="CF110" s="81">
        <v>1</v>
      </c>
      <c r="CG110" s="81">
        <v>2</v>
      </c>
      <c r="CH110" s="81">
        <v>0</v>
      </c>
      <c r="CI110" s="81">
        <v>1</v>
      </c>
      <c r="CJ110" s="81">
        <v>0</v>
      </c>
      <c r="CK110" s="81">
        <v>1</v>
      </c>
      <c r="CL110" s="81">
        <v>0</v>
      </c>
      <c r="CM110" s="81">
        <v>0</v>
      </c>
      <c r="CN110" s="81">
        <v>0</v>
      </c>
      <c r="CO110" s="81">
        <v>2</v>
      </c>
      <c r="CP110" s="81">
        <v>2</v>
      </c>
      <c r="CQ110" s="81">
        <v>2</v>
      </c>
      <c r="CR110" s="81">
        <v>2</v>
      </c>
      <c r="CS110" s="81">
        <v>2</v>
      </c>
      <c r="CT110" s="81">
        <v>2</v>
      </c>
      <c r="CU110" s="81">
        <v>0</v>
      </c>
      <c r="CV110" s="81">
        <v>1</v>
      </c>
      <c r="CW110" s="81">
        <v>0</v>
      </c>
      <c r="CX110" s="81">
        <v>1</v>
      </c>
      <c r="CY110" s="81">
        <v>1</v>
      </c>
      <c r="CZ110" s="81">
        <v>0</v>
      </c>
      <c r="DA110" s="81">
        <v>1</v>
      </c>
    </row>
    <row r="111" spans="1:105" ht="12" customHeight="1" x14ac:dyDescent="0.3">
      <c r="A111" s="81" t="s">
        <v>729</v>
      </c>
      <c r="B111" s="81" t="s">
        <v>1446</v>
      </c>
      <c r="C111" s="81" t="s">
        <v>1447</v>
      </c>
      <c r="D111" s="81" t="s">
        <v>730</v>
      </c>
      <c r="E111" s="81" t="s">
        <v>398</v>
      </c>
      <c r="F111" s="81" t="s">
        <v>398</v>
      </c>
      <c r="G111" s="81"/>
      <c r="H111" s="94">
        <v>17</v>
      </c>
      <c r="I111" s="81" t="s">
        <v>6</v>
      </c>
      <c r="J111" s="81" t="s">
        <v>438</v>
      </c>
      <c r="K111" s="81">
        <v>20</v>
      </c>
      <c r="L111" s="81" t="s">
        <v>435</v>
      </c>
      <c r="M111" s="81" t="s">
        <v>444</v>
      </c>
      <c r="N111" s="81" t="s">
        <v>1430</v>
      </c>
      <c r="O111" s="81" t="s">
        <v>1448</v>
      </c>
      <c r="P111" s="81" t="s">
        <v>414</v>
      </c>
      <c r="Q111" s="81" t="s">
        <v>731</v>
      </c>
      <c r="R111" s="81">
        <v>0</v>
      </c>
      <c r="S111" s="81">
        <v>0</v>
      </c>
      <c r="T111" s="81">
        <v>0</v>
      </c>
      <c r="U111" s="81">
        <v>1</v>
      </c>
      <c r="V111" s="81">
        <v>0</v>
      </c>
      <c r="W111" s="81">
        <v>1</v>
      </c>
      <c r="X111" s="81">
        <v>0</v>
      </c>
      <c r="Y111" s="81">
        <v>0</v>
      </c>
      <c r="Z111" s="81">
        <v>0</v>
      </c>
      <c r="AA111" s="81">
        <v>1</v>
      </c>
      <c r="AB111" s="81">
        <v>0</v>
      </c>
      <c r="AC111" s="81">
        <v>0</v>
      </c>
      <c r="AD111" s="81">
        <v>0</v>
      </c>
      <c r="AE111" s="81">
        <v>0</v>
      </c>
      <c r="AF111" s="81">
        <v>0</v>
      </c>
      <c r="AG111" s="81">
        <v>1</v>
      </c>
      <c r="AH111" s="81">
        <v>0</v>
      </c>
      <c r="AI111" s="81">
        <v>0</v>
      </c>
      <c r="AJ111" s="81">
        <v>0</v>
      </c>
      <c r="AK111" s="81">
        <v>0</v>
      </c>
      <c r="AL111" s="81">
        <v>0</v>
      </c>
      <c r="AM111" s="81">
        <v>1</v>
      </c>
      <c r="AN111" s="81">
        <v>0</v>
      </c>
      <c r="AO111" s="81">
        <v>0</v>
      </c>
      <c r="AP111" s="81">
        <v>0</v>
      </c>
      <c r="AQ111" s="81">
        <v>0</v>
      </c>
      <c r="AR111" s="81">
        <v>0</v>
      </c>
      <c r="AS111" s="81">
        <v>0</v>
      </c>
      <c r="AT111" s="81">
        <v>0</v>
      </c>
      <c r="AU111" s="81">
        <v>0</v>
      </c>
      <c r="AV111" s="81">
        <v>0</v>
      </c>
      <c r="AW111" s="81">
        <v>0</v>
      </c>
      <c r="AX111" s="81">
        <v>0</v>
      </c>
      <c r="AY111" s="81">
        <v>1</v>
      </c>
      <c r="AZ111" s="81">
        <v>0</v>
      </c>
      <c r="BA111" s="81">
        <v>0</v>
      </c>
      <c r="BB111" s="81">
        <v>1</v>
      </c>
      <c r="BC111" s="81">
        <v>0</v>
      </c>
      <c r="BD111" s="81">
        <v>0</v>
      </c>
      <c r="BE111" s="81">
        <v>0</v>
      </c>
      <c r="BF111" s="81">
        <v>0</v>
      </c>
      <c r="BG111" s="81">
        <v>1</v>
      </c>
      <c r="BH111" s="81">
        <v>0</v>
      </c>
      <c r="BI111" s="81">
        <v>0</v>
      </c>
      <c r="BJ111" s="81">
        <v>1</v>
      </c>
      <c r="BK111" s="81">
        <v>0</v>
      </c>
      <c r="BL111" s="81">
        <v>0</v>
      </c>
      <c r="BM111" s="81">
        <v>0</v>
      </c>
      <c r="BN111" s="81">
        <v>0</v>
      </c>
      <c r="BO111" s="81">
        <v>2</v>
      </c>
      <c r="BP111" s="81">
        <v>2</v>
      </c>
      <c r="BQ111" s="81">
        <v>1</v>
      </c>
      <c r="BR111" s="81">
        <v>2</v>
      </c>
      <c r="BS111" s="81">
        <v>2</v>
      </c>
      <c r="BT111" s="81">
        <v>2</v>
      </c>
      <c r="BU111" s="81">
        <v>1</v>
      </c>
      <c r="BV111" s="81">
        <v>1</v>
      </c>
      <c r="BW111" s="81">
        <v>2</v>
      </c>
      <c r="BX111" s="81">
        <v>2</v>
      </c>
      <c r="BY111" s="81">
        <v>2</v>
      </c>
      <c r="BZ111" s="81">
        <v>1</v>
      </c>
      <c r="CA111" s="81">
        <v>2</v>
      </c>
      <c r="CB111" s="81">
        <v>2</v>
      </c>
      <c r="CC111" s="81">
        <v>2</v>
      </c>
      <c r="CD111" s="81">
        <v>2</v>
      </c>
      <c r="CE111" s="81">
        <v>2</v>
      </c>
      <c r="CF111" s="81">
        <v>1</v>
      </c>
      <c r="CG111" s="81">
        <v>2</v>
      </c>
      <c r="CH111" s="81">
        <v>0</v>
      </c>
      <c r="CI111" s="81">
        <v>1</v>
      </c>
      <c r="CJ111" s="81">
        <v>0</v>
      </c>
      <c r="CK111" s="81">
        <v>1</v>
      </c>
      <c r="CL111" s="81">
        <v>0</v>
      </c>
      <c r="CM111" s="81">
        <v>0</v>
      </c>
      <c r="CN111" s="81">
        <v>0</v>
      </c>
      <c r="CO111" s="81">
        <v>2</v>
      </c>
      <c r="CP111" s="81">
        <v>2</v>
      </c>
      <c r="CQ111" s="81">
        <v>2</v>
      </c>
      <c r="CR111" s="81">
        <v>2</v>
      </c>
      <c r="CS111" s="81">
        <v>2</v>
      </c>
      <c r="CT111" s="81">
        <v>2</v>
      </c>
      <c r="CU111" s="81">
        <v>0</v>
      </c>
      <c r="CV111" s="81">
        <v>1</v>
      </c>
      <c r="CW111" s="81">
        <v>0</v>
      </c>
      <c r="CX111" s="81">
        <v>1</v>
      </c>
      <c r="CY111" s="81">
        <v>1</v>
      </c>
      <c r="CZ111" s="81">
        <v>0</v>
      </c>
      <c r="DA111" s="81">
        <v>1</v>
      </c>
    </row>
    <row r="112" spans="1:105" ht="12" customHeight="1" x14ac:dyDescent="0.3">
      <c r="A112" s="81" t="s">
        <v>732</v>
      </c>
      <c r="B112" s="81" t="s">
        <v>1446</v>
      </c>
      <c r="C112" s="81" t="s">
        <v>1447</v>
      </c>
      <c r="D112" s="81" t="s">
        <v>733</v>
      </c>
      <c r="E112" s="81" t="s">
        <v>397</v>
      </c>
      <c r="F112" s="81" t="s">
        <v>397</v>
      </c>
      <c r="G112" s="81" t="s">
        <v>396</v>
      </c>
      <c r="H112" s="94">
        <v>20</v>
      </c>
      <c r="I112" s="81" t="s">
        <v>6</v>
      </c>
      <c r="J112" s="81" t="s">
        <v>438</v>
      </c>
      <c r="K112" s="81">
        <v>20</v>
      </c>
      <c r="L112" s="81" t="s">
        <v>435</v>
      </c>
      <c r="M112" s="81" t="s">
        <v>444</v>
      </c>
      <c r="N112" s="81" t="s">
        <v>1430</v>
      </c>
      <c r="O112" s="81" t="s">
        <v>1448</v>
      </c>
      <c r="P112" s="81" t="s">
        <v>414</v>
      </c>
      <c r="Q112" s="81" t="s">
        <v>703</v>
      </c>
      <c r="R112" s="81">
        <v>0</v>
      </c>
      <c r="S112" s="81">
        <v>0</v>
      </c>
      <c r="T112" s="81">
        <v>0</v>
      </c>
      <c r="U112" s="81">
        <v>1</v>
      </c>
      <c r="V112" s="81">
        <v>0</v>
      </c>
      <c r="W112" s="81">
        <v>1</v>
      </c>
      <c r="X112" s="81">
        <v>0</v>
      </c>
      <c r="Y112" s="81">
        <v>0</v>
      </c>
      <c r="Z112" s="81">
        <v>0</v>
      </c>
      <c r="AA112" s="81">
        <v>1</v>
      </c>
      <c r="AB112" s="81">
        <v>0</v>
      </c>
      <c r="AC112" s="81">
        <v>0</v>
      </c>
      <c r="AD112" s="81">
        <v>0</v>
      </c>
      <c r="AE112" s="81">
        <v>0</v>
      </c>
      <c r="AF112" s="81">
        <v>0</v>
      </c>
      <c r="AG112" s="81">
        <v>1</v>
      </c>
      <c r="AH112" s="81">
        <v>0</v>
      </c>
      <c r="AI112" s="81">
        <v>0</v>
      </c>
      <c r="AJ112" s="81">
        <v>0</v>
      </c>
      <c r="AK112" s="81">
        <v>0</v>
      </c>
      <c r="AL112" s="81">
        <v>0</v>
      </c>
      <c r="AM112" s="81">
        <v>1</v>
      </c>
      <c r="AN112" s="81">
        <v>0</v>
      </c>
      <c r="AO112" s="81">
        <v>0</v>
      </c>
      <c r="AP112" s="81">
        <v>0</v>
      </c>
      <c r="AQ112" s="81">
        <v>0</v>
      </c>
      <c r="AR112" s="81">
        <v>0</v>
      </c>
      <c r="AS112" s="81">
        <v>0</v>
      </c>
      <c r="AT112" s="81">
        <v>0</v>
      </c>
      <c r="AU112" s="81">
        <v>0</v>
      </c>
      <c r="AV112" s="81">
        <v>0</v>
      </c>
      <c r="AW112" s="81">
        <v>0</v>
      </c>
      <c r="AX112" s="81">
        <v>0</v>
      </c>
      <c r="AY112" s="81">
        <v>1</v>
      </c>
      <c r="AZ112" s="81">
        <v>0</v>
      </c>
      <c r="BA112" s="81">
        <v>0</v>
      </c>
      <c r="BB112" s="81">
        <v>1</v>
      </c>
      <c r="BC112" s="81">
        <v>0</v>
      </c>
      <c r="BD112" s="81">
        <v>0</v>
      </c>
      <c r="BE112" s="81">
        <v>0</v>
      </c>
      <c r="BF112" s="81">
        <v>0</v>
      </c>
      <c r="BG112" s="81">
        <v>1</v>
      </c>
      <c r="BH112" s="81">
        <v>0</v>
      </c>
      <c r="BI112" s="81">
        <v>0</v>
      </c>
      <c r="BJ112" s="81">
        <v>1</v>
      </c>
      <c r="BK112" s="81">
        <v>0</v>
      </c>
      <c r="BL112" s="81">
        <v>0</v>
      </c>
      <c r="BM112" s="81">
        <v>0</v>
      </c>
      <c r="BN112" s="81">
        <v>0</v>
      </c>
      <c r="BO112" s="81">
        <v>2</v>
      </c>
      <c r="BP112" s="81">
        <v>2</v>
      </c>
      <c r="BQ112" s="81">
        <v>1</v>
      </c>
      <c r="BR112" s="81">
        <v>2</v>
      </c>
      <c r="BS112" s="81">
        <v>2</v>
      </c>
      <c r="BT112" s="81">
        <v>2</v>
      </c>
      <c r="BU112" s="81">
        <v>1</v>
      </c>
      <c r="BV112" s="81">
        <v>1</v>
      </c>
      <c r="BW112" s="81">
        <v>2</v>
      </c>
      <c r="BX112" s="81">
        <v>2</v>
      </c>
      <c r="BY112" s="81">
        <v>2</v>
      </c>
      <c r="BZ112" s="81">
        <v>1</v>
      </c>
      <c r="CA112" s="81">
        <v>2</v>
      </c>
      <c r="CB112" s="81">
        <v>2</v>
      </c>
      <c r="CC112" s="81">
        <v>2</v>
      </c>
      <c r="CD112" s="81">
        <v>2</v>
      </c>
      <c r="CE112" s="81">
        <v>2</v>
      </c>
      <c r="CF112" s="81">
        <v>1</v>
      </c>
      <c r="CG112" s="81">
        <v>2</v>
      </c>
      <c r="CH112" s="81">
        <v>0</v>
      </c>
      <c r="CI112" s="81">
        <v>1</v>
      </c>
      <c r="CJ112" s="81">
        <v>0</v>
      </c>
      <c r="CK112" s="81">
        <v>1</v>
      </c>
      <c r="CL112" s="81">
        <v>0</v>
      </c>
      <c r="CM112" s="81">
        <v>0</v>
      </c>
      <c r="CN112" s="81">
        <v>0</v>
      </c>
      <c r="CO112" s="81">
        <v>2</v>
      </c>
      <c r="CP112" s="81">
        <v>2</v>
      </c>
      <c r="CQ112" s="81">
        <v>2</v>
      </c>
      <c r="CR112" s="81">
        <v>2</v>
      </c>
      <c r="CS112" s="81">
        <v>2</v>
      </c>
      <c r="CT112" s="81">
        <v>2</v>
      </c>
      <c r="CU112" s="81">
        <v>0</v>
      </c>
      <c r="CV112" s="81">
        <v>1</v>
      </c>
      <c r="CW112" s="81">
        <v>0</v>
      </c>
      <c r="CX112" s="81">
        <v>1</v>
      </c>
      <c r="CY112" s="81">
        <v>1</v>
      </c>
      <c r="CZ112" s="81">
        <v>0</v>
      </c>
      <c r="DA112" s="81">
        <v>1</v>
      </c>
    </row>
    <row r="113" spans="1:105" ht="12" customHeight="1" x14ac:dyDescent="0.3">
      <c r="A113" s="81" t="s">
        <v>734</v>
      </c>
      <c r="B113" s="81" t="s">
        <v>1446</v>
      </c>
      <c r="C113" s="81" t="s">
        <v>1447</v>
      </c>
      <c r="D113" s="81" t="s">
        <v>735</v>
      </c>
      <c r="E113" s="81" t="s">
        <v>397</v>
      </c>
      <c r="F113" s="81" t="s">
        <v>397</v>
      </c>
      <c r="G113" s="81" t="s">
        <v>396</v>
      </c>
      <c r="H113" s="94">
        <v>20</v>
      </c>
      <c r="I113" s="81" t="s">
        <v>6</v>
      </c>
      <c r="J113" s="81" t="s">
        <v>438</v>
      </c>
      <c r="K113" s="81">
        <v>20</v>
      </c>
      <c r="L113" s="81" t="s">
        <v>435</v>
      </c>
      <c r="M113" s="81" t="s">
        <v>444</v>
      </c>
      <c r="N113" s="81" t="s">
        <v>1430</v>
      </c>
      <c r="O113" s="81" t="s">
        <v>1448</v>
      </c>
      <c r="P113" s="81" t="s">
        <v>414</v>
      </c>
      <c r="Q113" s="81" t="s">
        <v>703</v>
      </c>
      <c r="R113" s="81">
        <v>0</v>
      </c>
      <c r="S113" s="81">
        <v>0</v>
      </c>
      <c r="T113" s="81">
        <v>0</v>
      </c>
      <c r="U113" s="81">
        <v>1</v>
      </c>
      <c r="V113" s="81">
        <v>0</v>
      </c>
      <c r="W113" s="81">
        <v>1</v>
      </c>
      <c r="X113" s="81">
        <v>0</v>
      </c>
      <c r="Y113" s="81">
        <v>0</v>
      </c>
      <c r="Z113" s="81">
        <v>0</v>
      </c>
      <c r="AA113" s="81">
        <v>1</v>
      </c>
      <c r="AB113" s="81">
        <v>0</v>
      </c>
      <c r="AC113" s="81">
        <v>0</v>
      </c>
      <c r="AD113" s="81">
        <v>0</v>
      </c>
      <c r="AE113" s="81">
        <v>0</v>
      </c>
      <c r="AF113" s="81">
        <v>0</v>
      </c>
      <c r="AG113" s="81">
        <v>1</v>
      </c>
      <c r="AH113" s="81">
        <v>0</v>
      </c>
      <c r="AI113" s="81">
        <v>0</v>
      </c>
      <c r="AJ113" s="81">
        <v>0</v>
      </c>
      <c r="AK113" s="81">
        <v>0</v>
      </c>
      <c r="AL113" s="81">
        <v>0</v>
      </c>
      <c r="AM113" s="81">
        <v>1</v>
      </c>
      <c r="AN113" s="81">
        <v>0</v>
      </c>
      <c r="AO113" s="81">
        <v>0</v>
      </c>
      <c r="AP113" s="81">
        <v>0</v>
      </c>
      <c r="AQ113" s="81">
        <v>0</v>
      </c>
      <c r="AR113" s="81">
        <v>0</v>
      </c>
      <c r="AS113" s="81">
        <v>0</v>
      </c>
      <c r="AT113" s="81">
        <v>0</v>
      </c>
      <c r="AU113" s="81">
        <v>0</v>
      </c>
      <c r="AV113" s="81">
        <v>0</v>
      </c>
      <c r="AW113" s="81">
        <v>0</v>
      </c>
      <c r="AX113" s="81">
        <v>0</v>
      </c>
      <c r="AY113" s="81">
        <v>1</v>
      </c>
      <c r="AZ113" s="81">
        <v>0</v>
      </c>
      <c r="BA113" s="81">
        <v>0</v>
      </c>
      <c r="BB113" s="81">
        <v>1</v>
      </c>
      <c r="BC113" s="81">
        <v>0</v>
      </c>
      <c r="BD113" s="81">
        <v>0</v>
      </c>
      <c r="BE113" s="81">
        <v>0</v>
      </c>
      <c r="BF113" s="81">
        <v>0</v>
      </c>
      <c r="BG113" s="81">
        <v>1</v>
      </c>
      <c r="BH113" s="81">
        <v>0</v>
      </c>
      <c r="BI113" s="81">
        <v>0</v>
      </c>
      <c r="BJ113" s="81">
        <v>1</v>
      </c>
      <c r="BK113" s="81">
        <v>0</v>
      </c>
      <c r="BL113" s="81">
        <v>0</v>
      </c>
      <c r="BM113" s="81">
        <v>0</v>
      </c>
      <c r="BN113" s="81">
        <v>0</v>
      </c>
      <c r="BO113" s="81">
        <v>2</v>
      </c>
      <c r="BP113" s="81">
        <v>2</v>
      </c>
      <c r="BQ113" s="81">
        <v>1</v>
      </c>
      <c r="BR113" s="81">
        <v>2</v>
      </c>
      <c r="BS113" s="81">
        <v>2</v>
      </c>
      <c r="BT113" s="81">
        <v>2</v>
      </c>
      <c r="BU113" s="81">
        <v>1</v>
      </c>
      <c r="BV113" s="81">
        <v>1</v>
      </c>
      <c r="BW113" s="81">
        <v>2</v>
      </c>
      <c r="BX113" s="81">
        <v>2</v>
      </c>
      <c r="BY113" s="81">
        <v>2</v>
      </c>
      <c r="BZ113" s="81">
        <v>1</v>
      </c>
      <c r="CA113" s="81">
        <v>2</v>
      </c>
      <c r="CB113" s="81">
        <v>2</v>
      </c>
      <c r="CC113" s="81">
        <v>2</v>
      </c>
      <c r="CD113" s="81">
        <v>2</v>
      </c>
      <c r="CE113" s="81">
        <v>2</v>
      </c>
      <c r="CF113" s="81">
        <v>1</v>
      </c>
      <c r="CG113" s="81">
        <v>2</v>
      </c>
      <c r="CH113" s="81">
        <v>0</v>
      </c>
      <c r="CI113" s="81">
        <v>1</v>
      </c>
      <c r="CJ113" s="81">
        <v>0</v>
      </c>
      <c r="CK113" s="81">
        <v>1</v>
      </c>
      <c r="CL113" s="81">
        <v>0</v>
      </c>
      <c r="CM113" s="81">
        <v>0</v>
      </c>
      <c r="CN113" s="81">
        <v>0</v>
      </c>
      <c r="CO113" s="81">
        <v>2</v>
      </c>
      <c r="CP113" s="81">
        <v>2</v>
      </c>
      <c r="CQ113" s="81">
        <v>2</v>
      </c>
      <c r="CR113" s="81">
        <v>2</v>
      </c>
      <c r="CS113" s="81">
        <v>2</v>
      </c>
      <c r="CT113" s="81">
        <v>2</v>
      </c>
      <c r="CU113" s="81">
        <v>0</v>
      </c>
      <c r="CV113" s="81">
        <v>1</v>
      </c>
      <c r="CW113" s="81">
        <v>0</v>
      </c>
      <c r="CX113" s="81">
        <v>1</v>
      </c>
      <c r="CY113" s="81">
        <v>1</v>
      </c>
      <c r="CZ113" s="81">
        <v>0</v>
      </c>
      <c r="DA113" s="81">
        <v>1</v>
      </c>
    </row>
    <row r="114" spans="1:105" ht="12" customHeight="1" x14ac:dyDescent="0.3">
      <c r="A114" s="81" t="s">
        <v>736</v>
      </c>
      <c r="B114" s="81" t="s">
        <v>1446</v>
      </c>
      <c r="C114" s="81" t="s">
        <v>1447</v>
      </c>
      <c r="D114" s="81" t="s">
        <v>737</v>
      </c>
      <c r="E114" s="81" t="s">
        <v>397</v>
      </c>
      <c r="F114" s="81" t="s">
        <v>397</v>
      </c>
      <c r="G114" s="81" t="s">
        <v>396</v>
      </c>
      <c r="H114" s="94">
        <v>20</v>
      </c>
      <c r="I114" s="81" t="s">
        <v>6</v>
      </c>
      <c r="J114" s="81" t="s">
        <v>438</v>
      </c>
      <c r="K114" s="81">
        <v>20</v>
      </c>
      <c r="L114" s="81" t="s">
        <v>435</v>
      </c>
      <c r="M114" s="81" t="s">
        <v>444</v>
      </c>
      <c r="N114" s="81" t="s">
        <v>1430</v>
      </c>
      <c r="O114" s="81" t="s">
        <v>1448</v>
      </c>
      <c r="P114" s="81" t="s">
        <v>414</v>
      </c>
      <c r="Q114" s="81" t="s">
        <v>703</v>
      </c>
      <c r="R114" s="81">
        <v>0</v>
      </c>
      <c r="S114" s="81">
        <v>0</v>
      </c>
      <c r="T114" s="81">
        <v>0</v>
      </c>
      <c r="U114" s="81">
        <v>1</v>
      </c>
      <c r="V114" s="81">
        <v>0</v>
      </c>
      <c r="W114" s="81">
        <v>1</v>
      </c>
      <c r="X114" s="81">
        <v>0</v>
      </c>
      <c r="Y114" s="81">
        <v>0</v>
      </c>
      <c r="Z114" s="81">
        <v>0</v>
      </c>
      <c r="AA114" s="81">
        <v>1</v>
      </c>
      <c r="AB114" s="81">
        <v>0</v>
      </c>
      <c r="AC114" s="81">
        <v>0</v>
      </c>
      <c r="AD114" s="81">
        <v>0</v>
      </c>
      <c r="AE114" s="81">
        <v>0</v>
      </c>
      <c r="AF114" s="81">
        <v>0</v>
      </c>
      <c r="AG114" s="81">
        <v>1</v>
      </c>
      <c r="AH114" s="81">
        <v>0</v>
      </c>
      <c r="AI114" s="81">
        <v>0</v>
      </c>
      <c r="AJ114" s="81">
        <v>0</v>
      </c>
      <c r="AK114" s="81">
        <v>0</v>
      </c>
      <c r="AL114" s="81">
        <v>0</v>
      </c>
      <c r="AM114" s="81">
        <v>1</v>
      </c>
      <c r="AN114" s="81">
        <v>0</v>
      </c>
      <c r="AO114" s="81">
        <v>0</v>
      </c>
      <c r="AP114" s="81">
        <v>0</v>
      </c>
      <c r="AQ114" s="81">
        <v>0</v>
      </c>
      <c r="AR114" s="81">
        <v>0</v>
      </c>
      <c r="AS114" s="81">
        <v>0</v>
      </c>
      <c r="AT114" s="81">
        <v>0</v>
      </c>
      <c r="AU114" s="81">
        <v>0</v>
      </c>
      <c r="AV114" s="81">
        <v>0</v>
      </c>
      <c r="AW114" s="81">
        <v>0</v>
      </c>
      <c r="AX114" s="81">
        <v>0</v>
      </c>
      <c r="AY114" s="81">
        <v>1</v>
      </c>
      <c r="AZ114" s="81">
        <v>0</v>
      </c>
      <c r="BA114" s="81">
        <v>0</v>
      </c>
      <c r="BB114" s="81">
        <v>1</v>
      </c>
      <c r="BC114" s="81">
        <v>0</v>
      </c>
      <c r="BD114" s="81">
        <v>0</v>
      </c>
      <c r="BE114" s="81">
        <v>0</v>
      </c>
      <c r="BF114" s="81">
        <v>0</v>
      </c>
      <c r="BG114" s="81">
        <v>1</v>
      </c>
      <c r="BH114" s="81">
        <v>0</v>
      </c>
      <c r="BI114" s="81">
        <v>0</v>
      </c>
      <c r="BJ114" s="81">
        <v>1</v>
      </c>
      <c r="BK114" s="81">
        <v>0</v>
      </c>
      <c r="BL114" s="81">
        <v>0</v>
      </c>
      <c r="BM114" s="81">
        <v>0</v>
      </c>
      <c r="BN114" s="81">
        <v>0</v>
      </c>
      <c r="BO114" s="81">
        <v>2</v>
      </c>
      <c r="BP114" s="81">
        <v>2</v>
      </c>
      <c r="BQ114" s="81">
        <v>1</v>
      </c>
      <c r="BR114" s="81">
        <v>2</v>
      </c>
      <c r="BS114" s="81">
        <v>2</v>
      </c>
      <c r="BT114" s="81">
        <v>2</v>
      </c>
      <c r="BU114" s="81">
        <v>1</v>
      </c>
      <c r="BV114" s="81">
        <v>1</v>
      </c>
      <c r="BW114" s="81">
        <v>2</v>
      </c>
      <c r="BX114" s="81">
        <v>2</v>
      </c>
      <c r="BY114" s="81">
        <v>2</v>
      </c>
      <c r="BZ114" s="81">
        <v>1</v>
      </c>
      <c r="CA114" s="81">
        <v>2</v>
      </c>
      <c r="CB114" s="81">
        <v>2</v>
      </c>
      <c r="CC114" s="81">
        <v>2</v>
      </c>
      <c r="CD114" s="81">
        <v>2</v>
      </c>
      <c r="CE114" s="81">
        <v>2</v>
      </c>
      <c r="CF114" s="81">
        <v>1</v>
      </c>
      <c r="CG114" s="81">
        <v>2</v>
      </c>
      <c r="CH114" s="81">
        <v>0</v>
      </c>
      <c r="CI114" s="81">
        <v>1</v>
      </c>
      <c r="CJ114" s="81">
        <v>0</v>
      </c>
      <c r="CK114" s="81">
        <v>1</v>
      </c>
      <c r="CL114" s="81">
        <v>0</v>
      </c>
      <c r="CM114" s="81">
        <v>0</v>
      </c>
      <c r="CN114" s="81">
        <v>0</v>
      </c>
      <c r="CO114" s="81">
        <v>2</v>
      </c>
      <c r="CP114" s="81">
        <v>2</v>
      </c>
      <c r="CQ114" s="81">
        <v>2</v>
      </c>
      <c r="CR114" s="81">
        <v>2</v>
      </c>
      <c r="CS114" s="81">
        <v>2</v>
      </c>
      <c r="CT114" s="81">
        <v>2</v>
      </c>
      <c r="CU114" s="81">
        <v>0</v>
      </c>
      <c r="CV114" s="81">
        <v>1</v>
      </c>
      <c r="CW114" s="81">
        <v>0</v>
      </c>
      <c r="CX114" s="81">
        <v>1</v>
      </c>
      <c r="CY114" s="81">
        <v>1</v>
      </c>
      <c r="CZ114" s="81">
        <v>0</v>
      </c>
      <c r="DA114" s="81">
        <v>1</v>
      </c>
    </row>
    <row r="115" spans="1:105" ht="12" customHeight="1" x14ac:dyDescent="0.3">
      <c r="A115" s="81" t="s">
        <v>738</v>
      </c>
      <c r="B115" s="81" t="s">
        <v>1446</v>
      </c>
      <c r="C115" s="81" t="s">
        <v>1447</v>
      </c>
      <c r="D115" s="81" t="s">
        <v>739</v>
      </c>
      <c r="E115" s="81" t="s">
        <v>397</v>
      </c>
      <c r="F115" s="81" t="s">
        <v>397</v>
      </c>
      <c r="G115" s="81" t="s">
        <v>396</v>
      </c>
      <c r="H115" s="94">
        <v>20</v>
      </c>
      <c r="I115" s="81" t="s">
        <v>6</v>
      </c>
      <c r="J115" s="81" t="s">
        <v>438</v>
      </c>
      <c r="K115" s="81">
        <v>20</v>
      </c>
      <c r="L115" s="81" t="s">
        <v>435</v>
      </c>
      <c r="M115" s="81" t="s">
        <v>444</v>
      </c>
      <c r="N115" s="81" t="s">
        <v>1430</v>
      </c>
      <c r="O115" s="81" t="s">
        <v>1448</v>
      </c>
      <c r="P115" s="81" t="s">
        <v>414</v>
      </c>
      <c r="Q115" s="81" t="s">
        <v>703</v>
      </c>
      <c r="R115" s="81">
        <v>0</v>
      </c>
      <c r="S115" s="81">
        <v>0</v>
      </c>
      <c r="T115" s="81">
        <v>0</v>
      </c>
      <c r="U115" s="81">
        <v>1</v>
      </c>
      <c r="V115" s="81">
        <v>0</v>
      </c>
      <c r="W115" s="81">
        <v>1</v>
      </c>
      <c r="X115" s="81">
        <v>0</v>
      </c>
      <c r="Y115" s="81">
        <v>0</v>
      </c>
      <c r="Z115" s="81">
        <v>0</v>
      </c>
      <c r="AA115" s="81">
        <v>1</v>
      </c>
      <c r="AB115" s="81">
        <v>0</v>
      </c>
      <c r="AC115" s="81">
        <v>0</v>
      </c>
      <c r="AD115" s="81">
        <v>0</v>
      </c>
      <c r="AE115" s="81">
        <v>0</v>
      </c>
      <c r="AF115" s="81">
        <v>0</v>
      </c>
      <c r="AG115" s="81">
        <v>1</v>
      </c>
      <c r="AH115" s="81">
        <v>0</v>
      </c>
      <c r="AI115" s="81">
        <v>0</v>
      </c>
      <c r="AJ115" s="81">
        <v>0</v>
      </c>
      <c r="AK115" s="81">
        <v>0</v>
      </c>
      <c r="AL115" s="81">
        <v>0</v>
      </c>
      <c r="AM115" s="81">
        <v>1</v>
      </c>
      <c r="AN115" s="81">
        <v>0</v>
      </c>
      <c r="AO115" s="81">
        <v>0</v>
      </c>
      <c r="AP115" s="81">
        <v>0</v>
      </c>
      <c r="AQ115" s="81">
        <v>0</v>
      </c>
      <c r="AR115" s="81">
        <v>0</v>
      </c>
      <c r="AS115" s="81">
        <v>0</v>
      </c>
      <c r="AT115" s="81">
        <v>0</v>
      </c>
      <c r="AU115" s="81">
        <v>0</v>
      </c>
      <c r="AV115" s="81">
        <v>0</v>
      </c>
      <c r="AW115" s="81">
        <v>0</v>
      </c>
      <c r="AX115" s="81">
        <v>0</v>
      </c>
      <c r="AY115" s="81">
        <v>1</v>
      </c>
      <c r="AZ115" s="81">
        <v>0</v>
      </c>
      <c r="BA115" s="81">
        <v>0</v>
      </c>
      <c r="BB115" s="81">
        <v>1</v>
      </c>
      <c r="BC115" s="81">
        <v>0</v>
      </c>
      <c r="BD115" s="81">
        <v>0</v>
      </c>
      <c r="BE115" s="81">
        <v>0</v>
      </c>
      <c r="BF115" s="81">
        <v>0</v>
      </c>
      <c r="BG115" s="81">
        <v>1</v>
      </c>
      <c r="BH115" s="81">
        <v>0</v>
      </c>
      <c r="BI115" s="81">
        <v>0</v>
      </c>
      <c r="BJ115" s="81">
        <v>1</v>
      </c>
      <c r="BK115" s="81">
        <v>0</v>
      </c>
      <c r="BL115" s="81">
        <v>0</v>
      </c>
      <c r="BM115" s="81">
        <v>0</v>
      </c>
      <c r="BN115" s="81">
        <v>0</v>
      </c>
      <c r="BO115" s="81">
        <v>2</v>
      </c>
      <c r="BP115" s="81">
        <v>2</v>
      </c>
      <c r="BQ115" s="81">
        <v>1</v>
      </c>
      <c r="BR115" s="81">
        <v>2</v>
      </c>
      <c r="BS115" s="81">
        <v>2</v>
      </c>
      <c r="BT115" s="81">
        <v>2</v>
      </c>
      <c r="BU115" s="81">
        <v>1</v>
      </c>
      <c r="BV115" s="81">
        <v>1</v>
      </c>
      <c r="BW115" s="81">
        <v>2</v>
      </c>
      <c r="BX115" s="81">
        <v>2</v>
      </c>
      <c r="BY115" s="81">
        <v>2</v>
      </c>
      <c r="BZ115" s="81">
        <v>1</v>
      </c>
      <c r="CA115" s="81">
        <v>2</v>
      </c>
      <c r="CB115" s="81">
        <v>2</v>
      </c>
      <c r="CC115" s="81">
        <v>2</v>
      </c>
      <c r="CD115" s="81">
        <v>2</v>
      </c>
      <c r="CE115" s="81">
        <v>2</v>
      </c>
      <c r="CF115" s="81">
        <v>1</v>
      </c>
      <c r="CG115" s="81">
        <v>2</v>
      </c>
      <c r="CH115" s="81">
        <v>0</v>
      </c>
      <c r="CI115" s="81">
        <v>1</v>
      </c>
      <c r="CJ115" s="81">
        <v>0</v>
      </c>
      <c r="CK115" s="81">
        <v>1</v>
      </c>
      <c r="CL115" s="81">
        <v>0</v>
      </c>
      <c r="CM115" s="81">
        <v>0</v>
      </c>
      <c r="CN115" s="81">
        <v>0</v>
      </c>
      <c r="CO115" s="81">
        <v>2</v>
      </c>
      <c r="CP115" s="81">
        <v>2</v>
      </c>
      <c r="CQ115" s="81">
        <v>2</v>
      </c>
      <c r="CR115" s="81">
        <v>2</v>
      </c>
      <c r="CS115" s="81">
        <v>2</v>
      </c>
      <c r="CT115" s="81">
        <v>2</v>
      </c>
      <c r="CU115" s="81">
        <v>0</v>
      </c>
      <c r="CV115" s="81">
        <v>1</v>
      </c>
      <c r="CW115" s="81">
        <v>0</v>
      </c>
      <c r="CX115" s="81">
        <v>1</v>
      </c>
      <c r="CY115" s="81">
        <v>1</v>
      </c>
      <c r="CZ115" s="81">
        <v>0</v>
      </c>
      <c r="DA115" s="81">
        <v>1</v>
      </c>
    </row>
    <row r="116" spans="1:105" ht="12" customHeight="1" x14ac:dyDescent="0.3">
      <c r="A116" s="81" t="s">
        <v>740</v>
      </c>
      <c r="B116" s="81" t="s">
        <v>1446</v>
      </c>
      <c r="C116" s="81" t="s">
        <v>1447</v>
      </c>
      <c r="D116" s="81" t="s">
        <v>741</v>
      </c>
      <c r="E116" s="81" t="s">
        <v>397</v>
      </c>
      <c r="F116" s="81" t="s">
        <v>397</v>
      </c>
      <c r="G116" s="81"/>
      <c r="H116" s="94">
        <v>20</v>
      </c>
      <c r="I116" s="81" t="s">
        <v>6</v>
      </c>
      <c r="J116" s="81" t="s">
        <v>438</v>
      </c>
      <c r="K116" s="81">
        <v>20</v>
      </c>
      <c r="L116" s="81" t="s">
        <v>435</v>
      </c>
      <c r="M116" s="81" t="s">
        <v>444</v>
      </c>
      <c r="N116" s="81" t="s">
        <v>1430</v>
      </c>
      <c r="O116" s="81" t="s">
        <v>1448</v>
      </c>
      <c r="P116" s="81" t="s">
        <v>414</v>
      </c>
      <c r="Q116" s="81" t="s">
        <v>690</v>
      </c>
      <c r="R116" s="81">
        <v>0</v>
      </c>
      <c r="S116" s="81">
        <v>0</v>
      </c>
      <c r="T116" s="81">
        <v>0</v>
      </c>
      <c r="U116" s="81">
        <v>1</v>
      </c>
      <c r="V116" s="81">
        <v>0</v>
      </c>
      <c r="W116" s="81">
        <v>1</v>
      </c>
      <c r="X116" s="81">
        <v>0</v>
      </c>
      <c r="Y116" s="81">
        <v>0</v>
      </c>
      <c r="Z116" s="81">
        <v>0</v>
      </c>
      <c r="AA116" s="81">
        <v>1</v>
      </c>
      <c r="AB116" s="81">
        <v>0</v>
      </c>
      <c r="AC116" s="81">
        <v>0</v>
      </c>
      <c r="AD116" s="81">
        <v>0</v>
      </c>
      <c r="AE116" s="81">
        <v>0</v>
      </c>
      <c r="AF116" s="81">
        <v>0</v>
      </c>
      <c r="AG116" s="81">
        <v>1</v>
      </c>
      <c r="AH116" s="81">
        <v>0</v>
      </c>
      <c r="AI116" s="81">
        <v>0</v>
      </c>
      <c r="AJ116" s="81">
        <v>0</v>
      </c>
      <c r="AK116" s="81">
        <v>0</v>
      </c>
      <c r="AL116" s="81">
        <v>0</v>
      </c>
      <c r="AM116" s="81">
        <v>1</v>
      </c>
      <c r="AN116" s="81">
        <v>0</v>
      </c>
      <c r="AO116" s="81">
        <v>0</v>
      </c>
      <c r="AP116" s="81">
        <v>0</v>
      </c>
      <c r="AQ116" s="81">
        <v>0</v>
      </c>
      <c r="AR116" s="81">
        <v>0</v>
      </c>
      <c r="AS116" s="81">
        <v>0</v>
      </c>
      <c r="AT116" s="81">
        <v>0</v>
      </c>
      <c r="AU116" s="81">
        <v>0</v>
      </c>
      <c r="AV116" s="81">
        <v>0</v>
      </c>
      <c r="AW116" s="81">
        <v>0</v>
      </c>
      <c r="AX116" s="81">
        <v>0</v>
      </c>
      <c r="AY116" s="81">
        <v>1</v>
      </c>
      <c r="AZ116" s="81">
        <v>0</v>
      </c>
      <c r="BA116" s="81">
        <v>0</v>
      </c>
      <c r="BB116" s="81">
        <v>1</v>
      </c>
      <c r="BC116" s="81">
        <v>0</v>
      </c>
      <c r="BD116" s="81">
        <v>0</v>
      </c>
      <c r="BE116" s="81">
        <v>0</v>
      </c>
      <c r="BF116" s="81">
        <v>0</v>
      </c>
      <c r="BG116" s="81">
        <v>1</v>
      </c>
      <c r="BH116" s="81">
        <v>0</v>
      </c>
      <c r="BI116" s="81">
        <v>0</v>
      </c>
      <c r="BJ116" s="81">
        <v>1</v>
      </c>
      <c r="BK116" s="81">
        <v>0</v>
      </c>
      <c r="BL116" s="81">
        <v>0</v>
      </c>
      <c r="BM116" s="81">
        <v>0</v>
      </c>
      <c r="BN116" s="81">
        <v>0</v>
      </c>
      <c r="BO116" s="81">
        <v>2</v>
      </c>
      <c r="BP116" s="81">
        <v>2</v>
      </c>
      <c r="BQ116" s="81">
        <v>1</v>
      </c>
      <c r="BR116" s="81">
        <v>2</v>
      </c>
      <c r="BS116" s="81">
        <v>2</v>
      </c>
      <c r="BT116" s="81">
        <v>2</v>
      </c>
      <c r="BU116" s="81">
        <v>1</v>
      </c>
      <c r="BV116" s="81">
        <v>1</v>
      </c>
      <c r="BW116" s="81">
        <v>2</v>
      </c>
      <c r="BX116" s="81">
        <v>2</v>
      </c>
      <c r="BY116" s="81">
        <v>2</v>
      </c>
      <c r="BZ116" s="81">
        <v>1</v>
      </c>
      <c r="CA116" s="81">
        <v>2</v>
      </c>
      <c r="CB116" s="81">
        <v>2</v>
      </c>
      <c r="CC116" s="81">
        <v>2</v>
      </c>
      <c r="CD116" s="81">
        <v>2</v>
      </c>
      <c r="CE116" s="81">
        <v>2</v>
      </c>
      <c r="CF116" s="81">
        <v>1</v>
      </c>
      <c r="CG116" s="81">
        <v>2</v>
      </c>
      <c r="CH116" s="81">
        <v>0</v>
      </c>
      <c r="CI116" s="81">
        <v>1</v>
      </c>
      <c r="CJ116" s="81">
        <v>0</v>
      </c>
      <c r="CK116" s="81">
        <v>1</v>
      </c>
      <c r="CL116" s="81">
        <v>0</v>
      </c>
      <c r="CM116" s="81">
        <v>0</v>
      </c>
      <c r="CN116" s="81">
        <v>0</v>
      </c>
      <c r="CO116" s="81">
        <v>2</v>
      </c>
      <c r="CP116" s="81">
        <v>2</v>
      </c>
      <c r="CQ116" s="81">
        <v>2</v>
      </c>
      <c r="CR116" s="81">
        <v>2</v>
      </c>
      <c r="CS116" s="81">
        <v>2</v>
      </c>
      <c r="CT116" s="81">
        <v>2</v>
      </c>
      <c r="CU116" s="81">
        <v>0</v>
      </c>
      <c r="CV116" s="81">
        <v>1</v>
      </c>
      <c r="CW116" s="81">
        <v>0</v>
      </c>
      <c r="CX116" s="81">
        <v>1</v>
      </c>
      <c r="CY116" s="81">
        <v>1</v>
      </c>
      <c r="CZ116" s="81">
        <v>0</v>
      </c>
      <c r="DA116" s="81">
        <v>1</v>
      </c>
    </row>
    <row r="117" spans="1:105" ht="12" customHeight="1" x14ac:dyDescent="0.3">
      <c r="A117" s="81" t="s">
        <v>742</v>
      </c>
      <c r="B117" s="81" t="s">
        <v>1446</v>
      </c>
      <c r="C117" s="81" t="s">
        <v>1450</v>
      </c>
      <c r="D117" s="81" t="s">
        <v>743</v>
      </c>
      <c r="E117" s="81" t="s">
        <v>398</v>
      </c>
      <c r="F117" s="81" t="s">
        <v>398</v>
      </c>
      <c r="G117" s="81"/>
      <c r="H117" s="94">
        <v>17</v>
      </c>
      <c r="I117" s="81" t="s">
        <v>4</v>
      </c>
      <c r="J117" s="81" t="s">
        <v>433</v>
      </c>
      <c r="K117" s="81">
        <v>18</v>
      </c>
      <c r="L117" s="81" t="s">
        <v>435</v>
      </c>
      <c r="M117" s="81" t="s">
        <v>436</v>
      </c>
      <c r="N117" s="81" t="s">
        <v>1430</v>
      </c>
      <c r="O117" s="81" t="s">
        <v>1451</v>
      </c>
      <c r="P117" s="81" t="s">
        <v>414</v>
      </c>
      <c r="Q117" s="81" t="s">
        <v>744</v>
      </c>
      <c r="R117" s="81">
        <v>0</v>
      </c>
      <c r="S117" s="81">
        <v>0</v>
      </c>
      <c r="T117" s="81">
        <v>0</v>
      </c>
      <c r="U117" s="81">
        <v>0</v>
      </c>
      <c r="V117" s="81">
        <v>0</v>
      </c>
      <c r="W117" s="81">
        <v>0</v>
      </c>
      <c r="X117" s="81">
        <v>0</v>
      </c>
      <c r="Y117" s="81">
        <v>0</v>
      </c>
      <c r="Z117" s="81">
        <v>0</v>
      </c>
      <c r="AA117" s="81">
        <v>0</v>
      </c>
      <c r="AB117" s="81">
        <v>0</v>
      </c>
      <c r="AC117" s="81">
        <v>0</v>
      </c>
      <c r="AD117" s="81">
        <v>0</v>
      </c>
      <c r="AE117" s="81">
        <v>0</v>
      </c>
      <c r="AF117" s="81">
        <v>0</v>
      </c>
      <c r="AG117" s="81">
        <v>0</v>
      </c>
      <c r="AH117" s="81">
        <v>0</v>
      </c>
      <c r="AI117" s="81">
        <v>0</v>
      </c>
      <c r="AJ117" s="81">
        <v>0</v>
      </c>
      <c r="AK117" s="81">
        <v>0</v>
      </c>
      <c r="AL117" s="81">
        <v>0</v>
      </c>
      <c r="AM117" s="81">
        <v>0</v>
      </c>
      <c r="AN117" s="81">
        <v>0</v>
      </c>
      <c r="AO117" s="81">
        <v>0</v>
      </c>
      <c r="AP117" s="81">
        <v>0</v>
      </c>
      <c r="AQ117" s="81">
        <v>0</v>
      </c>
      <c r="AR117" s="81">
        <v>0</v>
      </c>
      <c r="AS117" s="81">
        <v>0</v>
      </c>
      <c r="AT117" s="81">
        <v>0</v>
      </c>
      <c r="AU117" s="81">
        <v>0</v>
      </c>
      <c r="AV117" s="81">
        <v>0</v>
      </c>
      <c r="AW117" s="81">
        <v>0</v>
      </c>
      <c r="AX117" s="81">
        <v>0</v>
      </c>
      <c r="AY117" s="81">
        <v>0</v>
      </c>
      <c r="AZ117" s="81">
        <v>0</v>
      </c>
      <c r="BA117" s="81">
        <v>0</v>
      </c>
      <c r="BB117" s="81">
        <v>0</v>
      </c>
      <c r="BC117" s="81">
        <v>0</v>
      </c>
      <c r="BD117" s="81">
        <v>0</v>
      </c>
      <c r="BE117" s="81">
        <v>0</v>
      </c>
      <c r="BF117" s="81">
        <v>0</v>
      </c>
      <c r="BG117" s="81">
        <v>0</v>
      </c>
      <c r="BH117" s="81">
        <v>0</v>
      </c>
      <c r="BI117" s="81">
        <v>0</v>
      </c>
      <c r="BJ117" s="81">
        <v>0</v>
      </c>
      <c r="BK117" s="81">
        <v>0</v>
      </c>
      <c r="BL117" s="81">
        <v>0</v>
      </c>
      <c r="BM117" s="81">
        <v>0</v>
      </c>
      <c r="BN117" s="81">
        <v>0</v>
      </c>
      <c r="BO117" s="81">
        <v>1</v>
      </c>
      <c r="BP117" s="81">
        <v>1</v>
      </c>
      <c r="BQ117" s="81">
        <v>1</v>
      </c>
      <c r="BR117" s="81">
        <v>1</v>
      </c>
      <c r="BS117" s="81">
        <v>1</v>
      </c>
      <c r="BT117" s="81">
        <v>1</v>
      </c>
      <c r="BU117" s="81">
        <v>1</v>
      </c>
      <c r="BV117" s="81">
        <v>1</v>
      </c>
      <c r="BW117" s="81">
        <v>1</v>
      </c>
      <c r="BX117" s="81">
        <v>2</v>
      </c>
      <c r="BY117" s="81">
        <v>1</v>
      </c>
      <c r="BZ117" s="81">
        <v>1</v>
      </c>
      <c r="CA117" s="81">
        <v>1</v>
      </c>
      <c r="CB117" s="81">
        <v>1</v>
      </c>
      <c r="CC117" s="81">
        <v>1</v>
      </c>
      <c r="CD117" s="81">
        <v>1</v>
      </c>
      <c r="CE117" s="81">
        <v>1</v>
      </c>
      <c r="CF117" s="81">
        <v>1</v>
      </c>
      <c r="CG117" s="81">
        <v>1</v>
      </c>
      <c r="CH117" s="81">
        <v>0</v>
      </c>
      <c r="CI117" s="81">
        <v>0</v>
      </c>
      <c r="CJ117" s="81">
        <v>0</v>
      </c>
      <c r="CK117" s="81">
        <v>0</v>
      </c>
      <c r="CL117" s="81">
        <v>0</v>
      </c>
      <c r="CM117" s="81">
        <v>0</v>
      </c>
      <c r="CN117" s="81">
        <v>0</v>
      </c>
      <c r="CO117" s="81">
        <v>2</v>
      </c>
      <c r="CP117" s="81">
        <v>1</v>
      </c>
      <c r="CQ117" s="81">
        <v>1</v>
      </c>
      <c r="CR117" s="81">
        <v>2</v>
      </c>
      <c r="CS117" s="81">
        <v>1</v>
      </c>
      <c r="CT117" s="81">
        <v>1</v>
      </c>
      <c r="CU117" s="81">
        <v>0</v>
      </c>
      <c r="CV117" s="81">
        <v>0</v>
      </c>
      <c r="CW117" s="81">
        <v>0</v>
      </c>
      <c r="CX117" s="81">
        <v>1</v>
      </c>
      <c r="CY117" s="81">
        <v>1</v>
      </c>
      <c r="CZ117" s="81">
        <v>0</v>
      </c>
      <c r="DA117" s="81">
        <v>1</v>
      </c>
    </row>
    <row r="118" spans="1:105" ht="12" customHeight="1" x14ac:dyDescent="0.3">
      <c r="A118" s="81" t="s">
        <v>745</v>
      </c>
      <c r="B118" s="81" t="s">
        <v>1446</v>
      </c>
      <c r="C118" s="81" t="s">
        <v>1450</v>
      </c>
      <c r="D118" s="81" t="s">
        <v>746</v>
      </c>
      <c r="E118" s="81" t="s">
        <v>398</v>
      </c>
      <c r="F118" s="81" t="s">
        <v>398</v>
      </c>
      <c r="G118" s="81"/>
      <c r="H118" s="94">
        <v>17</v>
      </c>
      <c r="I118" s="81" t="s">
        <v>4</v>
      </c>
      <c r="J118" s="81" t="s">
        <v>433</v>
      </c>
      <c r="K118" s="81">
        <v>18</v>
      </c>
      <c r="L118" s="81" t="s">
        <v>435</v>
      </c>
      <c r="M118" s="81" t="s">
        <v>436</v>
      </c>
      <c r="N118" s="81" t="s">
        <v>1430</v>
      </c>
      <c r="O118" s="81" t="s">
        <v>1451</v>
      </c>
      <c r="P118" s="81" t="s">
        <v>414</v>
      </c>
      <c r="Q118" s="81" t="s">
        <v>744</v>
      </c>
      <c r="R118" s="81">
        <v>0</v>
      </c>
      <c r="S118" s="81">
        <v>0</v>
      </c>
      <c r="T118" s="81">
        <v>0</v>
      </c>
      <c r="U118" s="81">
        <v>0</v>
      </c>
      <c r="V118" s="81">
        <v>0</v>
      </c>
      <c r="W118" s="81">
        <v>0</v>
      </c>
      <c r="X118" s="81">
        <v>0</v>
      </c>
      <c r="Y118" s="81">
        <v>0</v>
      </c>
      <c r="Z118" s="81">
        <v>0</v>
      </c>
      <c r="AA118" s="81">
        <v>0</v>
      </c>
      <c r="AB118" s="81">
        <v>0</v>
      </c>
      <c r="AC118" s="81">
        <v>0</v>
      </c>
      <c r="AD118" s="81">
        <v>0</v>
      </c>
      <c r="AE118" s="81">
        <v>0</v>
      </c>
      <c r="AF118" s="81">
        <v>0</v>
      </c>
      <c r="AG118" s="81">
        <v>0</v>
      </c>
      <c r="AH118" s="81">
        <v>0</v>
      </c>
      <c r="AI118" s="81">
        <v>0</v>
      </c>
      <c r="AJ118" s="81">
        <v>0</v>
      </c>
      <c r="AK118" s="81">
        <v>0</v>
      </c>
      <c r="AL118" s="81">
        <v>0</v>
      </c>
      <c r="AM118" s="81">
        <v>0</v>
      </c>
      <c r="AN118" s="81">
        <v>0</v>
      </c>
      <c r="AO118" s="81">
        <v>0</v>
      </c>
      <c r="AP118" s="81">
        <v>0</v>
      </c>
      <c r="AQ118" s="81">
        <v>0</v>
      </c>
      <c r="AR118" s="81">
        <v>0</v>
      </c>
      <c r="AS118" s="81">
        <v>0</v>
      </c>
      <c r="AT118" s="81">
        <v>0</v>
      </c>
      <c r="AU118" s="81">
        <v>0</v>
      </c>
      <c r="AV118" s="81">
        <v>0</v>
      </c>
      <c r="AW118" s="81">
        <v>0</v>
      </c>
      <c r="AX118" s="81">
        <v>0</v>
      </c>
      <c r="AY118" s="81">
        <v>0</v>
      </c>
      <c r="AZ118" s="81">
        <v>0</v>
      </c>
      <c r="BA118" s="81">
        <v>0</v>
      </c>
      <c r="BB118" s="81">
        <v>0</v>
      </c>
      <c r="BC118" s="81">
        <v>0</v>
      </c>
      <c r="BD118" s="81">
        <v>0</v>
      </c>
      <c r="BE118" s="81">
        <v>0</v>
      </c>
      <c r="BF118" s="81">
        <v>0</v>
      </c>
      <c r="BG118" s="81">
        <v>0</v>
      </c>
      <c r="BH118" s="81">
        <v>0</v>
      </c>
      <c r="BI118" s="81">
        <v>0</v>
      </c>
      <c r="BJ118" s="81">
        <v>0</v>
      </c>
      <c r="BK118" s="81">
        <v>0</v>
      </c>
      <c r="BL118" s="81">
        <v>0</v>
      </c>
      <c r="BM118" s="81">
        <v>0</v>
      </c>
      <c r="BN118" s="81">
        <v>0</v>
      </c>
      <c r="BO118" s="81">
        <v>1</v>
      </c>
      <c r="BP118" s="81">
        <v>1</v>
      </c>
      <c r="BQ118" s="81">
        <v>1</v>
      </c>
      <c r="BR118" s="81">
        <v>1</v>
      </c>
      <c r="BS118" s="81">
        <v>1</v>
      </c>
      <c r="BT118" s="81">
        <v>1</v>
      </c>
      <c r="BU118" s="81">
        <v>1</v>
      </c>
      <c r="BV118" s="81">
        <v>1</v>
      </c>
      <c r="BW118" s="81">
        <v>1</v>
      </c>
      <c r="BX118" s="81">
        <v>2</v>
      </c>
      <c r="BY118" s="81">
        <v>1</v>
      </c>
      <c r="BZ118" s="81">
        <v>1</v>
      </c>
      <c r="CA118" s="81">
        <v>1</v>
      </c>
      <c r="CB118" s="81">
        <v>1</v>
      </c>
      <c r="CC118" s="81">
        <v>1</v>
      </c>
      <c r="CD118" s="81">
        <v>1</v>
      </c>
      <c r="CE118" s="81">
        <v>1</v>
      </c>
      <c r="CF118" s="81">
        <v>1</v>
      </c>
      <c r="CG118" s="81">
        <v>1</v>
      </c>
      <c r="CH118" s="81">
        <v>0</v>
      </c>
      <c r="CI118" s="81">
        <v>0</v>
      </c>
      <c r="CJ118" s="81">
        <v>0</v>
      </c>
      <c r="CK118" s="81">
        <v>0</v>
      </c>
      <c r="CL118" s="81">
        <v>0</v>
      </c>
      <c r="CM118" s="81">
        <v>0</v>
      </c>
      <c r="CN118" s="81">
        <v>0</v>
      </c>
      <c r="CO118" s="81">
        <v>2</v>
      </c>
      <c r="CP118" s="81">
        <v>1</v>
      </c>
      <c r="CQ118" s="81">
        <v>1</v>
      </c>
      <c r="CR118" s="81">
        <v>2</v>
      </c>
      <c r="CS118" s="81">
        <v>1</v>
      </c>
      <c r="CT118" s="81">
        <v>1</v>
      </c>
      <c r="CU118" s="81">
        <v>0</v>
      </c>
      <c r="CV118" s="81">
        <v>0</v>
      </c>
      <c r="CW118" s="81">
        <v>0</v>
      </c>
      <c r="CX118" s="81">
        <v>1</v>
      </c>
      <c r="CY118" s="81">
        <v>1</v>
      </c>
      <c r="CZ118" s="81">
        <v>0</v>
      </c>
      <c r="DA118" s="81">
        <v>1</v>
      </c>
    </row>
    <row r="119" spans="1:105" ht="12" customHeight="1" x14ac:dyDescent="0.3">
      <c r="A119" s="81" t="s">
        <v>747</v>
      </c>
      <c r="B119" s="81" t="s">
        <v>1446</v>
      </c>
      <c r="C119" s="81" t="s">
        <v>1450</v>
      </c>
      <c r="D119" s="81" t="s">
        <v>748</v>
      </c>
      <c r="E119" s="81" t="s">
        <v>398</v>
      </c>
      <c r="F119" s="81" t="s">
        <v>398</v>
      </c>
      <c r="G119" s="81"/>
      <c r="H119" s="94">
        <v>17</v>
      </c>
      <c r="I119" s="81" t="s">
        <v>4</v>
      </c>
      <c r="J119" s="81" t="s">
        <v>433</v>
      </c>
      <c r="K119" s="81">
        <v>18</v>
      </c>
      <c r="L119" s="81" t="s">
        <v>435</v>
      </c>
      <c r="M119" s="81" t="s">
        <v>436</v>
      </c>
      <c r="N119" s="81" t="s">
        <v>1430</v>
      </c>
      <c r="O119" s="81" t="s">
        <v>1451</v>
      </c>
      <c r="P119" s="81" t="s">
        <v>414</v>
      </c>
      <c r="Q119" s="81" t="s">
        <v>744</v>
      </c>
      <c r="R119" s="81">
        <v>0</v>
      </c>
      <c r="S119" s="81">
        <v>0</v>
      </c>
      <c r="T119" s="81">
        <v>0</v>
      </c>
      <c r="U119" s="81">
        <v>0</v>
      </c>
      <c r="V119" s="81">
        <v>0</v>
      </c>
      <c r="W119" s="81">
        <v>0</v>
      </c>
      <c r="X119" s="81">
        <v>0</v>
      </c>
      <c r="Y119" s="81">
        <v>0</v>
      </c>
      <c r="Z119" s="81">
        <v>0</v>
      </c>
      <c r="AA119" s="81">
        <v>0</v>
      </c>
      <c r="AB119" s="81">
        <v>0</v>
      </c>
      <c r="AC119" s="81">
        <v>0</v>
      </c>
      <c r="AD119" s="81">
        <v>0</v>
      </c>
      <c r="AE119" s="81">
        <v>0</v>
      </c>
      <c r="AF119" s="81">
        <v>0</v>
      </c>
      <c r="AG119" s="81">
        <v>0</v>
      </c>
      <c r="AH119" s="81">
        <v>0</v>
      </c>
      <c r="AI119" s="81">
        <v>0</v>
      </c>
      <c r="AJ119" s="81">
        <v>0</v>
      </c>
      <c r="AK119" s="81">
        <v>0</v>
      </c>
      <c r="AL119" s="81">
        <v>0</v>
      </c>
      <c r="AM119" s="81">
        <v>0</v>
      </c>
      <c r="AN119" s="81">
        <v>0</v>
      </c>
      <c r="AO119" s="81">
        <v>0</v>
      </c>
      <c r="AP119" s="81">
        <v>0</v>
      </c>
      <c r="AQ119" s="81">
        <v>0</v>
      </c>
      <c r="AR119" s="81">
        <v>0</v>
      </c>
      <c r="AS119" s="81">
        <v>0</v>
      </c>
      <c r="AT119" s="81">
        <v>0</v>
      </c>
      <c r="AU119" s="81">
        <v>0</v>
      </c>
      <c r="AV119" s="81">
        <v>0</v>
      </c>
      <c r="AW119" s="81">
        <v>0</v>
      </c>
      <c r="AX119" s="81">
        <v>0</v>
      </c>
      <c r="AY119" s="81">
        <v>0</v>
      </c>
      <c r="AZ119" s="81">
        <v>0</v>
      </c>
      <c r="BA119" s="81">
        <v>0</v>
      </c>
      <c r="BB119" s="81">
        <v>0</v>
      </c>
      <c r="BC119" s="81">
        <v>0</v>
      </c>
      <c r="BD119" s="81">
        <v>0</v>
      </c>
      <c r="BE119" s="81">
        <v>0</v>
      </c>
      <c r="BF119" s="81">
        <v>0</v>
      </c>
      <c r="BG119" s="81">
        <v>0</v>
      </c>
      <c r="BH119" s="81">
        <v>0</v>
      </c>
      <c r="BI119" s="81">
        <v>0</v>
      </c>
      <c r="BJ119" s="81">
        <v>0</v>
      </c>
      <c r="BK119" s="81">
        <v>0</v>
      </c>
      <c r="BL119" s="81">
        <v>0</v>
      </c>
      <c r="BM119" s="81">
        <v>0</v>
      </c>
      <c r="BN119" s="81">
        <v>0</v>
      </c>
      <c r="BO119" s="81">
        <v>1</v>
      </c>
      <c r="BP119" s="81">
        <v>1</v>
      </c>
      <c r="BQ119" s="81">
        <v>1</v>
      </c>
      <c r="BR119" s="81">
        <v>1</v>
      </c>
      <c r="BS119" s="81">
        <v>1</v>
      </c>
      <c r="BT119" s="81">
        <v>1</v>
      </c>
      <c r="BU119" s="81">
        <v>1</v>
      </c>
      <c r="BV119" s="81">
        <v>1</v>
      </c>
      <c r="BW119" s="81">
        <v>1</v>
      </c>
      <c r="BX119" s="81">
        <v>2</v>
      </c>
      <c r="BY119" s="81">
        <v>1</v>
      </c>
      <c r="BZ119" s="81">
        <v>1</v>
      </c>
      <c r="CA119" s="81">
        <v>1</v>
      </c>
      <c r="CB119" s="81">
        <v>1</v>
      </c>
      <c r="CC119" s="81">
        <v>1</v>
      </c>
      <c r="CD119" s="81">
        <v>1</v>
      </c>
      <c r="CE119" s="81">
        <v>1</v>
      </c>
      <c r="CF119" s="81">
        <v>1</v>
      </c>
      <c r="CG119" s="81">
        <v>1</v>
      </c>
      <c r="CH119" s="81">
        <v>0</v>
      </c>
      <c r="CI119" s="81">
        <v>0</v>
      </c>
      <c r="CJ119" s="81">
        <v>0</v>
      </c>
      <c r="CK119" s="81">
        <v>0</v>
      </c>
      <c r="CL119" s="81">
        <v>0</v>
      </c>
      <c r="CM119" s="81">
        <v>0</v>
      </c>
      <c r="CN119" s="81">
        <v>0</v>
      </c>
      <c r="CO119" s="81">
        <v>2</v>
      </c>
      <c r="CP119" s="81">
        <v>1</v>
      </c>
      <c r="CQ119" s="81">
        <v>1</v>
      </c>
      <c r="CR119" s="81">
        <v>2</v>
      </c>
      <c r="CS119" s="81">
        <v>1</v>
      </c>
      <c r="CT119" s="81">
        <v>1</v>
      </c>
      <c r="CU119" s="81">
        <v>0</v>
      </c>
      <c r="CV119" s="81">
        <v>0</v>
      </c>
      <c r="CW119" s="81">
        <v>0</v>
      </c>
      <c r="CX119" s="81">
        <v>1</v>
      </c>
      <c r="CY119" s="81">
        <v>1</v>
      </c>
      <c r="CZ119" s="81">
        <v>0</v>
      </c>
      <c r="DA119" s="81">
        <v>1</v>
      </c>
    </row>
    <row r="120" spans="1:105" ht="12" customHeight="1" x14ac:dyDescent="0.3">
      <c r="A120" s="81" t="s">
        <v>749</v>
      </c>
      <c r="B120" s="81" t="s">
        <v>1446</v>
      </c>
      <c r="C120" s="81" t="s">
        <v>1452</v>
      </c>
      <c r="D120" s="81" t="s">
        <v>750</v>
      </c>
      <c r="E120" s="81" t="s">
        <v>398</v>
      </c>
      <c r="F120" s="81" t="s">
        <v>398</v>
      </c>
      <c r="G120" s="81"/>
      <c r="H120" s="94">
        <v>17</v>
      </c>
      <c r="I120" s="81" t="s">
        <v>3</v>
      </c>
      <c r="J120" s="81" t="s">
        <v>428</v>
      </c>
      <c r="K120" s="81">
        <v>17</v>
      </c>
      <c r="L120" s="81" t="s">
        <v>411</v>
      </c>
      <c r="M120" s="81" t="s">
        <v>431</v>
      </c>
      <c r="N120" s="81" t="s">
        <v>1430</v>
      </c>
      <c r="O120" s="81" t="s">
        <v>1453</v>
      </c>
      <c r="P120" s="81" t="s">
        <v>414</v>
      </c>
      <c r="Q120" s="81" t="s">
        <v>751</v>
      </c>
      <c r="R120" s="81">
        <v>0</v>
      </c>
      <c r="S120" s="81">
        <v>0</v>
      </c>
      <c r="T120" s="81">
        <v>0</v>
      </c>
      <c r="U120" s="81">
        <v>1</v>
      </c>
      <c r="V120" s="81">
        <v>0</v>
      </c>
      <c r="W120" s="81">
        <v>1</v>
      </c>
      <c r="X120" s="81">
        <v>0</v>
      </c>
      <c r="Y120" s="81">
        <v>0</v>
      </c>
      <c r="Z120" s="81">
        <v>0</v>
      </c>
      <c r="AA120" s="81">
        <v>1</v>
      </c>
      <c r="AB120" s="81">
        <v>0</v>
      </c>
      <c r="AC120" s="81">
        <v>0</v>
      </c>
      <c r="AD120" s="81">
        <v>0</v>
      </c>
      <c r="AE120" s="81">
        <v>0</v>
      </c>
      <c r="AF120" s="81">
        <v>0</v>
      </c>
      <c r="AG120" s="81">
        <v>1</v>
      </c>
      <c r="AH120" s="81">
        <v>0</v>
      </c>
      <c r="AI120" s="81">
        <v>0</v>
      </c>
      <c r="AJ120" s="81">
        <v>0</v>
      </c>
      <c r="AK120" s="81">
        <v>0</v>
      </c>
      <c r="AL120" s="81">
        <v>0</v>
      </c>
      <c r="AM120" s="81">
        <v>1</v>
      </c>
      <c r="AN120" s="81">
        <v>0</v>
      </c>
      <c r="AO120" s="81">
        <v>0</v>
      </c>
      <c r="AP120" s="81">
        <v>0</v>
      </c>
      <c r="AQ120" s="81">
        <v>0</v>
      </c>
      <c r="AR120" s="81">
        <v>0</v>
      </c>
      <c r="AS120" s="81">
        <v>0</v>
      </c>
      <c r="AT120" s="81">
        <v>0</v>
      </c>
      <c r="AU120" s="81">
        <v>0</v>
      </c>
      <c r="AV120" s="81">
        <v>0</v>
      </c>
      <c r="AW120" s="81">
        <v>0</v>
      </c>
      <c r="AX120" s="81">
        <v>0</v>
      </c>
      <c r="AY120" s="81">
        <v>0</v>
      </c>
      <c r="AZ120" s="81">
        <v>0</v>
      </c>
      <c r="BA120" s="81">
        <v>0</v>
      </c>
      <c r="BB120" s="81">
        <v>1</v>
      </c>
      <c r="BC120" s="81">
        <v>0</v>
      </c>
      <c r="BD120" s="81">
        <v>0</v>
      </c>
      <c r="BE120" s="81">
        <v>0</v>
      </c>
      <c r="BF120" s="81">
        <v>0</v>
      </c>
      <c r="BG120" s="81">
        <v>1</v>
      </c>
      <c r="BH120" s="81">
        <v>0</v>
      </c>
      <c r="BI120" s="81">
        <v>0</v>
      </c>
      <c r="BJ120" s="81">
        <v>0</v>
      </c>
      <c r="BK120" s="81">
        <v>0</v>
      </c>
      <c r="BL120" s="81">
        <v>0</v>
      </c>
      <c r="BM120" s="81">
        <v>0</v>
      </c>
      <c r="BN120" s="81">
        <v>0</v>
      </c>
      <c r="BO120" s="81">
        <v>1</v>
      </c>
      <c r="BP120" s="81">
        <v>1</v>
      </c>
      <c r="BQ120" s="81">
        <v>1</v>
      </c>
      <c r="BR120" s="81">
        <v>1</v>
      </c>
      <c r="BS120" s="81">
        <v>1</v>
      </c>
      <c r="BT120" s="81">
        <v>1</v>
      </c>
      <c r="BU120" s="81">
        <v>1</v>
      </c>
      <c r="BV120" s="81">
        <v>1</v>
      </c>
      <c r="BW120" s="81">
        <v>1</v>
      </c>
      <c r="BX120" s="81">
        <v>1</v>
      </c>
      <c r="BY120" s="81">
        <v>1</v>
      </c>
      <c r="BZ120" s="81">
        <v>1</v>
      </c>
      <c r="CA120" s="81">
        <v>1</v>
      </c>
      <c r="CB120" s="81">
        <v>1</v>
      </c>
      <c r="CC120" s="81">
        <v>1</v>
      </c>
      <c r="CD120" s="81">
        <v>1</v>
      </c>
      <c r="CE120" s="81">
        <v>1</v>
      </c>
      <c r="CF120" s="81">
        <v>1</v>
      </c>
      <c r="CG120" s="81">
        <v>1</v>
      </c>
      <c r="CH120" s="81">
        <v>0</v>
      </c>
      <c r="CI120" s="81">
        <v>0</v>
      </c>
      <c r="CJ120" s="81">
        <v>0</v>
      </c>
      <c r="CK120" s="81">
        <v>0</v>
      </c>
      <c r="CL120" s="81">
        <v>0</v>
      </c>
      <c r="CM120" s="81">
        <v>0</v>
      </c>
      <c r="CN120" s="81">
        <v>0</v>
      </c>
      <c r="CO120" s="81">
        <v>2</v>
      </c>
      <c r="CP120" s="81">
        <v>2</v>
      </c>
      <c r="CQ120" s="81">
        <v>1</v>
      </c>
      <c r="CR120" s="81">
        <v>2</v>
      </c>
      <c r="CS120" s="81">
        <v>1</v>
      </c>
      <c r="CT120" s="81">
        <v>1</v>
      </c>
      <c r="CU120" s="81">
        <v>0</v>
      </c>
      <c r="CV120" s="81">
        <v>1</v>
      </c>
      <c r="CW120" s="81">
        <v>1</v>
      </c>
      <c r="CX120" s="81">
        <v>1</v>
      </c>
      <c r="CY120" s="81">
        <v>1</v>
      </c>
      <c r="CZ120" s="81">
        <v>1</v>
      </c>
      <c r="DA120" s="81">
        <v>1</v>
      </c>
    </row>
    <row r="121" spans="1:105" ht="12" customHeight="1" x14ac:dyDescent="0.3">
      <c r="A121" s="81" t="s">
        <v>752</v>
      </c>
      <c r="B121" s="81" t="s">
        <v>1446</v>
      </c>
      <c r="C121" s="81" t="s">
        <v>1452</v>
      </c>
      <c r="D121" s="81" t="s">
        <v>753</v>
      </c>
      <c r="E121" s="81" t="s">
        <v>398</v>
      </c>
      <c r="F121" s="81" t="s">
        <v>398</v>
      </c>
      <c r="G121" s="81"/>
      <c r="H121" s="94">
        <v>17</v>
      </c>
      <c r="I121" s="81" t="s">
        <v>3</v>
      </c>
      <c r="J121" s="81" t="s">
        <v>428</v>
      </c>
      <c r="K121" s="81">
        <v>17</v>
      </c>
      <c r="L121" s="81" t="s">
        <v>411</v>
      </c>
      <c r="M121" s="81" t="s">
        <v>431</v>
      </c>
      <c r="N121" s="81" t="s">
        <v>1430</v>
      </c>
      <c r="O121" s="81" t="s">
        <v>1453</v>
      </c>
      <c r="P121" s="81" t="s">
        <v>414</v>
      </c>
      <c r="Q121" s="81" t="s">
        <v>751</v>
      </c>
      <c r="R121" s="81">
        <v>0</v>
      </c>
      <c r="S121" s="81">
        <v>0</v>
      </c>
      <c r="T121" s="81">
        <v>0</v>
      </c>
      <c r="U121" s="81">
        <v>1</v>
      </c>
      <c r="V121" s="81">
        <v>0</v>
      </c>
      <c r="W121" s="81">
        <v>1</v>
      </c>
      <c r="X121" s="81">
        <v>0</v>
      </c>
      <c r="Y121" s="81">
        <v>0</v>
      </c>
      <c r="Z121" s="81">
        <v>0</v>
      </c>
      <c r="AA121" s="81">
        <v>1</v>
      </c>
      <c r="AB121" s="81">
        <v>0</v>
      </c>
      <c r="AC121" s="81">
        <v>0</v>
      </c>
      <c r="AD121" s="81">
        <v>0</v>
      </c>
      <c r="AE121" s="81">
        <v>0</v>
      </c>
      <c r="AF121" s="81">
        <v>0</v>
      </c>
      <c r="AG121" s="81">
        <v>1</v>
      </c>
      <c r="AH121" s="81">
        <v>0</v>
      </c>
      <c r="AI121" s="81">
        <v>0</v>
      </c>
      <c r="AJ121" s="81">
        <v>0</v>
      </c>
      <c r="AK121" s="81">
        <v>0</v>
      </c>
      <c r="AL121" s="81">
        <v>0</v>
      </c>
      <c r="AM121" s="81">
        <v>1</v>
      </c>
      <c r="AN121" s="81">
        <v>0</v>
      </c>
      <c r="AO121" s="81">
        <v>0</v>
      </c>
      <c r="AP121" s="81">
        <v>0</v>
      </c>
      <c r="AQ121" s="81">
        <v>0</v>
      </c>
      <c r="AR121" s="81">
        <v>0</v>
      </c>
      <c r="AS121" s="81">
        <v>0</v>
      </c>
      <c r="AT121" s="81">
        <v>0</v>
      </c>
      <c r="AU121" s="81">
        <v>0</v>
      </c>
      <c r="AV121" s="81">
        <v>0</v>
      </c>
      <c r="AW121" s="81">
        <v>0</v>
      </c>
      <c r="AX121" s="81">
        <v>0</v>
      </c>
      <c r="AY121" s="81">
        <v>0</v>
      </c>
      <c r="AZ121" s="81">
        <v>0</v>
      </c>
      <c r="BA121" s="81">
        <v>0</v>
      </c>
      <c r="BB121" s="81">
        <v>1</v>
      </c>
      <c r="BC121" s="81">
        <v>0</v>
      </c>
      <c r="BD121" s="81">
        <v>0</v>
      </c>
      <c r="BE121" s="81">
        <v>0</v>
      </c>
      <c r="BF121" s="81">
        <v>0</v>
      </c>
      <c r="BG121" s="81">
        <v>1</v>
      </c>
      <c r="BH121" s="81">
        <v>0</v>
      </c>
      <c r="BI121" s="81">
        <v>0</v>
      </c>
      <c r="BJ121" s="81">
        <v>0</v>
      </c>
      <c r="BK121" s="81">
        <v>0</v>
      </c>
      <c r="BL121" s="81">
        <v>0</v>
      </c>
      <c r="BM121" s="81">
        <v>0</v>
      </c>
      <c r="BN121" s="81">
        <v>0</v>
      </c>
      <c r="BO121" s="81">
        <v>1</v>
      </c>
      <c r="BP121" s="81">
        <v>1</v>
      </c>
      <c r="BQ121" s="81">
        <v>1</v>
      </c>
      <c r="BR121" s="81">
        <v>1</v>
      </c>
      <c r="BS121" s="81">
        <v>1</v>
      </c>
      <c r="BT121" s="81">
        <v>1</v>
      </c>
      <c r="BU121" s="81">
        <v>1</v>
      </c>
      <c r="BV121" s="81">
        <v>1</v>
      </c>
      <c r="BW121" s="81">
        <v>1</v>
      </c>
      <c r="BX121" s="81">
        <v>1</v>
      </c>
      <c r="BY121" s="81">
        <v>1</v>
      </c>
      <c r="BZ121" s="81">
        <v>1</v>
      </c>
      <c r="CA121" s="81">
        <v>1</v>
      </c>
      <c r="CB121" s="81">
        <v>1</v>
      </c>
      <c r="CC121" s="81">
        <v>1</v>
      </c>
      <c r="CD121" s="81">
        <v>1</v>
      </c>
      <c r="CE121" s="81">
        <v>1</v>
      </c>
      <c r="CF121" s="81">
        <v>1</v>
      </c>
      <c r="CG121" s="81">
        <v>1</v>
      </c>
      <c r="CH121" s="81">
        <v>0</v>
      </c>
      <c r="CI121" s="81">
        <v>0</v>
      </c>
      <c r="CJ121" s="81">
        <v>0</v>
      </c>
      <c r="CK121" s="81">
        <v>0</v>
      </c>
      <c r="CL121" s="81">
        <v>0</v>
      </c>
      <c r="CM121" s="81">
        <v>0</v>
      </c>
      <c r="CN121" s="81">
        <v>0</v>
      </c>
      <c r="CO121" s="81">
        <v>2</v>
      </c>
      <c r="CP121" s="81">
        <v>2</v>
      </c>
      <c r="CQ121" s="81">
        <v>1</v>
      </c>
      <c r="CR121" s="81">
        <v>2</v>
      </c>
      <c r="CS121" s="81">
        <v>1</v>
      </c>
      <c r="CT121" s="81">
        <v>1</v>
      </c>
      <c r="CU121" s="81">
        <v>0</v>
      </c>
      <c r="CV121" s="81">
        <v>1</v>
      </c>
      <c r="CW121" s="81">
        <v>1</v>
      </c>
      <c r="CX121" s="81">
        <v>1</v>
      </c>
      <c r="CY121" s="81">
        <v>1</v>
      </c>
      <c r="CZ121" s="81">
        <v>1</v>
      </c>
      <c r="DA121" s="81">
        <v>1</v>
      </c>
    </row>
    <row r="122" spans="1:105" ht="12" customHeight="1" x14ac:dyDescent="0.3">
      <c r="A122" s="81" t="s">
        <v>754</v>
      </c>
      <c r="B122" s="81" t="s">
        <v>1446</v>
      </c>
      <c r="C122" s="81" t="s">
        <v>1452</v>
      </c>
      <c r="D122" s="81" t="s">
        <v>755</v>
      </c>
      <c r="E122" s="81" t="s">
        <v>398</v>
      </c>
      <c r="F122" s="81" t="s">
        <v>398</v>
      </c>
      <c r="G122" s="81"/>
      <c r="H122" s="94">
        <v>17</v>
      </c>
      <c r="I122" s="81" t="s">
        <v>3</v>
      </c>
      <c r="J122" s="81" t="s">
        <v>428</v>
      </c>
      <c r="K122" s="81">
        <v>17</v>
      </c>
      <c r="L122" s="81" t="s">
        <v>411</v>
      </c>
      <c r="M122" s="81" t="s">
        <v>431</v>
      </c>
      <c r="N122" s="81" t="s">
        <v>1430</v>
      </c>
      <c r="O122" s="81" t="s">
        <v>1453</v>
      </c>
      <c r="P122" s="81" t="s">
        <v>414</v>
      </c>
      <c r="Q122" s="81" t="s">
        <v>751</v>
      </c>
      <c r="R122" s="81">
        <v>0</v>
      </c>
      <c r="S122" s="81">
        <v>0</v>
      </c>
      <c r="T122" s="81">
        <v>0</v>
      </c>
      <c r="U122" s="81">
        <v>1</v>
      </c>
      <c r="V122" s="81">
        <v>0</v>
      </c>
      <c r="W122" s="81">
        <v>1</v>
      </c>
      <c r="X122" s="81">
        <v>0</v>
      </c>
      <c r="Y122" s="81">
        <v>0</v>
      </c>
      <c r="Z122" s="81">
        <v>0</v>
      </c>
      <c r="AA122" s="81">
        <v>1</v>
      </c>
      <c r="AB122" s="81">
        <v>0</v>
      </c>
      <c r="AC122" s="81">
        <v>0</v>
      </c>
      <c r="AD122" s="81">
        <v>0</v>
      </c>
      <c r="AE122" s="81">
        <v>0</v>
      </c>
      <c r="AF122" s="81">
        <v>0</v>
      </c>
      <c r="AG122" s="81">
        <v>1</v>
      </c>
      <c r="AH122" s="81">
        <v>0</v>
      </c>
      <c r="AI122" s="81">
        <v>0</v>
      </c>
      <c r="AJ122" s="81">
        <v>0</v>
      </c>
      <c r="AK122" s="81">
        <v>0</v>
      </c>
      <c r="AL122" s="81">
        <v>0</v>
      </c>
      <c r="AM122" s="81">
        <v>1</v>
      </c>
      <c r="AN122" s="81">
        <v>0</v>
      </c>
      <c r="AO122" s="81">
        <v>0</v>
      </c>
      <c r="AP122" s="81">
        <v>0</v>
      </c>
      <c r="AQ122" s="81">
        <v>0</v>
      </c>
      <c r="AR122" s="81">
        <v>0</v>
      </c>
      <c r="AS122" s="81">
        <v>0</v>
      </c>
      <c r="AT122" s="81">
        <v>0</v>
      </c>
      <c r="AU122" s="81">
        <v>0</v>
      </c>
      <c r="AV122" s="81">
        <v>0</v>
      </c>
      <c r="AW122" s="81">
        <v>0</v>
      </c>
      <c r="AX122" s="81">
        <v>0</v>
      </c>
      <c r="AY122" s="81">
        <v>0</v>
      </c>
      <c r="AZ122" s="81">
        <v>0</v>
      </c>
      <c r="BA122" s="81">
        <v>0</v>
      </c>
      <c r="BB122" s="81">
        <v>1</v>
      </c>
      <c r="BC122" s="81">
        <v>0</v>
      </c>
      <c r="BD122" s="81">
        <v>0</v>
      </c>
      <c r="BE122" s="81">
        <v>0</v>
      </c>
      <c r="BF122" s="81">
        <v>0</v>
      </c>
      <c r="BG122" s="81">
        <v>1</v>
      </c>
      <c r="BH122" s="81">
        <v>0</v>
      </c>
      <c r="BI122" s="81">
        <v>0</v>
      </c>
      <c r="BJ122" s="81">
        <v>0</v>
      </c>
      <c r="BK122" s="81">
        <v>0</v>
      </c>
      <c r="BL122" s="81">
        <v>0</v>
      </c>
      <c r="BM122" s="81">
        <v>0</v>
      </c>
      <c r="BN122" s="81">
        <v>0</v>
      </c>
      <c r="BO122" s="81">
        <v>1</v>
      </c>
      <c r="BP122" s="81">
        <v>1</v>
      </c>
      <c r="BQ122" s="81">
        <v>1</v>
      </c>
      <c r="BR122" s="81">
        <v>1</v>
      </c>
      <c r="BS122" s="81">
        <v>1</v>
      </c>
      <c r="BT122" s="81">
        <v>1</v>
      </c>
      <c r="BU122" s="81">
        <v>1</v>
      </c>
      <c r="BV122" s="81">
        <v>1</v>
      </c>
      <c r="BW122" s="81">
        <v>1</v>
      </c>
      <c r="BX122" s="81">
        <v>1</v>
      </c>
      <c r="BY122" s="81">
        <v>1</v>
      </c>
      <c r="BZ122" s="81">
        <v>1</v>
      </c>
      <c r="CA122" s="81">
        <v>1</v>
      </c>
      <c r="CB122" s="81">
        <v>1</v>
      </c>
      <c r="CC122" s="81">
        <v>1</v>
      </c>
      <c r="CD122" s="81">
        <v>1</v>
      </c>
      <c r="CE122" s="81">
        <v>1</v>
      </c>
      <c r="CF122" s="81">
        <v>1</v>
      </c>
      <c r="CG122" s="81">
        <v>1</v>
      </c>
      <c r="CH122" s="81">
        <v>0</v>
      </c>
      <c r="CI122" s="81">
        <v>0</v>
      </c>
      <c r="CJ122" s="81">
        <v>0</v>
      </c>
      <c r="CK122" s="81">
        <v>0</v>
      </c>
      <c r="CL122" s="81">
        <v>0</v>
      </c>
      <c r="CM122" s="81">
        <v>0</v>
      </c>
      <c r="CN122" s="81">
        <v>0</v>
      </c>
      <c r="CO122" s="81">
        <v>2</v>
      </c>
      <c r="CP122" s="81">
        <v>2</v>
      </c>
      <c r="CQ122" s="81">
        <v>1</v>
      </c>
      <c r="CR122" s="81">
        <v>2</v>
      </c>
      <c r="CS122" s="81">
        <v>1</v>
      </c>
      <c r="CT122" s="81">
        <v>1</v>
      </c>
      <c r="CU122" s="81">
        <v>0</v>
      </c>
      <c r="CV122" s="81">
        <v>1</v>
      </c>
      <c r="CW122" s="81">
        <v>1</v>
      </c>
      <c r="CX122" s="81">
        <v>1</v>
      </c>
      <c r="CY122" s="81">
        <v>1</v>
      </c>
      <c r="CZ122" s="81">
        <v>1</v>
      </c>
      <c r="DA122" s="81">
        <v>1</v>
      </c>
    </row>
    <row r="123" spans="1:105" ht="12" customHeight="1" x14ac:dyDescent="0.3">
      <c r="A123" s="81" t="s">
        <v>756</v>
      </c>
      <c r="B123" s="81" t="s">
        <v>1446</v>
      </c>
      <c r="C123" s="81" t="s">
        <v>1452</v>
      </c>
      <c r="D123" s="81" t="s">
        <v>757</v>
      </c>
      <c r="E123" s="81" t="s">
        <v>398</v>
      </c>
      <c r="F123" s="81" t="s">
        <v>398</v>
      </c>
      <c r="G123" s="81"/>
      <c r="H123" s="94">
        <v>17</v>
      </c>
      <c r="I123" s="81" t="s">
        <v>3</v>
      </c>
      <c r="J123" s="81" t="s">
        <v>428</v>
      </c>
      <c r="K123" s="81">
        <v>17</v>
      </c>
      <c r="L123" s="81" t="s">
        <v>411</v>
      </c>
      <c r="M123" s="81" t="s">
        <v>431</v>
      </c>
      <c r="N123" s="81" t="s">
        <v>1430</v>
      </c>
      <c r="O123" s="81" t="s">
        <v>1453</v>
      </c>
      <c r="P123" s="81" t="s">
        <v>414</v>
      </c>
      <c r="Q123" s="81" t="s">
        <v>751</v>
      </c>
      <c r="R123" s="81">
        <v>0</v>
      </c>
      <c r="S123" s="81">
        <v>0</v>
      </c>
      <c r="T123" s="81">
        <v>0</v>
      </c>
      <c r="U123" s="81">
        <v>1</v>
      </c>
      <c r="V123" s="81">
        <v>0</v>
      </c>
      <c r="W123" s="81">
        <v>1</v>
      </c>
      <c r="X123" s="81">
        <v>0</v>
      </c>
      <c r="Y123" s="81">
        <v>0</v>
      </c>
      <c r="Z123" s="81">
        <v>0</v>
      </c>
      <c r="AA123" s="81">
        <v>1</v>
      </c>
      <c r="AB123" s="81">
        <v>0</v>
      </c>
      <c r="AC123" s="81">
        <v>0</v>
      </c>
      <c r="AD123" s="81">
        <v>0</v>
      </c>
      <c r="AE123" s="81">
        <v>0</v>
      </c>
      <c r="AF123" s="81">
        <v>0</v>
      </c>
      <c r="AG123" s="81">
        <v>1</v>
      </c>
      <c r="AH123" s="81">
        <v>0</v>
      </c>
      <c r="AI123" s="81">
        <v>0</v>
      </c>
      <c r="AJ123" s="81">
        <v>0</v>
      </c>
      <c r="AK123" s="81">
        <v>0</v>
      </c>
      <c r="AL123" s="81">
        <v>0</v>
      </c>
      <c r="AM123" s="81">
        <v>1</v>
      </c>
      <c r="AN123" s="81">
        <v>0</v>
      </c>
      <c r="AO123" s="81">
        <v>0</v>
      </c>
      <c r="AP123" s="81">
        <v>0</v>
      </c>
      <c r="AQ123" s="81">
        <v>0</v>
      </c>
      <c r="AR123" s="81">
        <v>0</v>
      </c>
      <c r="AS123" s="81">
        <v>0</v>
      </c>
      <c r="AT123" s="81">
        <v>0</v>
      </c>
      <c r="AU123" s="81">
        <v>0</v>
      </c>
      <c r="AV123" s="81">
        <v>0</v>
      </c>
      <c r="AW123" s="81">
        <v>0</v>
      </c>
      <c r="AX123" s="81">
        <v>0</v>
      </c>
      <c r="AY123" s="81">
        <v>0</v>
      </c>
      <c r="AZ123" s="81">
        <v>0</v>
      </c>
      <c r="BA123" s="81">
        <v>0</v>
      </c>
      <c r="BB123" s="81">
        <v>1</v>
      </c>
      <c r="BC123" s="81">
        <v>0</v>
      </c>
      <c r="BD123" s="81">
        <v>0</v>
      </c>
      <c r="BE123" s="81">
        <v>0</v>
      </c>
      <c r="BF123" s="81">
        <v>0</v>
      </c>
      <c r="BG123" s="81">
        <v>1</v>
      </c>
      <c r="BH123" s="81">
        <v>0</v>
      </c>
      <c r="BI123" s="81">
        <v>0</v>
      </c>
      <c r="BJ123" s="81">
        <v>0</v>
      </c>
      <c r="BK123" s="81">
        <v>0</v>
      </c>
      <c r="BL123" s="81">
        <v>0</v>
      </c>
      <c r="BM123" s="81">
        <v>0</v>
      </c>
      <c r="BN123" s="81">
        <v>0</v>
      </c>
      <c r="BO123" s="81">
        <v>1</v>
      </c>
      <c r="BP123" s="81">
        <v>1</v>
      </c>
      <c r="BQ123" s="81">
        <v>1</v>
      </c>
      <c r="BR123" s="81">
        <v>1</v>
      </c>
      <c r="BS123" s="81">
        <v>1</v>
      </c>
      <c r="BT123" s="81">
        <v>1</v>
      </c>
      <c r="BU123" s="81">
        <v>1</v>
      </c>
      <c r="BV123" s="81">
        <v>1</v>
      </c>
      <c r="BW123" s="81">
        <v>1</v>
      </c>
      <c r="BX123" s="81">
        <v>1</v>
      </c>
      <c r="BY123" s="81">
        <v>1</v>
      </c>
      <c r="BZ123" s="81">
        <v>1</v>
      </c>
      <c r="CA123" s="81">
        <v>1</v>
      </c>
      <c r="CB123" s="81">
        <v>1</v>
      </c>
      <c r="CC123" s="81">
        <v>1</v>
      </c>
      <c r="CD123" s="81">
        <v>1</v>
      </c>
      <c r="CE123" s="81">
        <v>1</v>
      </c>
      <c r="CF123" s="81">
        <v>1</v>
      </c>
      <c r="CG123" s="81">
        <v>1</v>
      </c>
      <c r="CH123" s="81">
        <v>0</v>
      </c>
      <c r="CI123" s="81">
        <v>0</v>
      </c>
      <c r="CJ123" s="81">
        <v>0</v>
      </c>
      <c r="CK123" s="81">
        <v>0</v>
      </c>
      <c r="CL123" s="81">
        <v>0</v>
      </c>
      <c r="CM123" s="81">
        <v>0</v>
      </c>
      <c r="CN123" s="81">
        <v>0</v>
      </c>
      <c r="CO123" s="81">
        <v>2</v>
      </c>
      <c r="CP123" s="81">
        <v>2</v>
      </c>
      <c r="CQ123" s="81">
        <v>1</v>
      </c>
      <c r="CR123" s="81">
        <v>2</v>
      </c>
      <c r="CS123" s="81">
        <v>1</v>
      </c>
      <c r="CT123" s="81">
        <v>1</v>
      </c>
      <c r="CU123" s="81">
        <v>0</v>
      </c>
      <c r="CV123" s="81">
        <v>1</v>
      </c>
      <c r="CW123" s="81">
        <v>1</v>
      </c>
      <c r="CX123" s="81">
        <v>1</v>
      </c>
      <c r="CY123" s="81">
        <v>1</v>
      </c>
      <c r="CZ123" s="81">
        <v>1</v>
      </c>
      <c r="DA123" s="81">
        <v>1</v>
      </c>
    </row>
    <row r="124" spans="1:105" ht="12" customHeight="1" x14ac:dyDescent="0.3">
      <c r="A124" s="81" t="s">
        <v>758</v>
      </c>
      <c r="B124" s="81" t="s">
        <v>1446</v>
      </c>
      <c r="C124" s="81" t="s">
        <v>1452</v>
      </c>
      <c r="D124" s="81" t="s">
        <v>759</v>
      </c>
      <c r="E124" s="81" t="s">
        <v>398</v>
      </c>
      <c r="F124" s="81" t="s">
        <v>398</v>
      </c>
      <c r="G124" s="81"/>
      <c r="H124" s="94">
        <v>17</v>
      </c>
      <c r="I124" s="81" t="s">
        <v>3</v>
      </c>
      <c r="J124" s="81" t="s">
        <v>428</v>
      </c>
      <c r="K124" s="81">
        <v>17</v>
      </c>
      <c r="L124" s="81" t="s">
        <v>411</v>
      </c>
      <c r="M124" s="81" t="s">
        <v>431</v>
      </c>
      <c r="N124" s="81" t="s">
        <v>1430</v>
      </c>
      <c r="O124" s="81" t="s">
        <v>1453</v>
      </c>
      <c r="P124" s="81" t="s">
        <v>414</v>
      </c>
      <c r="Q124" s="81" t="s">
        <v>751</v>
      </c>
      <c r="R124" s="81">
        <v>0</v>
      </c>
      <c r="S124" s="81">
        <v>0</v>
      </c>
      <c r="T124" s="81">
        <v>0</v>
      </c>
      <c r="U124" s="81">
        <v>1</v>
      </c>
      <c r="V124" s="81">
        <v>0</v>
      </c>
      <c r="W124" s="81">
        <v>1</v>
      </c>
      <c r="X124" s="81">
        <v>0</v>
      </c>
      <c r="Y124" s="81">
        <v>0</v>
      </c>
      <c r="Z124" s="81">
        <v>0</v>
      </c>
      <c r="AA124" s="81">
        <v>1</v>
      </c>
      <c r="AB124" s="81">
        <v>0</v>
      </c>
      <c r="AC124" s="81">
        <v>0</v>
      </c>
      <c r="AD124" s="81">
        <v>0</v>
      </c>
      <c r="AE124" s="81">
        <v>0</v>
      </c>
      <c r="AF124" s="81">
        <v>0</v>
      </c>
      <c r="AG124" s="81">
        <v>1</v>
      </c>
      <c r="AH124" s="81">
        <v>0</v>
      </c>
      <c r="AI124" s="81">
        <v>0</v>
      </c>
      <c r="AJ124" s="81">
        <v>0</v>
      </c>
      <c r="AK124" s="81">
        <v>0</v>
      </c>
      <c r="AL124" s="81">
        <v>0</v>
      </c>
      <c r="AM124" s="81">
        <v>1</v>
      </c>
      <c r="AN124" s="81">
        <v>0</v>
      </c>
      <c r="AO124" s="81">
        <v>0</v>
      </c>
      <c r="AP124" s="81">
        <v>0</v>
      </c>
      <c r="AQ124" s="81">
        <v>0</v>
      </c>
      <c r="AR124" s="81">
        <v>0</v>
      </c>
      <c r="AS124" s="81">
        <v>0</v>
      </c>
      <c r="AT124" s="81">
        <v>0</v>
      </c>
      <c r="AU124" s="81">
        <v>0</v>
      </c>
      <c r="AV124" s="81">
        <v>0</v>
      </c>
      <c r="AW124" s="81">
        <v>0</v>
      </c>
      <c r="AX124" s="81">
        <v>0</v>
      </c>
      <c r="AY124" s="81">
        <v>0</v>
      </c>
      <c r="AZ124" s="81">
        <v>0</v>
      </c>
      <c r="BA124" s="81">
        <v>0</v>
      </c>
      <c r="BB124" s="81">
        <v>1</v>
      </c>
      <c r="BC124" s="81">
        <v>0</v>
      </c>
      <c r="BD124" s="81">
        <v>0</v>
      </c>
      <c r="BE124" s="81">
        <v>0</v>
      </c>
      <c r="BF124" s="81">
        <v>0</v>
      </c>
      <c r="BG124" s="81">
        <v>1</v>
      </c>
      <c r="BH124" s="81">
        <v>0</v>
      </c>
      <c r="BI124" s="81">
        <v>0</v>
      </c>
      <c r="BJ124" s="81">
        <v>0</v>
      </c>
      <c r="BK124" s="81">
        <v>0</v>
      </c>
      <c r="BL124" s="81">
        <v>0</v>
      </c>
      <c r="BM124" s="81">
        <v>0</v>
      </c>
      <c r="BN124" s="81">
        <v>0</v>
      </c>
      <c r="BO124" s="81">
        <v>1</v>
      </c>
      <c r="BP124" s="81">
        <v>1</v>
      </c>
      <c r="BQ124" s="81">
        <v>1</v>
      </c>
      <c r="BR124" s="81">
        <v>1</v>
      </c>
      <c r="BS124" s="81">
        <v>1</v>
      </c>
      <c r="BT124" s="81">
        <v>1</v>
      </c>
      <c r="BU124" s="81">
        <v>1</v>
      </c>
      <c r="BV124" s="81">
        <v>1</v>
      </c>
      <c r="BW124" s="81">
        <v>1</v>
      </c>
      <c r="BX124" s="81">
        <v>1</v>
      </c>
      <c r="BY124" s="81">
        <v>1</v>
      </c>
      <c r="BZ124" s="81">
        <v>1</v>
      </c>
      <c r="CA124" s="81">
        <v>1</v>
      </c>
      <c r="CB124" s="81">
        <v>1</v>
      </c>
      <c r="CC124" s="81">
        <v>1</v>
      </c>
      <c r="CD124" s="81">
        <v>1</v>
      </c>
      <c r="CE124" s="81">
        <v>1</v>
      </c>
      <c r="CF124" s="81">
        <v>1</v>
      </c>
      <c r="CG124" s="81">
        <v>1</v>
      </c>
      <c r="CH124" s="81">
        <v>0</v>
      </c>
      <c r="CI124" s="81">
        <v>0</v>
      </c>
      <c r="CJ124" s="81">
        <v>0</v>
      </c>
      <c r="CK124" s="81">
        <v>0</v>
      </c>
      <c r="CL124" s="81">
        <v>0</v>
      </c>
      <c r="CM124" s="81">
        <v>0</v>
      </c>
      <c r="CN124" s="81">
        <v>0</v>
      </c>
      <c r="CO124" s="81">
        <v>2</v>
      </c>
      <c r="CP124" s="81">
        <v>2</v>
      </c>
      <c r="CQ124" s="81">
        <v>1</v>
      </c>
      <c r="CR124" s="81">
        <v>2</v>
      </c>
      <c r="CS124" s="81">
        <v>1</v>
      </c>
      <c r="CT124" s="81">
        <v>1</v>
      </c>
      <c r="CU124" s="81">
        <v>0</v>
      </c>
      <c r="CV124" s="81">
        <v>1</v>
      </c>
      <c r="CW124" s="81">
        <v>1</v>
      </c>
      <c r="CX124" s="81">
        <v>1</v>
      </c>
      <c r="CY124" s="81">
        <v>1</v>
      </c>
      <c r="CZ124" s="81">
        <v>1</v>
      </c>
      <c r="DA124" s="81">
        <v>1</v>
      </c>
    </row>
    <row r="125" spans="1:105" ht="12" customHeight="1" x14ac:dyDescent="0.3">
      <c r="A125" s="81" t="s">
        <v>760</v>
      </c>
      <c r="B125" s="81" t="s">
        <v>1446</v>
      </c>
      <c r="C125" s="81" t="s">
        <v>1452</v>
      </c>
      <c r="D125" s="81" t="s">
        <v>761</v>
      </c>
      <c r="E125" s="81" t="s">
        <v>398</v>
      </c>
      <c r="F125" s="81" t="s">
        <v>398</v>
      </c>
      <c r="G125" s="81"/>
      <c r="H125" s="94">
        <v>17</v>
      </c>
      <c r="I125" s="81" t="s">
        <v>3</v>
      </c>
      <c r="J125" s="81" t="s">
        <v>428</v>
      </c>
      <c r="K125" s="81">
        <v>17</v>
      </c>
      <c r="L125" s="81" t="s">
        <v>411</v>
      </c>
      <c r="M125" s="81" t="s">
        <v>431</v>
      </c>
      <c r="N125" s="81" t="s">
        <v>1430</v>
      </c>
      <c r="O125" s="81" t="s">
        <v>1453</v>
      </c>
      <c r="P125" s="81" t="s">
        <v>414</v>
      </c>
      <c r="Q125" s="81" t="s">
        <v>751</v>
      </c>
      <c r="R125" s="81">
        <v>0</v>
      </c>
      <c r="S125" s="81">
        <v>0</v>
      </c>
      <c r="T125" s="81">
        <v>0</v>
      </c>
      <c r="U125" s="81">
        <v>1</v>
      </c>
      <c r="V125" s="81">
        <v>0</v>
      </c>
      <c r="W125" s="81">
        <v>1</v>
      </c>
      <c r="X125" s="81">
        <v>0</v>
      </c>
      <c r="Y125" s="81">
        <v>0</v>
      </c>
      <c r="Z125" s="81">
        <v>0</v>
      </c>
      <c r="AA125" s="81">
        <v>1</v>
      </c>
      <c r="AB125" s="81">
        <v>0</v>
      </c>
      <c r="AC125" s="81">
        <v>0</v>
      </c>
      <c r="AD125" s="81">
        <v>0</v>
      </c>
      <c r="AE125" s="81">
        <v>0</v>
      </c>
      <c r="AF125" s="81">
        <v>0</v>
      </c>
      <c r="AG125" s="81">
        <v>1</v>
      </c>
      <c r="AH125" s="81">
        <v>0</v>
      </c>
      <c r="AI125" s="81">
        <v>0</v>
      </c>
      <c r="AJ125" s="81">
        <v>0</v>
      </c>
      <c r="AK125" s="81">
        <v>0</v>
      </c>
      <c r="AL125" s="81">
        <v>0</v>
      </c>
      <c r="AM125" s="81">
        <v>1</v>
      </c>
      <c r="AN125" s="81">
        <v>0</v>
      </c>
      <c r="AO125" s="81">
        <v>0</v>
      </c>
      <c r="AP125" s="81">
        <v>0</v>
      </c>
      <c r="AQ125" s="81">
        <v>0</v>
      </c>
      <c r="AR125" s="81">
        <v>0</v>
      </c>
      <c r="AS125" s="81">
        <v>0</v>
      </c>
      <c r="AT125" s="81">
        <v>0</v>
      </c>
      <c r="AU125" s="81">
        <v>0</v>
      </c>
      <c r="AV125" s="81">
        <v>0</v>
      </c>
      <c r="AW125" s="81">
        <v>0</v>
      </c>
      <c r="AX125" s="81">
        <v>0</v>
      </c>
      <c r="AY125" s="81">
        <v>0</v>
      </c>
      <c r="AZ125" s="81">
        <v>0</v>
      </c>
      <c r="BA125" s="81">
        <v>0</v>
      </c>
      <c r="BB125" s="81">
        <v>1</v>
      </c>
      <c r="BC125" s="81">
        <v>0</v>
      </c>
      <c r="BD125" s="81">
        <v>0</v>
      </c>
      <c r="BE125" s="81">
        <v>0</v>
      </c>
      <c r="BF125" s="81">
        <v>0</v>
      </c>
      <c r="BG125" s="81">
        <v>1</v>
      </c>
      <c r="BH125" s="81">
        <v>0</v>
      </c>
      <c r="BI125" s="81">
        <v>0</v>
      </c>
      <c r="BJ125" s="81">
        <v>0</v>
      </c>
      <c r="BK125" s="81">
        <v>0</v>
      </c>
      <c r="BL125" s="81">
        <v>0</v>
      </c>
      <c r="BM125" s="81">
        <v>0</v>
      </c>
      <c r="BN125" s="81">
        <v>0</v>
      </c>
      <c r="BO125" s="81">
        <v>1</v>
      </c>
      <c r="BP125" s="81">
        <v>1</v>
      </c>
      <c r="BQ125" s="81">
        <v>1</v>
      </c>
      <c r="BR125" s="81">
        <v>1</v>
      </c>
      <c r="BS125" s="81">
        <v>1</v>
      </c>
      <c r="BT125" s="81">
        <v>1</v>
      </c>
      <c r="BU125" s="81">
        <v>1</v>
      </c>
      <c r="BV125" s="81">
        <v>1</v>
      </c>
      <c r="BW125" s="81">
        <v>1</v>
      </c>
      <c r="BX125" s="81">
        <v>1</v>
      </c>
      <c r="BY125" s="81">
        <v>1</v>
      </c>
      <c r="BZ125" s="81">
        <v>1</v>
      </c>
      <c r="CA125" s="81">
        <v>1</v>
      </c>
      <c r="CB125" s="81">
        <v>1</v>
      </c>
      <c r="CC125" s="81">
        <v>1</v>
      </c>
      <c r="CD125" s="81">
        <v>1</v>
      </c>
      <c r="CE125" s="81">
        <v>1</v>
      </c>
      <c r="CF125" s="81">
        <v>1</v>
      </c>
      <c r="CG125" s="81">
        <v>1</v>
      </c>
      <c r="CH125" s="81">
        <v>0</v>
      </c>
      <c r="CI125" s="81">
        <v>0</v>
      </c>
      <c r="CJ125" s="81">
        <v>0</v>
      </c>
      <c r="CK125" s="81">
        <v>0</v>
      </c>
      <c r="CL125" s="81">
        <v>0</v>
      </c>
      <c r="CM125" s="81">
        <v>0</v>
      </c>
      <c r="CN125" s="81">
        <v>0</v>
      </c>
      <c r="CO125" s="81">
        <v>2</v>
      </c>
      <c r="CP125" s="81">
        <v>2</v>
      </c>
      <c r="CQ125" s="81">
        <v>1</v>
      </c>
      <c r="CR125" s="81">
        <v>2</v>
      </c>
      <c r="CS125" s="81">
        <v>1</v>
      </c>
      <c r="CT125" s="81">
        <v>1</v>
      </c>
      <c r="CU125" s="81">
        <v>0</v>
      </c>
      <c r="CV125" s="81">
        <v>1</v>
      </c>
      <c r="CW125" s="81">
        <v>1</v>
      </c>
      <c r="CX125" s="81">
        <v>1</v>
      </c>
      <c r="CY125" s="81">
        <v>1</v>
      </c>
      <c r="CZ125" s="81">
        <v>1</v>
      </c>
      <c r="DA125" s="81">
        <v>1</v>
      </c>
    </row>
    <row r="126" spans="1:105" ht="12" customHeight="1" x14ac:dyDescent="0.3">
      <c r="A126" s="81" t="s">
        <v>762</v>
      </c>
      <c r="B126" s="81" t="s">
        <v>1446</v>
      </c>
      <c r="C126" s="81" t="s">
        <v>1452</v>
      </c>
      <c r="D126" s="81" t="s">
        <v>763</v>
      </c>
      <c r="E126" s="81" t="s">
        <v>398</v>
      </c>
      <c r="F126" s="81" t="s">
        <v>398</v>
      </c>
      <c r="G126" s="81"/>
      <c r="H126" s="94">
        <v>17</v>
      </c>
      <c r="I126" s="81" t="s">
        <v>3</v>
      </c>
      <c r="J126" s="81" t="s">
        <v>428</v>
      </c>
      <c r="K126" s="81">
        <v>17</v>
      </c>
      <c r="L126" s="81" t="s">
        <v>411</v>
      </c>
      <c r="M126" s="81" t="s">
        <v>431</v>
      </c>
      <c r="N126" s="81" t="s">
        <v>1430</v>
      </c>
      <c r="O126" s="81" t="s">
        <v>1453</v>
      </c>
      <c r="P126" s="81" t="s">
        <v>414</v>
      </c>
      <c r="Q126" s="81" t="s">
        <v>751</v>
      </c>
      <c r="R126" s="81">
        <v>0</v>
      </c>
      <c r="S126" s="81">
        <v>0</v>
      </c>
      <c r="T126" s="81">
        <v>0</v>
      </c>
      <c r="U126" s="81">
        <v>1</v>
      </c>
      <c r="V126" s="81">
        <v>0</v>
      </c>
      <c r="W126" s="81">
        <v>1</v>
      </c>
      <c r="X126" s="81">
        <v>0</v>
      </c>
      <c r="Y126" s="81">
        <v>0</v>
      </c>
      <c r="Z126" s="81">
        <v>0</v>
      </c>
      <c r="AA126" s="81">
        <v>1</v>
      </c>
      <c r="AB126" s="81">
        <v>0</v>
      </c>
      <c r="AC126" s="81">
        <v>0</v>
      </c>
      <c r="AD126" s="81">
        <v>0</v>
      </c>
      <c r="AE126" s="81">
        <v>0</v>
      </c>
      <c r="AF126" s="81">
        <v>0</v>
      </c>
      <c r="AG126" s="81">
        <v>1</v>
      </c>
      <c r="AH126" s="81">
        <v>0</v>
      </c>
      <c r="AI126" s="81">
        <v>0</v>
      </c>
      <c r="AJ126" s="81">
        <v>0</v>
      </c>
      <c r="AK126" s="81">
        <v>0</v>
      </c>
      <c r="AL126" s="81">
        <v>0</v>
      </c>
      <c r="AM126" s="81">
        <v>1</v>
      </c>
      <c r="AN126" s="81">
        <v>0</v>
      </c>
      <c r="AO126" s="81">
        <v>0</v>
      </c>
      <c r="AP126" s="81">
        <v>0</v>
      </c>
      <c r="AQ126" s="81">
        <v>0</v>
      </c>
      <c r="AR126" s="81">
        <v>0</v>
      </c>
      <c r="AS126" s="81">
        <v>0</v>
      </c>
      <c r="AT126" s="81">
        <v>0</v>
      </c>
      <c r="AU126" s="81">
        <v>0</v>
      </c>
      <c r="AV126" s="81">
        <v>0</v>
      </c>
      <c r="AW126" s="81">
        <v>0</v>
      </c>
      <c r="AX126" s="81">
        <v>0</v>
      </c>
      <c r="AY126" s="81">
        <v>0</v>
      </c>
      <c r="AZ126" s="81">
        <v>0</v>
      </c>
      <c r="BA126" s="81">
        <v>0</v>
      </c>
      <c r="BB126" s="81">
        <v>1</v>
      </c>
      <c r="BC126" s="81">
        <v>0</v>
      </c>
      <c r="BD126" s="81">
        <v>0</v>
      </c>
      <c r="BE126" s="81">
        <v>0</v>
      </c>
      <c r="BF126" s="81">
        <v>0</v>
      </c>
      <c r="BG126" s="81">
        <v>1</v>
      </c>
      <c r="BH126" s="81">
        <v>0</v>
      </c>
      <c r="BI126" s="81">
        <v>0</v>
      </c>
      <c r="BJ126" s="81">
        <v>0</v>
      </c>
      <c r="BK126" s="81">
        <v>0</v>
      </c>
      <c r="BL126" s="81">
        <v>0</v>
      </c>
      <c r="BM126" s="81">
        <v>0</v>
      </c>
      <c r="BN126" s="81">
        <v>0</v>
      </c>
      <c r="BO126" s="81">
        <v>1</v>
      </c>
      <c r="BP126" s="81">
        <v>1</v>
      </c>
      <c r="BQ126" s="81">
        <v>1</v>
      </c>
      <c r="BR126" s="81">
        <v>1</v>
      </c>
      <c r="BS126" s="81">
        <v>1</v>
      </c>
      <c r="BT126" s="81">
        <v>1</v>
      </c>
      <c r="BU126" s="81">
        <v>1</v>
      </c>
      <c r="BV126" s="81">
        <v>1</v>
      </c>
      <c r="BW126" s="81">
        <v>1</v>
      </c>
      <c r="BX126" s="81">
        <v>1</v>
      </c>
      <c r="BY126" s="81">
        <v>1</v>
      </c>
      <c r="BZ126" s="81">
        <v>1</v>
      </c>
      <c r="CA126" s="81">
        <v>1</v>
      </c>
      <c r="CB126" s="81">
        <v>1</v>
      </c>
      <c r="CC126" s="81">
        <v>1</v>
      </c>
      <c r="CD126" s="81">
        <v>1</v>
      </c>
      <c r="CE126" s="81">
        <v>1</v>
      </c>
      <c r="CF126" s="81">
        <v>1</v>
      </c>
      <c r="CG126" s="81">
        <v>1</v>
      </c>
      <c r="CH126" s="81">
        <v>0</v>
      </c>
      <c r="CI126" s="81">
        <v>0</v>
      </c>
      <c r="CJ126" s="81">
        <v>0</v>
      </c>
      <c r="CK126" s="81">
        <v>0</v>
      </c>
      <c r="CL126" s="81">
        <v>0</v>
      </c>
      <c r="CM126" s="81">
        <v>0</v>
      </c>
      <c r="CN126" s="81">
        <v>0</v>
      </c>
      <c r="CO126" s="81">
        <v>2</v>
      </c>
      <c r="CP126" s="81">
        <v>2</v>
      </c>
      <c r="CQ126" s="81">
        <v>1</v>
      </c>
      <c r="CR126" s="81">
        <v>2</v>
      </c>
      <c r="CS126" s="81">
        <v>1</v>
      </c>
      <c r="CT126" s="81">
        <v>1</v>
      </c>
      <c r="CU126" s="81">
        <v>0</v>
      </c>
      <c r="CV126" s="81">
        <v>1</v>
      </c>
      <c r="CW126" s="81">
        <v>1</v>
      </c>
      <c r="CX126" s="81">
        <v>1</v>
      </c>
      <c r="CY126" s="81">
        <v>1</v>
      </c>
      <c r="CZ126" s="81">
        <v>1</v>
      </c>
      <c r="DA126" s="81">
        <v>1</v>
      </c>
    </row>
    <row r="127" spans="1:105" ht="12" customHeight="1" x14ac:dyDescent="0.3">
      <c r="A127" s="81" t="s">
        <v>764</v>
      </c>
      <c r="B127" s="81" t="s">
        <v>1446</v>
      </c>
      <c r="C127" s="81" t="s">
        <v>1452</v>
      </c>
      <c r="D127" s="81" t="s">
        <v>765</v>
      </c>
      <c r="E127" s="81" t="s">
        <v>398</v>
      </c>
      <c r="F127" s="81" t="s">
        <v>398</v>
      </c>
      <c r="G127" s="81"/>
      <c r="H127" s="94">
        <v>17</v>
      </c>
      <c r="I127" s="81" t="s">
        <v>3</v>
      </c>
      <c r="J127" s="81" t="s">
        <v>428</v>
      </c>
      <c r="K127" s="81">
        <v>17</v>
      </c>
      <c r="L127" s="81" t="s">
        <v>411</v>
      </c>
      <c r="M127" s="81" t="s">
        <v>431</v>
      </c>
      <c r="N127" s="81" t="s">
        <v>1430</v>
      </c>
      <c r="O127" s="81" t="s">
        <v>1453</v>
      </c>
      <c r="P127" s="81" t="s">
        <v>414</v>
      </c>
      <c r="Q127" s="81" t="s">
        <v>751</v>
      </c>
      <c r="R127" s="81">
        <v>0</v>
      </c>
      <c r="S127" s="81">
        <v>0</v>
      </c>
      <c r="T127" s="81">
        <v>0</v>
      </c>
      <c r="U127" s="81">
        <v>1</v>
      </c>
      <c r="V127" s="81">
        <v>0</v>
      </c>
      <c r="W127" s="81">
        <v>1</v>
      </c>
      <c r="X127" s="81">
        <v>0</v>
      </c>
      <c r="Y127" s="81">
        <v>0</v>
      </c>
      <c r="Z127" s="81">
        <v>0</v>
      </c>
      <c r="AA127" s="81">
        <v>1</v>
      </c>
      <c r="AB127" s="81">
        <v>0</v>
      </c>
      <c r="AC127" s="81">
        <v>0</v>
      </c>
      <c r="AD127" s="81">
        <v>0</v>
      </c>
      <c r="AE127" s="81">
        <v>0</v>
      </c>
      <c r="AF127" s="81">
        <v>0</v>
      </c>
      <c r="AG127" s="81">
        <v>1</v>
      </c>
      <c r="AH127" s="81">
        <v>0</v>
      </c>
      <c r="AI127" s="81">
        <v>0</v>
      </c>
      <c r="AJ127" s="81">
        <v>0</v>
      </c>
      <c r="AK127" s="81">
        <v>0</v>
      </c>
      <c r="AL127" s="81">
        <v>0</v>
      </c>
      <c r="AM127" s="81">
        <v>1</v>
      </c>
      <c r="AN127" s="81">
        <v>0</v>
      </c>
      <c r="AO127" s="81">
        <v>0</v>
      </c>
      <c r="AP127" s="81">
        <v>0</v>
      </c>
      <c r="AQ127" s="81">
        <v>0</v>
      </c>
      <c r="AR127" s="81">
        <v>0</v>
      </c>
      <c r="AS127" s="81">
        <v>0</v>
      </c>
      <c r="AT127" s="81">
        <v>0</v>
      </c>
      <c r="AU127" s="81">
        <v>0</v>
      </c>
      <c r="AV127" s="81">
        <v>0</v>
      </c>
      <c r="AW127" s="81">
        <v>0</v>
      </c>
      <c r="AX127" s="81">
        <v>0</v>
      </c>
      <c r="AY127" s="81">
        <v>0</v>
      </c>
      <c r="AZ127" s="81">
        <v>0</v>
      </c>
      <c r="BA127" s="81">
        <v>0</v>
      </c>
      <c r="BB127" s="81">
        <v>1</v>
      </c>
      <c r="BC127" s="81">
        <v>0</v>
      </c>
      <c r="BD127" s="81">
        <v>0</v>
      </c>
      <c r="BE127" s="81">
        <v>0</v>
      </c>
      <c r="BF127" s="81">
        <v>0</v>
      </c>
      <c r="BG127" s="81">
        <v>1</v>
      </c>
      <c r="BH127" s="81">
        <v>0</v>
      </c>
      <c r="BI127" s="81">
        <v>0</v>
      </c>
      <c r="BJ127" s="81">
        <v>0</v>
      </c>
      <c r="BK127" s="81">
        <v>0</v>
      </c>
      <c r="BL127" s="81">
        <v>0</v>
      </c>
      <c r="BM127" s="81">
        <v>0</v>
      </c>
      <c r="BN127" s="81">
        <v>0</v>
      </c>
      <c r="BO127" s="81">
        <v>1</v>
      </c>
      <c r="BP127" s="81">
        <v>1</v>
      </c>
      <c r="BQ127" s="81">
        <v>1</v>
      </c>
      <c r="BR127" s="81">
        <v>1</v>
      </c>
      <c r="BS127" s="81">
        <v>1</v>
      </c>
      <c r="BT127" s="81">
        <v>1</v>
      </c>
      <c r="BU127" s="81">
        <v>1</v>
      </c>
      <c r="BV127" s="81">
        <v>1</v>
      </c>
      <c r="BW127" s="81">
        <v>1</v>
      </c>
      <c r="BX127" s="81">
        <v>1</v>
      </c>
      <c r="BY127" s="81">
        <v>1</v>
      </c>
      <c r="BZ127" s="81">
        <v>1</v>
      </c>
      <c r="CA127" s="81">
        <v>1</v>
      </c>
      <c r="CB127" s="81">
        <v>1</v>
      </c>
      <c r="CC127" s="81">
        <v>1</v>
      </c>
      <c r="CD127" s="81">
        <v>1</v>
      </c>
      <c r="CE127" s="81">
        <v>1</v>
      </c>
      <c r="CF127" s="81">
        <v>1</v>
      </c>
      <c r="CG127" s="81">
        <v>1</v>
      </c>
      <c r="CH127" s="81">
        <v>0</v>
      </c>
      <c r="CI127" s="81">
        <v>0</v>
      </c>
      <c r="CJ127" s="81">
        <v>0</v>
      </c>
      <c r="CK127" s="81">
        <v>0</v>
      </c>
      <c r="CL127" s="81">
        <v>0</v>
      </c>
      <c r="CM127" s="81">
        <v>0</v>
      </c>
      <c r="CN127" s="81">
        <v>0</v>
      </c>
      <c r="CO127" s="81">
        <v>2</v>
      </c>
      <c r="CP127" s="81">
        <v>2</v>
      </c>
      <c r="CQ127" s="81">
        <v>1</v>
      </c>
      <c r="CR127" s="81">
        <v>2</v>
      </c>
      <c r="CS127" s="81">
        <v>1</v>
      </c>
      <c r="CT127" s="81">
        <v>1</v>
      </c>
      <c r="CU127" s="81">
        <v>0</v>
      </c>
      <c r="CV127" s="81">
        <v>1</v>
      </c>
      <c r="CW127" s="81">
        <v>1</v>
      </c>
      <c r="CX127" s="81">
        <v>1</v>
      </c>
      <c r="CY127" s="81">
        <v>1</v>
      </c>
      <c r="CZ127" s="81">
        <v>1</v>
      </c>
      <c r="DA127" s="81">
        <v>1</v>
      </c>
    </row>
    <row r="128" spans="1:105" ht="12" customHeight="1" x14ac:dyDescent="0.3">
      <c r="A128" s="81" t="s">
        <v>766</v>
      </c>
      <c r="B128" s="81" t="s">
        <v>1446</v>
      </c>
      <c r="C128" s="81" t="s">
        <v>1452</v>
      </c>
      <c r="D128" s="81" t="s">
        <v>767</v>
      </c>
      <c r="E128" s="81" t="s">
        <v>398</v>
      </c>
      <c r="F128" s="81" t="s">
        <v>398</v>
      </c>
      <c r="G128" s="81"/>
      <c r="H128" s="94">
        <v>17</v>
      </c>
      <c r="I128" s="81" t="s">
        <v>3</v>
      </c>
      <c r="J128" s="81" t="s">
        <v>428</v>
      </c>
      <c r="K128" s="81">
        <v>17</v>
      </c>
      <c r="L128" s="81" t="s">
        <v>411</v>
      </c>
      <c r="M128" s="81" t="s">
        <v>431</v>
      </c>
      <c r="N128" s="81" t="s">
        <v>1430</v>
      </c>
      <c r="O128" s="81" t="s">
        <v>1453</v>
      </c>
      <c r="P128" s="81" t="s">
        <v>414</v>
      </c>
      <c r="Q128" s="81" t="s">
        <v>751</v>
      </c>
      <c r="R128" s="81">
        <v>0</v>
      </c>
      <c r="S128" s="81">
        <v>0</v>
      </c>
      <c r="T128" s="81">
        <v>0</v>
      </c>
      <c r="U128" s="81">
        <v>1</v>
      </c>
      <c r="V128" s="81">
        <v>0</v>
      </c>
      <c r="W128" s="81">
        <v>1</v>
      </c>
      <c r="X128" s="81">
        <v>0</v>
      </c>
      <c r="Y128" s="81">
        <v>0</v>
      </c>
      <c r="Z128" s="81">
        <v>0</v>
      </c>
      <c r="AA128" s="81">
        <v>1</v>
      </c>
      <c r="AB128" s="81">
        <v>0</v>
      </c>
      <c r="AC128" s="81">
        <v>0</v>
      </c>
      <c r="AD128" s="81">
        <v>0</v>
      </c>
      <c r="AE128" s="81">
        <v>0</v>
      </c>
      <c r="AF128" s="81">
        <v>0</v>
      </c>
      <c r="AG128" s="81">
        <v>1</v>
      </c>
      <c r="AH128" s="81">
        <v>0</v>
      </c>
      <c r="AI128" s="81">
        <v>0</v>
      </c>
      <c r="AJ128" s="81">
        <v>0</v>
      </c>
      <c r="AK128" s="81">
        <v>0</v>
      </c>
      <c r="AL128" s="81">
        <v>0</v>
      </c>
      <c r="AM128" s="81">
        <v>1</v>
      </c>
      <c r="AN128" s="81">
        <v>0</v>
      </c>
      <c r="AO128" s="81">
        <v>0</v>
      </c>
      <c r="AP128" s="81">
        <v>0</v>
      </c>
      <c r="AQ128" s="81">
        <v>0</v>
      </c>
      <c r="AR128" s="81">
        <v>0</v>
      </c>
      <c r="AS128" s="81">
        <v>0</v>
      </c>
      <c r="AT128" s="81">
        <v>0</v>
      </c>
      <c r="AU128" s="81">
        <v>0</v>
      </c>
      <c r="AV128" s="81">
        <v>0</v>
      </c>
      <c r="AW128" s="81">
        <v>0</v>
      </c>
      <c r="AX128" s="81">
        <v>0</v>
      </c>
      <c r="AY128" s="81">
        <v>0</v>
      </c>
      <c r="AZ128" s="81">
        <v>0</v>
      </c>
      <c r="BA128" s="81">
        <v>0</v>
      </c>
      <c r="BB128" s="81">
        <v>1</v>
      </c>
      <c r="BC128" s="81">
        <v>0</v>
      </c>
      <c r="BD128" s="81">
        <v>0</v>
      </c>
      <c r="BE128" s="81">
        <v>0</v>
      </c>
      <c r="BF128" s="81">
        <v>0</v>
      </c>
      <c r="BG128" s="81">
        <v>1</v>
      </c>
      <c r="BH128" s="81">
        <v>0</v>
      </c>
      <c r="BI128" s="81">
        <v>0</v>
      </c>
      <c r="BJ128" s="81">
        <v>0</v>
      </c>
      <c r="BK128" s="81">
        <v>0</v>
      </c>
      <c r="BL128" s="81">
        <v>0</v>
      </c>
      <c r="BM128" s="81">
        <v>0</v>
      </c>
      <c r="BN128" s="81">
        <v>0</v>
      </c>
      <c r="BO128" s="81">
        <v>1</v>
      </c>
      <c r="BP128" s="81">
        <v>1</v>
      </c>
      <c r="BQ128" s="81">
        <v>1</v>
      </c>
      <c r="BR128" s="81">
        <v>1</v>
      </c>
      <c r="BS128" s="81">
        <v>1</v>
      </c>
      <c r="BT128" s="81">
        <v>1</v>
      </c>
      <c r="BU128" s="81">
        <v>1</v>
      </c>
      <c r="BV128" s="81">
        <v>1</v>
      </c>
      <c r="BW128" s="81">
        <v>1</v>
      </c>
      <c r="BX128" s="81">
        <v>1</v>
      </c>
      <c r="BY128" s="81">
        <v>1</v>
      </c>
      <c r="BZ128" s="81">
        <v>1</v>
      </c>
      <c r="CA128" s="81">
        <v>1</v>
      </c>
      <c r="CB128" s="81">
        <v>1</v>
      </c>
      <c r="CC128" s="81">
        <v>1</v>
      </c>
      <c r="CD128" s="81">
        <v>1</v>
      </c>
      <c r="CE128" s="81">
        <v>1</v>
      </c>
      <c r="CF128" s="81">
        <v>1</v>
      </c>
      <c r="CG128" s="81">
        <v>1</v>
      </c>
      <c r="CH128" s="81">
        <v>0</v>
      </c>
      <c r="CI128" s="81">
        <v>0</v>
      </c>
      <c r="CJ128" s="81">
        <v>0</v>
      </c>
      <c r="CK128" s="81">
        <v>0</v>
      </c>
      <c r="CL128" s="81">
        <v>0</v>
      </c>
      <c r="CM128" s="81">
        <v>0</v>
      </c>
      <c r="CN128" s="81">
        <v>0</v>
      </c>
      <c r="CO128" s="81">
        <v>2</v>
      </c>
      <c r="CP128" s="81">
        <v>2</v>
      </c>
      <c r="CQ128" s="81">
        <v>1</v>
      </c>
      <c r="CR128" s="81">
        <v>2</v>
      </c>
      <c r="CS128" s="81">
        <v>1</v>
      </c>
      <c r="CT128" s="81">
        <v>1</v>
      </c>
      <c r="CU128" s="81">
        <v>0</v>
      </c>
      <c r="CV128" s="81">
        <v>1</v>
      </c>
      <c r="CW128" s="81">
        <v>1</v>
      </c>
      <c r="CX128" s="81">
        <v>1</v>
      </c>
      <c r="CY128" s="81">
        <v>1</v>
      </c>
      <c r="CZ128" s="81">
        <v>1</v>
      </c>
      <c r="DA128" s="81">
        <v>1</v>
      </c>
    </row>
    <row r="129" spans="1:105" ht="12" customHeight="1" x14ac:dyDescent="0.3">
      <c r="A129" s="81" t="s">
        <v>768</v>
      </c>
      <c r="B129" s="81" t="s">
        <v>1446</v>
      </c>
      <c r="C129" s="81" t="s">
        <v>1452</v>
      </c>
      <c r="D129" s="81" t="s">
        <v>769</v>
      </c>
      <c r="E129" s="81" t="s">
        <v>398</v>
      </c>
      <c r="F129" s="81" t="s">
        <v>398</v>
      </c>
      <c r="G129" s="81"/>
      <c r="H129" s="94">
        <v>17</v>
      </c>
      <c r="I129" s="81" t="s">
        <v>3</v>
      </c>
      <c r="J129" s="81" t="s">
        <v>428</v>
      </c>
      <c r="K129" s="81">
        <v>17</v>
      </c>
      <c r="L129" s="81" t="s">
        <v>411</v>
      </c>
      <c r="M129" s="81" t="s">
        <v>431</v>
      </c>
      <c r="N129" s="81" t="s">
        <v>1430</v>
      </c>
      <c r="O129" s="81" t="s">
        <v>1453</v>
      </c>
      <c r="P129" s="81" t="s">
        <v>414</v>
      </c>
      <c r="Q129" s="81" t="s">
        <v>751</v>
      </c>
      <c r="R129" s="81">
        <v>0</v>
      </c>
      <c r="S129" s="81">
        <v>0</v>
      </c>
      <c r="T129" s="81">
        <v>0</v>
      </c>
      <c r="U129" s="81">
        <v>1</v>
      </c>
      <c r="V129" s="81">
        <v>0</v>
      </c>
      <c r="W129" s="81">
        <v>1</v>
      </c>
      <c r="X129" s="81">
        <v>0</v>
      </c>
      <c r="Y129" s="81">
        <v>0</v>
      </c>
      <c r="Z129" s="81">
        <v>0</v>
      </c>
      <c r="AA129" s="81">
        <v>1</v>
      </c>
      <c r="AB129" s="81">
        <v>0</v>
      </c>
      <c r="AC129" s="81">
        <v>0</v>
      </c>
      <c r="AD129" s="81">
        <v>0</v>
      </c>
      <c r="AE129" s="81">
        <v>0</v>
      </c>
      <c r="AF129" s="81">
        <v>0</v>
      </c>
      <c r="AG129" s="81">
        <v>1</v>
      </c>
      <c r="AH129" s="81">
        <v>0</v>
      </c>
      <c r="AI129" s="81">
        <v>0</v>
      </c>
      <c r="AJ129" s="81">
        <v>0</v>
      </c>
      <c r="AK129" s="81">
        <v>0</v>
      </c>
      <c r="AL129" s="81">
        <v>0</v>
      </c>
      <c r="AM129" s="81">
        <v>1</v>
      </c>
      <c r="AN129" s="81">
        <v>0</v>
      </c>
      <c r="AO129" s="81">
        <v>0</v>
      </c>
      <c r="AP129" s="81">
        <v>0</v>
      </c>
      <c r="AQ129" s="81">
        <v>0</v>
      </c>
      <c r="AR129" s="81">
        <v>0</v>
      </c>
      <c r="AS129" s="81">
        <v>0</v>
      </c>
      <c r="AT129" s="81">
        <v>0</v>
      </c>
      <c r="AU129" s="81">
        <v>0</v>
      </c>
      <c r="AV129" s="81">
        <v>0</v>
      </c>
      <c r="AW129" s="81">
        <v>0</v>
      </c>
      <c r="AX129" s="81">
        <v>0</v>
      </c>
      <c r="AY129" s="81">
        <v>0</v>
      </c>
      <c r="AZ129" s="81">
        <v>0</v>
      </c>
      <c r="BA129" s="81">
        <v>0</v>
      </c>
      <c r="BB129" s="81">
        <v>1</v>
      </c>
      <c r="BC129" s="81">
        <v>0</v>
      </c>
      <c r="BD129" s="81">
        <v>0</v>
      </c>
      <c r="BE129" s="81">
        <v>0</v>
      </c>
      <c r="BF129" s="81">
        <v>0</v>
      </c>
      <c r="BG129" s="81">
        <v>1</v>
      </c>
      <c r="BH129" s="81">
        <v>0</v>
      </c>
      <c r="BI129" s="81">
        <v>0</v>
      </c>
      <c r="BJ129" s="81">
        <v>0</v>
      </c>
      <c r="BK129" s="81">
        <v>0</v>
      </c>
      <c r="BL129" s="81">
        <v>0</v>
      </c>
      <c r="BM129" s="81">
        <v>0</v>
      </c>
      <c r="BN129" s="81">
        <v>0</v>
      </c>
      <c r="BO129" s="81">
        <v>1</v>
      </c>
      <c r="BP129" s="81">
        <v>1</v>
      </c>
      <c r="BQ129" s="81">
        <v>1</v>
      </c>
      <c r="BR129" s="81">
        <v>1</v>
      </c>
      <c r="BS129" s="81">
        <v>1</v>
      </c>
      <c r="BT129" s="81">
        <v>1</v>
      </c>
      <c r="BU129" s="81">
        <v>1</v>
      </c>
      <c r="BV129" s="81">
        <v>1</v>
      </c>
      <c r="BW129" s="81">
        <v>1</v>
      </c>
      <c r="BX129" s="81">
        <v>1</v>
      </c>
      <c r="BY129" s="81">
        <v>1</v>
      </c>
      <c r="BZ129" s="81">
        <v>1</v>
      </c>
      <c r="CA129" s="81">
        <v>1</v>
      </c>
      <c r="CB129" s="81">
        <v>1</v>
      </c>
      <c r="CC129" s="81">
        <v>1</v>
      </c>
      <c r="CD129" s="81">
        <v>1</v>
      </c>
      <c r="CE129" s="81">
        <v>1</v>
      </c>
      <c r="CF129" s="81">
        <v>1</v>
      </c>
      <c r="CG129" s="81">
        <v>1</v>
      </c>
      <c r="CH129" s="81">
        <v>0</v>
      </c>
      <c r="CI129" s="81">
        <v>0</v>
      </c>
      <c r="CJ129" s="81">
        <v>0</v>
      </c>
      <c r="CK129" s="81">
        <v>0</v>
      </c>
      <c r="CL129" s="81">
        <v>0</v>
      </c>
      <c r="CM129" s="81">
        <v>0</v>
      </c>
      <c r="CN129" s="81">
        <v>0</v>
      </c>
      <c r="CO129" s="81">
        <v>2</v>
      </c>
      <c r="CP129" s="81">
        <v>2</v>
      </c>
      <c r="CQ129" s="81">
        <v>1</v>
      </c>
      <c r="CR129" s="81">
        <v>2</v>
      </c>
      <c r="CS129" s="81">
        <v>1</v>
      </c>
      <c r="CT129" s="81">
        <v>1</v>
      </c>
      <c r="CU129" s="81">
        <v>0</v>
      </c>
      <c r="CV129" s="81">
        <v>1</v>
      </c>
      <c r="CW129" s="81">
        <v>1</v>
      </c>
      <c r="CX129" s="81">
        <v>1</v>
      </c>
      <c r="CY129" s="81">
        <v>1</v>
      </c>
      <c r="CZ129" s="81">
        <v>1</v>
      </c>
      <c r="DA129" s="81">
        <v>1</v>
      </c>
    </row>
    <row r="130" spans="1:105" ht="12" customHeight="1" x14ac:dyDescent="0.3">
      <c r="A130" s="81" t="s">
        <v>770</v>
      </c>
      <c r="B130" s="81" t="s">
        <v>1446</v>
      </c>
      <c r="C130" s="81" t="s">
        <v>1452</v>
      </c>
      <c r="D130" s="81" t="s">
        <v>771</v>
      </c>
      <c r="E130" s="81" t="s">
        <v>398</v>
      </c>
      <c r="F130" s="81" t="s">
        <v>398</v>
      </c>
      <c r="G130" s="81"/>
      <c r="H130" s="94">
        <v>17</v>
      </c>
      <c r="I130" s="81" t="s">
        <v>3</v>
      </c>
      <c r="J130" s="81" t="s">
        <v>428</v>
      </c>
      <c r="K130" s="81">
        <v>17</v>
      </c>
      <c r="L130" s="81" t="s">
        <v>411</v>
      </c>
      <c r="M130" s="81" t="s">
        <v>431</v>
      </c>
      <c r="N130" s="81" t="s">
        <v>1430</v>
      </c>
      <c r="O130" s="81" t="s">
        <v>1453</v>
      </c>
      <c r="P130" s="81" t="s">
        <v>414</v>
      </c>
      <c r="Q130" s="81" t="s">
        <v>751</v>
      </c>
      <c r="R130" s="81">
        <v>0</v>
      </c>
      <c r="S130" s="81">
        <v>0</v>
      </c>
      <c r="T130" s="81">
        <v>0</v>
      </c>
      <c r="U130" s="81">
        <v>1</v>
      </c>
      <c r="V130" s="81">
        <v>0</v>
      </c>
      <c r="W130" s="81">
        <v>1</v>
      </c>
      <c r="X130" s="81">
        <v>0</v>
      </c>
      <c r="Y130" s="81">
        <v>0</v>
      </c>
      <c r="Z130" s="81">
        <v>0</v>
      </c>
      <c r="AA130" s="81">
        <v>1</v>
      </c>
      <c r="AB130" s="81">
        <v>0</v>
      </c>
      <c r="AC130" s="81">
        <v>0</v>
      </c>
      <c r="AD130" s="81">
        <v>0</v>
      </c>
      <c r="AE130" s="81">
        <v>0</v>
      </c>
      <c r="AF130" s="81">
        <v>0</v>
      </c>
      <c r="AG130" s="81">
        <v>1</v>
      </c>
      <c r="AH130" s="81">
        <v>0</v>
      </c>
      <c r="AI130" s="81">
        <v>0</v>
      </c>
      <c r="AJ130" s="81">
        <v>0</v>
      </c>
      <c r="AK130" s="81">
        <v>0</v>
      </c>
      <c r="AL130" s="81">
        <v>0</v>
      </c>
      <c r="AM130" s="81">
        <v>1</v>
      </c>
      <c r="AN130" s="81">
        <v>0</v>
      </c>
      <c r="AO130" s="81">
        <v>0</v>
      </c>
      <c r="AP130" s="81">
        <v>0</v>
      </c>
      <c r="AQ130" s="81">
        <v>0</v>
      </c>
      <c r="AR130" s="81">
        <v>0</v>
      </c>
      <c r="AS130" s="81">
        <v>0</v>
      </c>
      <c r="AT130" s="81">
        <v>0</v>
      </c>
      <c r="AU130" s="81">
        <v>0</v>
      </c>
      <c r="AV130" s="81">
        <v>0</v>
      </c>
      <c r="AW130" s="81">
        <v>0</v>
      </c>
      <c r="AX130" s="81">
        <v>0</v>
      </c>
      <c r="AY130" s="81">
        <v>0</v>
      </c>
      <c r="AZ130" s="81">
        <v>0</v>
      </c>
      <c r="BA130" s="81">
        <v>0</v>
      </c>
      <c r="BB130" s="81">
        <v>1</v>
      </c>
      <c r="BC130" s="81">
        <v>0</v>
      </c>
      <c r="BD130" s="81">
        <v>0</v>
      </c>
      <c r="BE130" s="81">
        <v>0</v>
      </c>
      <c r="BF130" s="81">
        <v>0</v>
      </c>
      <c r="BG130" s="81">
        <v>1</v>
      </c>
      <c r="BH130" s="81">
        <v>0</v>
      </c>
      <c r="BI130" s="81">
        <v>0</v>
      </c>
      <c r="BJ130" s="81">
        <v>0</v>
      </c>
      <c r="BK130" s="81">
        <v>0</v>
      </c>
      <c r="BL130" s="81">
        <v>0</v>
      </c>
      <c r="BM130" s="81">
        <v>0</v>
      </c>
      <c r="BN130" s="81">
        <v>0</v>
      </c>
      <c r="BO130" s="81">
        <v>1</v>
      </c>
      <c r="BP130" s="81">
        <v>1</v>
      </c>
      <c r="BQ130" s="81">
        <v>1</v>
      </c>
      <c r="BR130" s="81">
        <v>1</v>
      </c>
      <c r="BS130" s="81">
        <v>1</v>
      </c>
      <c r="BT130" s="81">
        <v>1</v>
      </c>
      <c r="BU130" s="81">
        <v>1</v>
      </c>
      <c r="BV130" s="81">
        <v>1</v>
      </c>
      <c r="BW130" s="81">
        <v>1</v>
      </c>
      <c r="BX130" s="81">
        <v>1</v>
      </c>
      <c r="BY130" s="81">
        <v>1</v>
      </c>
      <c r="BZ130" s="81">
        <v>1</v>
      </c>
      <c r="CA130" s="81">
        <v>1</v>
      </c>
      <c r="CB130" s="81">
        <v>1</v>
      </c>
      <c r="CC130" s="81">
        <v>1</v>
      </c>
      <c r="CD130" s="81">
        <v>1</v>
      </c>
      <c r="CE130" s="81">
        <v>1</v>
      </c>
      <c r="CF130" s="81">
        <v>1</v>
      </c>
      <c r="CG130" s="81">
        <v>1</v>
      </c>
      <c r="CH130" s="81">
        <v>0</v>
      </c>
      <c r="CI130" s="81">
        <v>0</v>
      </c>
      <c r="CJ130" s="81">
        <v>0</v>
      </c>
      <c r="CK130" s="81">
        <v>0</v>
      </c>
      <c r="CL130" s="81">
        <v>0</v>
      </c>
      <c r="CM130" s="81">
        <v>0</v>
      </c>
      <c r="CN130" s="81">
        <v>0</v>
      </c>
      <c r="CO130" s="81">
        <v>2</v>
      </c>
      <c r="CP130" s="81">
        <v>2</v>
      </c>
      <c r="CQ130" s="81">
        <v>1</v>
      </c>
      <c r="CR130" s="81">
        <v>2</v>
      </c>
      <c r="CS130" s="81">
        <v>1</v>
      </c>
      <c r="CT130" s="81">
        <v>1</v>
      </c>
      <c r="CU130" s="81">
        <v>0</v>
      </c>
      <c r="CV130" s="81">
        <v>1</v>
      </c>
      <c r="CW130" s="81">
        <v>1</v>
      </c>
      <c r="CX130" s="81">
        <v>1</v>
      </c>
      <c r="CY130" s="81">
        <v>1</v>
      </c>
      <c r="CZ130" s="81">
        <v>1</v>
      </c>
      <c r="DA130" s="81">
        <v>1</v>
      </c>
    </row>
    <row r="131" spans="1:105" ht="12" customHeight="1" x14ac:dyDescent="0.3">
      <c r="A131" s="81" t="s">
        <v>772</v>
      </c>
      <c r="B131" s="81" t="s">
        <v>1446</v>
      </c>
      <c r="C131" s="81" t="s">
        <v>1452</v>
      </c>
      <c r="D131" s="81" t="s">
        <v>773</v>
      </c>
      <c r="E131" s="81" t="s">
        <v>398</v>
      </c>
      <c r="F131" s="81" t="s">
        <v>398</v>
      </c>
      <c r="G131" s="81"/>
      <c r="H131" s="94">
        <v>17</v>
      </c>
      <c r="I131" s="81" t="s">
        <v>3</v>
      </c>
      <c r="J131" s="81" t="s">
        <v>428</v>
      </c>
      <c r="K131" s="81">
        <v>17</v>
      </c>
      <c r="L131" s="81" t="s">
        <v>411</v>
      </c>
      <c r="M131" s="81" t="s">
        <v>431</v>
      </c>
      <c r="N131" s="81" t="s">
        <v>1430</v>
      </c>
      <c r="O131" s="81" t="s">
        <v>1453</v>
      </c>
      <c r="P131" s="81" t="s">
        <v>414</v>
      </c>
      <c r="Q131" s="81" t="s">
        <v>751</v>
      </c>
      <c r="R131" s="81">
        <v>0</v>
      </c>
      <c r="S131" s="81">
        <v>0</v>
      </c>
      <c r="T131" s="81">
        <v>0</v>
      </c>
      <c r="U131" s="81">
        <v>1</v>
      </c>
      <c r="V131" s="81">
        <v>0</v>
      </c>
      <c r="W131" s="81">
        <v>1</v>
      </c>
      <c r="X131" s="81">
        <v>0</v>
      </c>
      <c r="Y131" s="81">
        <v>0</v>
      </c>
      <c r="Z131" s="81">
        <v>0</v>
      </c>
      <c r="AA131" s="81">
        <v>1</v>
      </c>
      <c r="AB131" s="81">
        <v>0</v>
      </c>
      <c r="AC131" s="81">
        <v>0</v>
      </c>
      <c r="AD131" s="81">
        <v>0</v>
      </c>
      <c r="AE131" s="81">
        <v>0</v>
      </c>
      <c r="AF131" s="81">
        <v>0</v>
      </c>
      <c r="AG131" s="81">
        <v>1</v>
      </c>
      <c r="AH131" s="81">
        <v>0</v>
      </c>
      <c r="AI131" s="81">
        <v>0</v>
      </c>
      <c r="AJ131" s="81">
        <v>0</v>
      </c>
      <c r="AK131" s="81">
        <v>0</v>
      </c>
      <c r="AL131" s="81">
        <v>0</v>
      </c>
      <c r="AM131" s="81">
        <v>1</v>
      </c>
      <c r="AN131" s="81">
        <v>0</v>
      </c>
      <c r="AO131" s="81">
        <v>0</v>
      </c>
      <c r="AP131" s="81">
        <v>0</v>
      </c>
      <c r="AQ131" s="81">
        <v>0</v>
      </c>
      <c r="AR131" s="81">
        <v>0</v>
      </c>
      <c r="AS131" s="81">
        <v>0</v>
      </c>
      <c r="AT131" s="81">
        <v>0</v>
      </c>
      <c r="AU131" s="81">
        <v>0</v>
      </c>
      <c r="AV131" s="81">
        <v>0</v>
      </c>
      <c r="AW131" s="81">
        <v>0</v>
      </c>
      <c r="AX131" s="81">
        <v>0</v>
      </c>
      <c r="AY131" s="81">
        <v>0</v>
      </c>
      <c r="AZ131" s="81">
        <v>0</v>
      </c>
      <c r="BA131" s="81">
        <v>0</v>
      </c>
      <c r="BB131" s="81">
        <v>1</v>
      </c>
      <c r="BC131" s="81">
        <v>0</v>
      </c>
      <c r="BD131" s="81">
        <v>0</v>
      </c>
      <c r="BE131" s="81">
        <v>0</v>
      </c>
      <c r="BF131" s="81">
        <v>0</v>
      </c>
      <c r="BG131" s="81">
        <v>1</v>
      </c>
      <c r="BH131" s="81">
        <v>0</v>
      </c>
      <c r="BI131" s="81">
        <v>0</v>
      </c>
      <c r="BJ131" s="81">
        <v>0</v>
      </c>
      <c r="BK131" s="81">
        <v>0</v>
      </c>
      <c r="BL131" s="81">
        <v>0</v>
      </c>
      <c r="BM131" s="81">
        <v>0</v>
      </c>
      <c r="BN131" s="81">
        <v>0</v>
      </c>
      <c r="BO131" s="81">
        <v>1</v>
      </c>
      <c r="BP131" s="81">
        <v>1</v>
      </c>
      <c r="BQ131" s="81">
        <v>1</v>
      </c>
      <c r="BR131" s="81">
        <v>1</v>
      </c>
      <c r="BS131" s="81">
        <v>1</v>
      </c>
      <c r="BT131" s="81">
        <v>1</v>
      </c>
      <c r="BU131" s="81">
        <v>1</v>
      </c>
      <c r="BV131" s="81">
        <v>1</v>
      </c>
      <c r="BW131" s="81">
        <v>1</v>
      </c>
      <c r="BX131" s="81">
        <v>1</v>
      </c>
      <c r="BY131" s="81">
        <v>1</v>
      </c>
      <c r="BZ131" s="81">
        <v>1</v>
      </c>
      <c r="CA131" s="81">
        <v>1</v>
      </c>
      <c r="CB131" s="81">
        <v>1</v>
      </c>
      <c r="CC131" s="81">
        <v>1</v>
      </c>
      <c r="CD131" s="81">
        <v>1</v>
      </c>
      <c r="CE131" s="81">
        <v>1</v>
      </c>
      <c r="CF131" s="81">
        <v>1</v>
      </c>
      <c r="CG131" s="81">
        <v>1</v>
      </c>
      <c r="CH131" s="81">
        <v>0</v>
      </c>
      <c r="CI131" s="81">
        <v>0</v>
      </c>
      <c r="CJ131" s="81">
        <v>0</v>
      </c>
      <c r="CK131" s="81">
        <v>0</v>
      </c>
      <c r="CL131" s="81">
        <v>0</v>
      </c>
      <c r="CM131" s="81">
        <v>0</v>
      </c>
      <c r="CN131" s="81">
        <v>0</v>
      </c>
      <c r="CO131" s="81">
        <v>2</v>
      </c>
      <c r="CP131" s="81">
        <v>2</v>
      </c>
      <c r="CQ131" s="81">
        <v>1</v>
      </c>
      <c r="CR131" s="81">
        <v>2</v>
      </c>
      <c r="CS131" s="81">
        <v>1</v>
      </c>
      <c r="CT131" s="81">
        <v>1</v>
      </c>
      <c r="CU131" s="81">
        <v>0</v>
      </c>
      <c r="CV131" s="81">
        <v>1</v>
      </c>
      <c r="CW131" s="81">
        <v>1</v>
      </c>
      <c r="CX131" s="81">
        <v>1</v>
      </c>
      <c r="CY131" s="81">
        <v>1</v>
      </c>
      <c r="CZ131" s="81">
        <v>1</v>
      </c>
      <c r="DA131" s="81">
        <v>1</v>
      </c>
    </row>
    <row r="132" spans="1:105" ht="12" customHeight="1" x14ac:dyDescent="0.3">
      <c r="A132" s="81" t="s">
        <v>774</v>
      </c>
      <c r="B132" s="81" t="s">
        <v>1446</v>
      </c>
      <c r="C132" s="81" t="s">
        <v>1452</v>
      </c>
      <c r="D132" s="81" t="s">
        <v>775</v>
      </c>
      <c r="E132" s="81" t="s">
        <v>398</v>
      </c>
      <c r="F132" s="81" t="s">
        <v>398</v>
      </c>
      <c r="G132" s="81"/>
      <c r="H132" s="94">
        <v>17</v>
      </c>
      <c r="I132" s="81" t="s">
        <v>3</v>
      </c>
      <c r="J132" s="81" t="s">
        <v>428</v>
      </c>
      <c r="K132" s="81">
        <v>17</v>
      </c>
      <c r="L132" s="81" t="s">
        <v>411</v>
      </c>
      <c r="M132" s="81" t="s">
        <v>431</v>
      </c>
      <c r="N132" s="81" t="s">
        <v>1430</v>
      </c>
      <c r="O132" s="81" t="s">
        <v>1453</v>
      </c>
      <c r="P132" s="81" t="s">
        <v>414</v>
      </c>
      <c r="Q132" s="81" t="s">
        <v>751</v>
      </c>
      <c r="R132" s="81">
        <v>0</v>
      </c>
      <c r="S132" s="81">
        <v>0</v>
      </c>
      <c r="T132" s="81">
        <v>0</v>
      </c>
      <c r="U132" s="81">
        <v>1</v>
      </c>
      <c r="V132" s="81">
        <v>0</v>
      </c>
      <c r="W132" s="81">
        <v>1</v>
      </c>
      <c r="X132" s="81">
        <v>0</v>
      </c>
      <c r="Y132" s="81">
        <v>0</v>
      </c>
      <c r="Z132" s="81">
        <v>0</v>
      </c>
      <c r="AA132" s="81">
        <v>1</v>
      </c>
      <c r="AB132" s="81">
        <v>0</v>
      </c>
      <c r="AC132" s="81">
        <v>0</v>
      </c>
      <c r="AD132" s="81">
        <v>0</v>
      </c>
      <c r="AE132" s="81">
        <v>0</v>
      </c>
      <c r="AF132" s="81">
        <v>0</v>
      </c>
      <c r="AG132" s="81">
        <v>1</v>
      </c>
      <c r="AH132" s="81">
        <v>0</v>
      </c>
      <c r="AI132" s="81">
        <v>0</v>
      </c>
      <c r="AJ132" s="81">
        <v>0</v>
      </c>
      <c r="AK132" s="81">
        <v>0</v>
      </c>
      <c r="AL132" s="81">
        <v>0</v>
      </c>
      <c r="AM132" s="81">
        <v>1</v>
      </c>
      <c r="AN132" s="81">
        <v>0</v>
      </c>
      <c r="AO132" s="81">
        <v>0</v>
      </c>
      <c r="AP132" s="81">
        <v>0</v>
      </c>
      <c r="AQ132" s="81">
        <v>0</v>
      </c>
      <c r="AR132" s="81">
        <v>0</v>
      </c>
      <c r="AS132" s="81">
        <v>0</v>
      </c>
      <c r="AT132" s="81">
        <v>0</v>
      </c>
      <c r="AU132" s="81">
        <v>0</v>
      </c>
      <c r="AV132" s="81">
        <v>0</v>
      </c>
      <c r="AW132" s="81">
        <v>0</v>
      </c>
      <c r="AX132" s="81">
        <v>0</v>
      </c>
      <c r="AY132" s="81">
        <v>0</v>
      </c>
      <c r="AZ132" s="81">
        <v>0</v>
      </c>
      <c r="BA132" s="81">
        <v>0</v>
      </c>
      <c r="BB132" s="81">
        <v>1</v>
      </c>
      <c r="BC132" s="81">
        <v>0</v>
      </c>
      <c r="BD132" s="81">
        <v>0</v>
      </c>
      <c r="BE132" s="81">
        <v>0</v>
      </c>
      <c r="BF132" s="81">
        <v>0</v>
      </c>
      <c r="BG132" s="81">
        <v>1</v>
      </c>
      <c r="BH132" s="81">
        <v>0</v>
      </c>
      <c r="BI132" s="81">
        <v>0</v>
      </c>
      <c r="BJ132" s="81">
        <v>0</v>
      </c>
      <c r="BK132" s="81">
        <v>0</v>
      </c>
      <c r="BL132" s="81">
        <v>0</v>
      </c>
      <c r="BM132" s="81">
        <v>0</v>
      </c>
      <c r="BN132" s="81">
        <v>0</v>
      </c>
      <c r="BO132" s="81">
        <v>1</v>
      </c>
      <c r="BP132" s="81">
        <v>1</v>
      </c>
      <c r="BQ132" s="81">
        <v>1</v>
      </c>
      <c r="BR132" s="81">
        <v>1</v>
      </c>
      <c r="BS132" s="81">
        <v>1</v>
      </c>
      <c r="BT132" s="81">
        <v>1</v>
      </c>
      <c r="BU132" s="81">
        <v>1</v>
      </c>
      <c r="BV132" s="81">
        <v>1</v>
      </c>
      <c r="BW132" s="81">
        <v>1</v>
      </c>
      <c r="BX132" s="81">
        <v>1</v>
      </c>
      <c r="BY132" s="81">
        <v>1</v>
      </c>
      <c r="BZ132" s="81">
        <v>1</v>
      </c>
      <c r="CA132" s="81">
        <v>1</v>
      </c>
      <c r="CB132" s="81">
        <v>1</v>
      </c>
      <c r="CC132" s="81">
        <v>1</v>
      </c>
      <c r="CD132" s="81">
        <v>1</v>
      </c>
      <c r="CE132" s="81">
        <v>1</v>
      </c>
      <c r="CF132" s="81">
        <v>1</v>
      </c>
      <c r="CG132" s="81">
        <v>1</v>
      </c>
      <c r="CH132" s="81">
        <v>0</v>
      </c>
      <c r="CI132" s="81">
        <v>0</v>
      </c>
      <c r="CJ132" s="81">
        <v>0</v>
      </c>
      <c r="CK132" s="81">
        <v>0</v>
      </c>
      <c r="CL132" s="81">
        <v>0</v>
      </c>
      <c r="CM132" s="81">
        <v>0</v>
      </c>
      <c r="CN132" s="81">
        <v>0</v>
      </c>
      <c r="CO132" s="81">
        <v>2</v>
      </c>
      <c r="CP132" s="81">
        <v>2</v>
      </c>
      <c r="CQ132" s="81">
        <v>1</v>
      </c>
      <c r="CR132" s="81">
        <v>2</v>
      </c>
      <c r="CS132" s="81">
        <v>1</v>
      </c>
      <c r="CT132" s="81">
        <v>1</v>
      </c>
      <c r="CU132" s="81">
        <v>0</v>
      </c>
      <c r="CV132" s="81">
        <v>1</v>
      </c>
      <c r="CW132" s="81">
        <v>1</v>
      </c>
      <c r="CX132" s="81">
        <v>1</v>
      </c>
      <c r="CY132" s="81">
        <v>1</v>
      </c>
      <c r="CZ132" s="81">
        <v>1</v>
      </c>
      <c r="DA132" s="81">
        <v>1</v>
      </c>
    </row>
    <row r="133" spans="1:105" ht="12" customHeight="1" x14ac:dyDescent="0.3">
      <c r="A133" s="81" t="s">
        <v>776</v>
      </c>
      <c r="B133" s="81" t="s">
        <v>1446</v>
      </c>
      <c r="C133" s="81" t="s">
        <v>1452</v>
      </c>
      <c r="D133" s="81" t="s">
        <v>777</v>
      </c>
      <c r="E133" s="81" t="s">
        <v>398</v>
      </c>
      <c r="F133" s="81" t="s">
        <v>398</v>
      </c>
      <c r="G133" s="81"/>
      <c r="H133" s="94">
        <v>17</v>
      </c>
      <c r="I133" s="81" t="s">
        <v>3</v>
      </c>
      <c r="J133" s="81" t="s">
        <v>428</v>
      </c>
      <c r="K133" s="81">
        <v>17</v>
      </c>
      <c r="L133" s="81" t="s">
        <v>411</v>
      </c>
      <c r="M133" s="81" t="s">
        <v>431</v>
      </c>
      <c r="N133" s="81" t="s">
        <v>1430</v>
      </c>
      <c r="O133" s="81" t="s">
        <v>1453</v>
      </c>
      <c r="P133" s="81" t="s">
        <v>414</v>
      </c>
      <c r="Q133" s="81" t="s">
        <v>751</v>
      </c>
      <c r="R133" s="81">
        <v>0</v>
      </c>
      <c r="S133" s="81">
        <v>0</v>
      </c>
      <c r="T133" s="81">
        <v>0</v>
      </c>
      <c r="U133" s="81">
        <v>1</v>
      </c>
      <c r="V133" s="81">
        <v>0</v>
      </c>
      <c r="W133" s="81">
        <v>1</v>
      </c>
      <c r="X133" s="81">
        <v>0</v>
      </c>
      <c r="Y133" s="81">
        <v>0</v>
      </c>
      <c r="Z133" s="81">
        <v>0</v>
      </c>
      <c r="AA133" s="81">
        <v>1</v>
      </c>
      <c r="AB133" s="81">
        <v>0</v>
      </c>
      <c r="AC133" s="81">
        <v>0</v>
      </c>
      <c r="AD133" s="81">
        <v>0</v>
      </c>
      <c r="AE133" s="81">
        <v>0</v>
      </c>
      <c r="AF133" s="81">
        <v>0</v>
      </c>
      <c r="AG133" s="81">
        <v>1</v>
      </c>
      <c r="AH133" s="81">
        <v>0</v>
      </c>
      <c r="AI133" s="81">
        <v>0</v>
      </c>
      <c r="AJ133" s="81">
        <v>0</v>
      </c>
      <c r="AK133" s="81">
        <v>0</v>
      </c>
      <c r="AL133" s="81">
        <v>0</v>
      </c>
      <c r="AM133" s="81">
        <v>1</v>
      </c>
      <c r="AN133" s="81">
        <v>0</v>
      </c>
      <c r="AO133" s="81">
        <v>0</v>
      </c>
      <c r="AP133" s="81">
        <v>0</v>
      </c>
      <c r="AQ133" s="81">
        <v>0</v>
      </c>
      <c r="AR133" s="81">
        <v>0</v>
      </c>
      <c r="AS133" s="81">
        <v>0</v>
      </c>
      <c r="AT133" s="81">
        <v>0</v>
      </c>
      <c r="AU133" s="81">
        <v>0</v>
      </c>
      <c r="AV133" s="81">
        <v>0</v>
      </c>
      <c r="AW133" s="81">
        <v>0</v>
      </c>
      <c r="AX133" s="81">
        <v>0</v>
      </c>
      <c r="AY133" s="81">
        <v>0</v>
      </c>
      <c r="AZ133" s="81">
        <v>0</v>
      </c>
      <c r="BA133" s="81">
        <v>0</v>
      </c>
      <c r="BB133" s="81">
        <v>1</v>
      </c>
      <c r="BC133" s="81">
        <v>0</v>
      </c>
      <c r="BD133" s="81">
        <v>0</v>
      </c>
      <c r="BE133" s="81">
        <v>0</v>
      </c>
      <c r="BF133" s="81">
        <v>0</v>
      </c>
      <c r="BG133" s="81">
        <v>1</v>
      </c>
      <c r="BH133" s="81">
        <v>0</v>
      </c>
      <c r="BI133" s="81">
        <v>0</v>
      </c>
      <c r="BJ133" s="81">
        <v>0</v>
      </c>
      <c r="BK133" s="81">
        <v>0</v>
      </c>
      <c r="BL133" s="81">
        <v>0</v>
      </c>
      <c r="BM133" s="81">
        <v>0</v>
      </c>
      <c r="BN133" s="81">
        <v>0</v>
      </c>
      <c r="BO133" s="81">
        <v>1</v>
      </c>
      <c r="BP133" s="81">
        <v>1</v>
      </c>
      <c r="BQ133" s="81">
        <v>1</v>
      </c>
      <c r="BR133" s="81">
        <v>1</v>
      </c>
      <c r="BS133" s="81">
        <v>1</v>
      </c>
      <c r="BT133" s="81">
        <v>1</v>
      </c>
      <c r="BU133" s="81">
        <v>1</v>
      </c>
      <c r="BV133" s="81">
        <v>1</v>
      </c>
      <c r="BW133" s="81">
        <v>1</v>
      </c>
      <c r="BX133" s="81">
        <v>1</v>
      </c>
      <c r="BY133" s="81">
        <v>1</v>
      </c>
      <c r="BZ133" s="81">
        <v>1</v>
      </c>
      <c r="CA133" s="81">
        <v>1</v>
      </c>
      <c r="CB133" s="81">
        <v>1</v>
      </c>
      <c r="CC133" s="81">
        <v>1</v>
      </c>
      <c r="CD133" s="81">
        <v>1</v>
      </c>
      <c r="CE133" s="81">
        <v>1</v>
      </c>
      <c r="CF133" s="81">
        <v>1</v>
      </c>
      <c r="CG133" s="81">
        <v>1</v>
      </c>
      <c r="CH133" s="81">
        <v>0</v>
      </c>
      <c r="CI133" s="81">
        <v>0</v>
      </c>
      <c r="CJ133" s="81">
        <v>0</v>
      </c>
      <c r="CK133" s="81">
        <v>0</v>
      </c>
      <c r="CL133" s="81">
        <v>0</v>
      </c>
      <c r="CM133" s="81">
        <v>0</v>
      </c>
      <c r="CN133" s="81">
        <v>0</v>
      </c>
      <c r="CO133" s="81">
        <v>2</v>
      </c>
      <c r="CP133" s="81">
        <v>2</v>
      </c>
      <c r="CQ133" s="81">
        <v>1</v>
      </c>
      <c r="CR133" s="81">
        <v>2</v>
      </c>
      <c r="CS133" s="81">
        <v>1</v>
      </c>
      <c r="CT133" s="81">
        <v>1</v>
      </c>
      <c r="CU133" s="81">
        <v>0</v>
      </c>
      <c r="CV133" s="81">
        <v>1</v>
      </c>
      <c r="CW133" s="81">
        <v>1</v>
      </c>
      <c r="CX133" s="81">
        <v>1</v>
      </c>
      <c r="CY133" s="81">
        <v>1</v>
      </c>
      <c r="CZ133" s="81">
        <v>1</v>
      </c>
      <c r="DA133" s="81">
        <v>1</v>
      </c>
    </row>
    <row r="134" spans="1:105" ht="12" customHeight="1" x14ac:dyDescent="0.3">
      <c r="A134" s="81" t="s">
        <v>778</v>
      </c>
      <c r="B134" s="81" t="s">
        <v>1446</v>
      </c>
      <c r="C134" s="81" t="s">
        <v>1452</v>
      </c>
      <c r="D134" s="81" t="s">
        <v>779</v>
      </c>
      <c r="E134" s="81" t="s">
        <v>398</v>
      </c>
      <c r="F134" s="81" t="s">
        <v>398</v>
      </c>
      <c r="G134" s="81"/>
      <c r="H134" s="94">
        <v>17</v>
      </c>
      <c r="I134" s="81" t="s">
        <v>3</v>
      </c>
      <c r="J134" s="81" t="s">
        <v>428</v>
      </c>
      <c r="K134" s="81">
        <v>17</v>
      </c>
      <c r="L134" s="81" t="s">
        <v>411</v>
      </c>
      <c r="M134" s="81" t="s">
        <v>431</v>
      </c>
      <c r="N134" s="81" t="s">
        <v>1430</v>
      </c>
      <c r="O134" s="81" t="s">
        <v>1453</v>
      </c>
      <c r="P134" s="81" t="s">
        <v>414</v>
      </c>
      <c r="Q134" s="81" t="s">
        <v>751</v>
      </c>
      <c r="R134" s="81">
        <v>0</v>
      </c>
      <c r="S134" s="81">
        <v>0</v>
      </c>
      <c r="T134" s="81">
        <v>0</v>
      </c>
      <c r="U134" s="81">
        <v>1</v>
      </c>
      <c r="V134" s="81">
        <v>0</v>
      </c>
      <c r="W134" s="81">
        <v>1</v>
      </c>
      <c r="X134" s="81">
        <v>0</v>
      </c>
      <c r="Y134" s="81">
        <v>0</v>
      </c>
      <c r="Z134" s="81">
        <v>0</v>
      </c>
      <c r="AA134" s="81">
        <v>1</v>
      </c>
      <c r="AB134" s="81">
        <v>0</v>
      </c>
      <c r="AC134" s="81">
        <v>0</v>
      </c>
      <c r="AD134" s="81">
        <v>0</v>
      </c>
      <c r="AE134" s="81">
        <v>0</v>
      </c>
      <c r="AF134" s="81">
        <v>0</v>
      </c>
      <c r="AG134" s="81">
        <v>1</v>
      </c>
      <c r="AH134" s="81">
        <v>0</v>
      </c>
      <c r="AI134" s="81">
        <v>0</v>
      </c>
      <c r="AJ134" s="81">
        <v>0</v>
      </c>
      <c r="AK134" s="81">
        <v>0</v>
      </c>
      <c r="AL134" s="81">
        <v>0</v>
      </c>
      <c r="AM134" s="81">
        <v>1</v>
      </c>
      <c r="AN134" s="81">
        <v>0</v>
      </c>
      <c r="AO134" s="81">
        <v>0</v>
      </c>
      <c r="AP134" s="81">
        <v>0</v>
      </c>
      <c r="AQ134" s="81">
        <v>0</v>
      </c>
      <c r="AR134" s="81">
        <v>0</v>
      </c>
      <c r="AS134" s="81">
        <v>0</v>
      </c>
      <c r="AT134" s="81">
        <v>0</v>
      </c>
      <c r="AU134" s="81">
        <v>0</v>
      </c>
      <c r="AV134" s="81">
        <v>0</v>
      </c>
      <c r="AW134" s="81">
        <v>0</v>
      </c>
      <c r="AX134" s="81">
        <v>0</v>
      </c>
      <c r="AY134" s="81">
        <v>0</v>
      </c>
      <c r="AZ134" s="81">
        <v>0</v>
      </c>
      <c r="BA134" s="81">
        <v>0</v>
      </c>
      <c r="BB134" s="81">
        <v>1</v>
      </c>
      <c r="BC134" s="81">
        <v>0</v>
      </c>
      <c r="BD134" s="81">
        <v>0</v>
      </c>
      <c r="BE134" s="81">
        <v>0</v>
      </c>
      <c r="BF134" s="81">
        <v>0</v>
      </c>
      <c r="BG134" s="81">
        <v>1</v>
      </c>
      <c r="BH134" s="81">
        <v>0</v>
      </c>
      <c r="BI134" s="81">
        <v>0</v>
      </c>
      <c r="BJ134" s="81">
        <v>0</v>
      </c>
      <c r="BK134" s="81">
        <v>0</v>
      </c>
      <c r="BL134" s="81">
        <v>0</v>
      </c>
      <c r="BM134" s="81">
        <v>0</v>
      </c>
      <c r="BN134" s="81">
        <v>0</v>
      </c>
      <c r="BO134" s="81">
        <v>1</v>
      </c>
      <c r="BP134" s="81">
        <v>1</v>
      </c>
      <c r="BQ134" s="81">
        <v>1</v>
      </c>
      <c r="BR134" s="81">
        <v>1</v>
      </c>
      <c r="BS134" s="81">
        <v>1</v>
      </c>
      <c r="BT134" s="81">
        <v>1</v>
      </c>
      <c r="BU134" s="81">
        <v>1</v>
      </c>
      <c r="BV134" s="81">
        <v>1</v>
      </c>
      <c r="BW134" s="81">
        <v>1</v>
      </c>
      <c r="BX134" s="81">
        <v>1</v>
      </c>
      <c r="BY134" s="81">
        <v>1</v>
      </c>
      <c r="BZ134" s="81">
        <v>1</v>
      </c>
      <c r="CA134" s="81">
        <v>1</v>
      </c>
      <c r="CB134" s="81">
        <v>1</v>
      </c>
      <c r="CC134" s="81">
        <v>1</v>
      </c>
      <c r="CD134" s="81">
        <v>1</v>
      </c>
      <c r="CE134" s="81">
        <v>1</v>
      </c>
      <c r="CF134" s="81">
        <v>1</v>
      </c>
      <c r="CG134" s="81">
        <v>1</v>
      </c>
      <c r="CH134" s="81">
        <v>0</v>
      </c>
      <c r="CI134" s="81">
        <v>0</v>
      </c>
      <c r="CJ134" s="81">
        <v>0</v>
      </c>
      <c r="CK134" s="81">
        <v>0</v>
      </c>
      <c r="CL134" s="81">
        <v>0</v>
      </c>
      <c r="CM134" s="81">
        <v>0</v>
      </c>
      <c r="CN134" s="81">
        <v>0</v>
      </c>
      <c r="CO134" s="81">
        <v>2</v>
      </c>
      <c r="CP134" s="81">
        <v>2</v>
      </c>
      <c r="CQ134" s="81">
        <v>1</v>
      </c>
      <c r="CR134" s="81">
        <v>2</v>
      </c>
      <c r="CS134" s="81">
        <v>1</v>
      </c>
      <c r="CT134" s="81">
        <v>1</v>
      </c>
      <c r="CU134" s="81">
        <v>0</v>
      </c>
      <c r="CV134" s="81">
        <v>1</v>
      </c>
      <c r="CW134" s="81">
        <v>1</v>
      </c>
      <c r="CX134" s="81">
        <v>1</v>
      </c>
      <c r="CY134" s="81">
        <v>1</v>
      </c>
      <c r="CZ134" s="81">
        <v>1</v>
      </c>
      <c r="DA134" s="81">
        <v>1</v>
      </c>
    </row>
    <row r="135" spans="1:105" ht="12" customHeight="1" x14ac:dyDescent="0.3">
      <c r="A135" s="81" t="s">
        <v>780</v>
      </c>
      <c r="B135" s="81" t="s">
        <v>1446</v>
      </c>
      <c r="C135" s="81" t="s">
        <v>1452</v>
      </c>
      <c r="D135" s="81" t="s">
        <v>781</v>
      </c>
      <c r="E135" s="81" t="s">
        <v>398</v>
      </c>
      <c r="F135" s="81" t="s">
        <v>398</v>
      </c>
      <c r="G135" s="81"/>
      <c r="H135" s="94">
        <v>17</v>
      </c>
      <c r="I135" s="81" t="s">
        <v>3</v>
      </c>
      <c r="J135" s="81" t="s">
        <v>428</v>
      </c>
      <c r="K135" s="81">
        <v>17</v>
      </c>
      <c r="L135" s="81" t="s">
        <v>411</v>
      </c>
      <c r="M135" s="81" t="s">
        <v>431</v>
      </c>
      <c r="N135" s="81" t="s">
        <v>1430</v>
      </c>
      <c r="O135" s="81" t="s">
        <v>1453</v>
      </c>
      <c r="P135" s="81" t="s">
        <v>414</v>
      </c>
      <c r="Q135" s="81" t="s">
        <v>751</v>
      </c>
      <c r="R135" s="81">
        <v>0</v>
      </c>
      <c r="S135" s="81">
        <v>0</v>
      </c>
      <c r="T135" s="81">
        <v>0</v>
      </c>
      <c r="U135" s="81">
        <v>1</v>
      </c>
      <c r="V135" s="81">
        <v>0</v>
      </c>
      <c r="W135" s="81">
        <v>1</v>
      </c>
      <c r="X135" s="81">
        <v>0</v>
      </c>
      <c r="Y135" s="81">
        <v>0</v>
      </c>
      <c r="Z135" s="81">
        <v>0</v>
      </c>
      <c r="AA135" s="81">
        <v>1</v>
      </c>
      <c r="AB135" s="81">
        <v>0</v>
      </c>
      <c r="AC135" s="81">
        <v>0</v>
      </c>
      <c r="AD135" s="81">
        <v>0</v>
      </c>
      <c r="AE135" s="81">
        <v>0</v>
      </c>
      <c r="AF135" s="81">
        <v>0</v>
      </c>
      <c r="AG135" s="81">
        <v>1</v>
      </c>
      <c r="AH135" s="81">
        <v>0</v>
      </c>
      <c r="AI135" s="81">
        <v>0</v>
      </c>
      <c r="AJ135" s="81">
        <v>0</v>
      </c>
      <c r="AK135" s="81">
        <v>0</v>
      </c>
      <c r="AL135" s="81">
        <v>0</v>
      </c>
      <c r="AM135" s="81">
        <v>1</v>
      </c>
      <c r="AN135" s="81">
        <v>0</v>
      </c>
      <c r="AO135" s="81">
        <v>0</v>
      </c>
      <c r="AP135" s="81">
        <v>0</v>
      </c>
      <c r="AQ135" s="81">
        <v>0</v>
      </c>
      <c r="AR135" s="81">
        <v>0</v>
      </c>
      <c r="AS135" s="81">
        <v>0</v>
      </c>
      <c r="AT135" s="81">
        <v>0</v>
      </c>
      <c r="AU135" s="81">
        <v>0</v>
      </c>
      <c r="AV135" s="81">
        <v>0</v>
      </c>
      <c r="AW135" s="81">
        <v>0</v>
      </c>
      <c r="AX135" s="81">
        <v>0</v>
      </c>
      <c r="AY135" s="81">
        <v>0</v>
      </c>
      <c r="AZ135" s="81">
        <v>0</v>
      </c>
      <c r="BA135" s="81">
        <v>0</v>
      </c>
      <c r="BB135" s="81">
        <v>1</v>
      </c>
      <c r="BC135" s="81">
        <v>0</v>
      </c>
      <c r="BD135" s="81">
        <v>0</v>
      </c>
      <c r="BE135" s="81">
        <v>0</v>
      </c>
      <c r="BF135" s="81">
        <v>0</v>
      </c>
      <c r="BG135" s="81">
        <v>1</v>
      </c>
      <c r="BH135" s="81">
        <v>0</v>
      </c>
      <c r="BI135" s="81">
        <v>0</v>
      </c>
      <c r="BJ135" s="81">
        <v>0</v>
      </c>
      <c r="BK135" s="81">
        <v>0</v>
      </c>
      <c r="BL135" s="81">
        <v>0</v>
      </c>
      <c r="BM135" s="81">
        <v>0</v>
      </c>
      <c r="BN135" s="81">
        <v>0</v>
      </c>
      <c r="BO135" s="81">
        <v>1</v>
      </c>
      <c r="BP135" s="81">
        <v>1</v>
      </c>
      <c r="BQ135" s="81">
        <v>1</v>
      </c>
      <c r="BR135" s="81">
        <v>1</v>
      </c>
      <c r="BS135" s="81">
        <v>1</v>
      </c>
      <c r="BT135" s="81">
        <v>1</v>
      </c>
      <c r="BU135" s="81">
        <v>1</v>
      </c>
      <c r="BV135" s="81">
        <v>1</v>
      </c>
      <c r="BW135" s="81">
        <v>1</v>
      </c>
      <c r="BX135" s="81">
        <v>1</v>
      </c>
      <c r="BY135" s="81">
        <v>1</v>
      </c>
      <c r="BZ135" s="81">
        <v>1</v>
      </c>
      <c r="CA135" s="81">
        <v>1</v>
      </c>
      <c r="CB135" s="81">
        <v>1</v>
      </c>
      <c r="CC135" s="81">
        <v>1</v>
      </c>
      <c r="CD135" s="81">
        <v>1</v>
      </c>
      <c r="CE135" s="81">
        <v>1</v>
      </c>
      <c r="CF135" s="81">
        <v>1</v>
      </c>
      <c r="CG135" s="81">
        <v>1</v>
      </c>
      <c r="CH135" s="81">
        <v>0</v>
      </c>
      <c r="CI135" s="81">
        <v>0</v>
      </c>
      <c r="CJ135" s="81">
        <v>0</v>
      </c>
      <c r="CK135" s="81">
        <v>0</v>
      </c>
      <c r="CL135" s="81">
        <v>0</v>
      </c>
      <c r="CM135" s="81">
        <v>0</v>
      </c>
      <c r="CN135" s="81">
        <v>0</v>
      </c>
      <c r="CO135" s="81">
        <v>2</v>
      </c>
      <c r="CP135" s="81">
        <v>2</v>
      </c>
      <c r="CQ135" s="81">
        <v>1</v>
      </c>
      <c r="CR135" s="81">
        <v>2</v>
      </c>
      <c r="CS135" s="81">
        <v>1</v>
      </c>
      <c r="CT135" s="81">
        <v>1</v>
      </c>
      <c r="CU135" s="81">
        <v>0</v>
      </c>
      <c r="CV135" s="81">
        <v>1</v>
      </c>
      <c r="CW135" s="81">
        <v>1</v>
      </c>
      <c r="CX135" s="81">
        <v>1</v>
      </c>
      <c r="CY135" s="81">
        <v>1</v>
      </c>
      <c r="CZ135" s="81">
        <v>1</v>
      </c>
      <c r="DA135" s="81">
        <v>1</v>
      </c>
    </row>
    <row r="136" spans="1:105" ht="12" customHeight="1" x14ac:dyDescent="0.3">
      <c r="A136" s="81" t="s">
        <v>782</v>
      </c>
      <c r="B136" s="81" t="s">
        <v>1446</v>
      </c>
      <c r="C136" s="81" t="s">
        <v>1452</v>
      </c>
      <c r="D136" s="81" t="s">
        <v>783</v>
      </c>
      <c r="E136" s="81" t="s">
        <v>398</v>
      </c>
      <c r="F136" s="81" t="s">
        <v>398</v>
      </c>
      <c r="G136" s="81"/>
      <c r="H136" s="94">
        <v>17</v>
      </c>
      <c r="I136" s="81" t="s">
        <v>3</v>
      </c>
      <c r="J136" s="81" t="s">
        <v>428</v>
      </c>
      <c r="K136" s="81">
        <v>17</v>
      </c>
      <c r="L136" s="81" t="s">
        <v>411</v>
      </c>
      <c r="M136" s="81" t="s">
        <v>431</v>
      </c>
      <c r="N136" s="81" t="s">
        <v>1430</v>
      </c>
      <c r="O136" s="81" t="s">
        <v>1453</v>
      </c>
      <c r="P136" s="81" t="s">
        <v>414</v>
      </c>
      <c r="Q136" s="81" t="s">
        <v>751</v>
      </c>
      <c r="R136" s="81">
        <v>0</v>
      </c>
      <c r="S136" s="81">
        <v>0</v>
      </c>
      <c r="T136" s="81">
        <v>0</v>
      </c>
      <c r="U136" s="81">
        <v>1</v>
      </c>
      <c r="V136" s="81">
        <v>0</v>
      </c>
      <c r="W136" s="81">
        <v>1</v>
      </c>
      <c r="X136" s="81">
        <v>0</v>
      </c>
      <c r="Y136" s="81">
        <v>0</v>
      </c>
      <c r="Z136" s="81">
        <v>0</v>
      </c>
      <c r="AA136" s="81">
        <v>1</v>
      </c>
      <c r="AB136" s="81">
        <v>0</v>
      </c>
      <c r="AC136" s="81">
        <v>0</v>
      </c>
      <c r="AD136" s="81">
        <v>0</v>
      </c>
      <c r="AE136" s="81">
        <v>0</v>
      </c>
      <c r="AF136" s="81">
        <v>0</v>
      </c>
      <c r="AG136" s="81">
        <v>1</v>
      </c>
      <c r="AH136" s="81">
        <v>0</v>
      </c>
      <c r="AI136" s="81">
        <v>0</v>
      </c>
      <c r="AJ136" s="81">
        <v>0</v>
      </c>
      <c r="AK136" s="81">
        <v>0</v>
      </c>
      <c r="AL136" s="81">
        <v>0</v>
      </c>
      <c r="AM136" s="81">
        <v>1</v>
      </c>
      <c r="AN136" s="81">
        <v>0</v>
      </c>
      <c r="AO136" s="81">
        <v>0</v>
      </c>
      <c r="AP136" s="81">
        <v>0</v>
      </c>
      <c r="AQ136" s="81">
        <v>0</v>
      </c>
      <c r="AR136" s="81">
        <v>0</v>
      </c>
      <c r="AS136" s="81">
        <v>0</v>
      </c>
      <c r="AT136" s="81">
        <v>0</v>
      </c>
      <c r="AU136" s="81">
        <v>0</v>
      </c>
      <c r="AV136" s="81">
        <v>0</v>
      </c>
      <c r="AW136" s="81">
        <v>0</v>
      </c>
      <c r="AX136" s="81">
        <v>0</v>
      </c>
      <c r="AY136" s="81">
        <v>0</v>
      </c>
      <c r="AZ136" s="81">
        <v>0</v>
      </c>
      <c r="BA136" s="81">
        <v>0</v>
      </c>
      <c r="BB136" s="81">
        <v>1</v>
      </c>
      <c r="BC136" s="81">
        <v>0</v>
      </c>
      <c r="BD136" s="81">
        <v>0</v>
      </c>
      <c r="BE136" s="81">
        <v>0</v>
      </c>
      <c r="BF136" s="81">
        <v>0</v>
      </c>
      <c r="BG136" s="81">
        <v>1</v>
      </c>
      <c r="BH136" s="81">
        <v>0</v>
      </c>
      <c r="BI136" s="81">
        <v>0</v>
      </c>
      <c r="BJ136" s="81">
        <v>0</v>
      </c>
      <c r="BK136" s="81">
        <v>0</v>
      </c>
      <c r="BL136" s="81">
        <v>0</v>
      </c>
      <c r="BM136" s="81">
        <v>0</v>
      </c>
      <c r="BN136" s="81">
        <v>0</v>
      </c>
      <c r="BO136" s="81">
        <v>1</v>
      </c>
      <c r="BP136" s="81">
        <v>1</v>
      </c>
      <c r="BQ136" s="81">
        <v>1</v>
      </c>
      <c r="BR136" s="81">
        <v>1</v>
      </c>
      <c r="BS136" s="81">
        <v>1</v>
      </c>
      <c r="BT136" s="81">
        <v>1</v>
      </c>
      <c r="BU136" s="81">
        <v>1</v>
      </c>
      <c r="BV136" s="81">
        <v>1</v>
      </c>
      <c r="BW136" s="81">
        <v>1</v>
      </c>
      <c r="BX136" s="81">
        <v>1</v>
      </c>
      <c r="BY136" s="81">
        <v>1</v>
      </c>
      <c r="BZ136" s="81">
        <v>1</v>
      </c>
      <c r="CA136" s="81">
        <v>1</v>
      </c>
      <c r="CB136" s="81">
        <v>1</v>
      </c>
      <c r="CC136" s="81">
        <v>1</v>
      </c>
      <c r="CD136" s="81">
        <v>1</v>
      </c>
      <c r="CE136" s="81">
        <v>1</v>
      </c>
      <c r="CF136" s="81">
        <v>1</v>
      </c>
      <c r="CG136" s="81">
        <v>1</v>
      </c>
      <c r="CH136" s="81">
        <v>0</v>
      </c>
      <c r="CI136" s="81">
        <v>0</v>
      </c>
      <c r="CJ136" s="81">
        <v>0</v>
      </c>
      <c r="CK136" s="81">
        <v>0</v>
      </c>
      <c r="CL136" s="81">
        <v>0</v>
      </c>
      <c r="CM136" s="81">
        <v>0</v>
      </c>
      <c r="CN136" s="81">
        <v>0</v>
      </c>
      <c r="CO136" s="81">
        <v>2</v>
      </c>
      <c r="CP136" s="81">
        <v>2</v>
      </c>
      <c r="CQ136" s="81">
        <v>1</v>
      </c>
      <c r="CR136" s="81">
        <v>2</v>
      </c>
      <c r="CS136" s="81">
        <v>1</v>
      </c>
      <c r="CT136" s="81">
        <v>1</v>
      </c>
      <c r="CU136" s="81">
        <v>0</v>
      </c>
      <c r="CV136" s="81">
        <v>1</v>
      </c>
      <c r="CW136" s="81">
        <v>1</v>
      </c>
      <c r="CX136" s="81">
        <v>1</v>
      </c>
      <c r="CY136" s="81">
        <v>1</v>
      </c>
      <c r="CZ136" s="81">
        <v>1</v>
      </c>
      <c r="DA136" s="81">
        <v>1</v>
      </c>
    </row>
    <row r="137" spans="1:105" ht="12" customHeight="1" x14ac:dyDescent="0.3">
      <c r="A137" s="81" t="s">
        <v>784</v>
      </c>
      <c r="B137" s="81" t="s">
        <v>1446</v>
      </c>
      <c r="C137" s="81" t="s">
        <v>1452</v>
      </c>
      <c r="D137" s="81" t="s">
        <v>785</v>
      </c>
      <c r="E137" s="81" t="s">
        <v>409</v>
      </c>
      <c r="F137" s="81" t="s">
        <v>409</v>
      </c>
      <c r="G137" s="81"/>
      <c r="H137" s="94">
        <v>14</v>
      </c>
      <c r="I137" s="81" t="s">
        <v>0</v>
      </c>
      <c r="J137" s="81" t="s">
        <v>408</v>
      </c>
      <c r="K137" s="81">
        <v>14</v>
      </c>
      <c r="L137" s="81" t="s">
        <v>411</v>
      </c>
      <c r="M137" s="81" t="s">
        <v>412</v>
      </c>
      <c r="N137" s="81" t="s">
        <v>1430</v>
      </c>
      <c r="O137" s="81" t="s">
        <v>1454</v>
      </c>
      <c r="P137" s="81" t="s">
        <v>414</v>
      </c>
      <c r="Q137" s="81" t="s">
        <v>786</v>
      </c>
      <c r="R137" s="81">
        <v>0</v>
      </c>
      <c r="S137" s="81">
        <v>0</v>
      </c>
      <c r="T137" s="81">
        <v>0</v>
      </c>
      <c r="U137" s="81">
        <v>1</v>
      </c>
      <c r="V137" s="81">
        <v>0</v>
      </c>
      <c r="W137" s="81">
        <v>0</v>
      </c>
      <c r="X137" s="81">
        <v>0</v>
      </c>
      <c r="Y137" s="81">
        <v>0</v>
      </c>
      <c r="Z137" s="81">
        <v>0</v>
      </c>
      <c r="AA137" s="81">
        <v>1</v>
      </c>
      <c r="AB137" s="81">
        <v>0</v>
      </c>
      <c r="AC137" s="81">
        <v>0</v>
      </c>
      <c r="AD137" s="81">
        <v>0</v>
      </c>
      <c r="AE137" s="81">
        <v>0</v>
      </c>
      <c r="AF137" s="81">
        <v>0</v>
      </c>
      <c r="AG137" s="81">
        <v>1</v>
      </c>
      <c r="AH137" s="81">
        <v>0</v>
      </c>
      <c r="AI137" s="81">
        <v>0</v>
      </c>
      <c r="AJ137" s="81">
        <v>0</v>
      </c>
      <c r="AK137" s="81">
        <v>0</v>
      </c>
      <c r="AL137" s="81">
        <v>0</v>
      </c>
      <c r="AM137" s="81">
        <v>1</v>
      </c>
      <c r="AN137" s="81">
        <v>0</v>
      </c>
      <c r="AO137" s="81">
        <v>0</v>
      </c>
      <c r="AP137" s="81">
        <v>0</v>
      </c>
      <c r="AQ137" s="81">
        <v>0</v>
      </c>
      <c r="AR137" s="81">
        <v>0</v>
      </c>
      <c r="AS137" s="81">
        <v>0</v>
      </c>
      <c r="AT137" s="81">
        <v>0</v>
      </c>
      <c r="AU137" s="81">
        <v>0</v>
      </c>
      <c r="AV137" s="81">
        <v>0</v>
      </c>
      <c r="AW137" s="81">
        <v>0</v>
      </c>
      <c r="AX137" s="81">
        <v>0</v>
      </c>
      <c r="AY137" s="81">
        <v>0</v>
      </c>
      <c r="AZ137" s="81">
        <v>0</v>
      </c>
      <c r="BA137" s="81">
        <v>0</v>
      </c>
      <c r="BB137" s="81">
        <v>0</v>
      </c>
      <c r="BC137" s="81">
        <v>0</v>
      </c>
      <c r="BD137" s="81">
        <v>0</v>
      </c>
      <c r="BE137" s="81">
        <v>0</v>
      </c>
      <c r="BF137" s="81">
        <v>0</v>
      </c>
      <c r="BG137" s="81">
        <v>0</v>
      </c>
      <c r="BH137" s="81">
        <v>0</v>
      </c>
      <c r="BI137" s="81">
        <v>0</v>
      </c>
      <c r="BJ137" s="81">
        <v>0</v>
      </c>
      <c r="BK137" s="81">
        <v>0</v>
      </c>
      <c r="BL137" s="81">
        <v>0</v>
      </c>
      <c r="BM137" s="81">
        <v>0</v>
      </c>
      <c r="BN137" s="81">
        <v>0</v>
      </c>
      <c r="BO137" s="81">
        <v>0</v>
      </c>
      <c r="BP137" s="81">
        <v>0</v>
      </c>
      <c r="BQ137" s="81">
        <v>0</v>
      </c>
      <c r="BR137" s="81">
        <v>1</v>
      </c>
      <c r="BS137" s="81">
        <v>0</v>
      </c>
      <c r="BT137" s="81">
        <v>1</v>
      </c>
      <c r="BU137" s="81">
        <v>0</v>
      </c>
      <c r="BV137" s="81">
        <v>0</v>
      </c>
      <c r="BW137" s="81">
        <v>1</v>
      </c>
      <c r="BX137" s="81">
        <v>0</v>
      </c>
      <c r="BY137" s="81">
        <v>0</v>
      </c>
      <c r="BZ137" s="81">
        <v>1</v>
      </c>
      <c r="CA137" s="81">
        <v>0</v>
      </c>
      <c r="CB137" s="81">
        <v>1</v>
      </c>
      <c r="CC137" s="81">
        <v>0</v>
      </c>
      <c r="CD137" s="81">
        <v>1</v>
      </c>
      <c r="CE137" s="81">
        <v>0</v>
      </c>
      <c r="CF137" s="81">
        <v>1</v>
      </c>
      <c r="CG137" s="81">
        <v>1</v>
      </c>
      <c r="CH137" s="81">
        <v>0</v>
      </c>
      <c r="CI137" s="81">
        <v>0</v>
      </c>
      <c r="CJ137" s="81">
        <v>0</v>
      </c>
      <c r="CK137" s="81">
        <v>0</v>
      </c>
      <c r="CL137" s="81">
        <v>0</v>
      </c>
      <c r="CM137" s="81">
        <v>0</v>
      </c>
      <c r="CN137" s="81">
        <v>0</v>
      </c>
      <c r="CO137" s="81">
        <v>1</v>
      </c>
      <c r="CP137" s="81">
        <v>1</v>
      </c>
      <c r="CQ137" s="81">
        <v>0</v>
      </c>
      <c r="CR137" s="81">
        <v>1</v>
      </c>
      <c r="CS137" s="81">
        <v>1</v>
      </c>
      <c r="CT137" s="81">
        <v>0</v>
      </c>
      <c r="CU137" s="81">
        <v>0</v>
      </c>
      <c r="CV137" s="81">
        <v>1</v>
      </c>
      <c r="CW137" s="81">
        <v>1</v>
      </c>
      <c r="CX137" s="81">
        <v>1</v>
      </c>
      <c r="CY137" s="81">
        <v>0</v>
      </c>
      <c r="CZ137" s="81">
        <v>1</v>
      </c>
      <c r="DA137" s="81">
        <v>1</v>
      </c>
    </row>
    <row r="138" spans="1:105" ht="12" customHeight="1" x14ac:dyDescent="0.3">
      <c r="A138" s="81" t="s">
        <v>787</v>
      </c>
      <c r="B138" s="81" t="s">
        <v>1446</v>
      </c>
      <c r="C138" s="81" t="s">
        <v>1452</v>
      </c>
      <c r="D138" s="81" t="s">
        <v>788</v>
      </c>
      <c r="E138" s="81" t="s">
        <v>409</v>
      </c>
      <c r="F138" s="81" t="s">
        <v>409</v>
      </c>
      <c r="G138" s="81"/>
      <c r="H138" s="94">
        <v>14</v>
      </c>
      <c r="I138" s="81" t="s">
        <v>0</v>
      </c>
      <c r="J138" s="81" t="s">
        <v>408</v>
      </c>
      <c r="K138" s="81">
        <v>14</v>
      </c>
      <c r="L138" s="81" t="s">
        <v>411</v>
      </c>
      <c r="M138" s="81" t="s">
        <v>412</v>
      </c>
      <c r="N138" s="81" t="s">
        <v>1430</v>
      </c>
      <c r="O138" s="81" t="s">
        <v>1454</v>
      </c>
      <c r="P138" s="81" t="s">
        <v>414</v>
      </c>
      <c r="Q138" s="81" t="s">
        <v>786</v>
      </c>
      <c r="R138" s="81">
        <v>0</v>
      </c>
      <c r="S138" s="81">
        <v>0</v>
      </c>
      <c r="T138" s="81">
        <v>0</v>
      </c>
      <c r="U138" s="81">
        <v>1</v>
      </c>
      <c r="V138" s="81">
        <v>0</v>
      </c>
      <c r="W138" s="81">
        <v>0</v>
      </c>
      <c r="X138" s="81">
        <v>0</v>
      </c>
      <c r="Y138" s="81">
        <v>0</v>
      </c>
      <c r="Z138" s="81">
        <v>0</v>
      </c>
      <c r="AA138" s="81">
        <v>1</v>
      </c>
      <c r="AB138" s="81">
        <v>0</v>
      </c>
      <c r="AC138" s="81">
        <v>0</v>
      </c>
      <c r="AD138" s="81">
        <v>0</v>
      </c>
      <c r="AE138" s="81">
        <v>0</v>
      </c>
      <c r="AF138" s="81">
        <v>0</v>
      </c>
      <c r="AG138" s="81">
        <v>1</v>
      </c>
      <c r="AH138" s="81">
        <v>0</v>
      </c>
      <c r="AI138" s="81">
        <v>0</v>
      </c>
      <c r="AJ138" s="81">
        <v>0</v>
      </c>
      <c r="AK138" s="81">
        <v>0</v>
      </c>
      <c r="AL138" s="81">
        <v>0</v>
      </c>
      <c r="AM138" s="81">
        <v>1</v>
      </c>
      <c r="AN138" s="81">
        <v>0</v>
      </c>
      <c r="AO138" s="81">
        <v>0</v>
      </c>
      <c r="AP138" s="81">
        <v>0</v>
      </c>
      <c r="AQ138" s="81">
        <v>0</v>
      </c>
      <c r="AR138" s="81">
        <v>0</v>
      </c>
      <c r="AS138" s="81">
        <v>0</v>
      </c>
      <c r="AT138" s="81">
        <v>0</v>
      </c>
      <c r="AU138" s="81">
        <v>0</v>
      </c>
      <c r="AV138" s="81">
        <v>0</v>
      </c>
      <c r="AW138" s="81">
        <v>0</v>
      </c>
      <c r="AX138" s="81">
        <v>0</v>
      </c>
      <c r="AY138" s="81">
        <v>0</v>
      </c>
      <c r="AZ138" s="81">
        <v>0</v>
      </c>
      <c r="BA138" s="81">
        <v>0</v>
      </c>
      <c r="BB138" s="81">
        <v>0</v>
      </c>
      <c r="BC138" s="81">
        <v>0</v>
      </c>
      <c r="BD138" s="81">
        <v>0</v>
      </c>
      <c r="BE138" s="81">
        <v>0</v>
      </c>
      <c r="BF138" s="81">
        <v>0</v>
      </c>
      <c r="BG138" s="81">
        <v>0</v>
      </c>
      <c r="BH138" s="81">
        <v>0</v>
      </c>
      <c r="BI138" s="81">
        <v>0</v>
      </c>
      <c r="BJ138" s="81">
        <v>0</v>
      </c>
      <c r="BK138" s="81">
        <v>0</v>
      </c>
      <c r="BL138" s="81">
        <v>0</v>
      </c>
      <c r="BM138" s="81">
        <v>0</v>
      </c>
      <c r="BN138" s="81">
        <v>0</v>
      </c>
      <c r="BO138" s="81">
        <v>0</v>
      </c>
      <c r="BP138" s="81">
        <v>0</v>
      </c>
      <c r="BQ138" s="81">
        <v>0</v>
      </c>
      <c r="BR138" s="81">
        <v>1</v>
      </c>
      <c r="BS138" s="81">
        <v>0</v>
      </c>
      <c r="BT138" s="81">
        <v>1</v>
      </c>
      <c r="BU138" s="81">
        <v>0</v>
      </c>
      <c r="BV138" s="81">
        <v>0</v>
      </c>
      <c r="BW138" s="81">
        <v>1</v>
      </c>
      <c r="BX138" s="81">
        <v>0</v>
      </c>
      <c r="BY138" s="81">
        <v>0</v>
      </c>
      <c r="BZ138" s="81">
        <v>1</v>
      </c>
      <c r="CA138" s="81">
        <v>0</v>
      </c>
      <c r="CB138" s="81">
        <v>1</v>
      </c>
      <c r="CC138" s="81">
        <v>0</v>
      </c>
      <c r="CD138" s="81">
        <v>1</v>
      </c>
      <c r="CE138" s="81">
        <v>0</v>
      </c>
      <c r="CF138" s="81">
        <v>1</v>
      </c>
      <c r="CG138" s="81">
        <v>1</v>
      </c>
      <c r="CH138" s="81">
        <v>0</v>
      </c>
      <c r="CI138" s="81">
        <v>0</v>
      </c>
      <c r="CJ138" s="81">
        <v>0</v>
      </c>
      <c r="CK138" s="81">
        <v>0</v>
      </c>
      <c r="CL138" s="81">
        <v>0</v>
      </c>
      <c r="CM138" s="81">
        <v>0</v>
      </c>
      <c r="CN138" s="81">
        <v>0</v>
      </c>
      <c r="CO138" s="81">
        <v>1</v>
      </c>
      <c r="CP138" s="81">
        <v>1</v>
      </c>
      <c r="CQ138" s="81">
        <v>0</v>
      </c>
      <c r="CR138" s="81">
        <v>1</v>
      </c>
      <c r="CS138" s="81">
        <v>1</v>
      </c>
      <c r="CT138" s="81">
        <v>0</v>
      </c>
      <c r="CU138" s="81">
        <v>0</v>
      </c>
      <c r="CV138" s="81">
        <v>1</v>
      </c>
      <c r="CW138" s="81">
        <v>1</v>
      </c>
      <c r="CX138" s="81">
        <v>1</v>
      </c>
      <c r="CY138" s="81">
        <v>0</v>
      </c>
      <c r="CZ138" s="81">
        <v>1</v>
      </c>
      <c r="DA138" s="81">
        <v>1</v>
      </c>
    </row>
    <row r="139" spans="1:105" ht="12" customHeight="1" x14ac:dyDescent="0.3">
      <c r="A139" s="81" t="s">
        <v>789</v>
      </c>
      <c r="B139" s="81" t="s">
        <v>1446</v>
      </c>
      <c r="C139" s="81" t="s">
        <v>1452</v>
      </c>
      <c r="D139" s="81" t="s">
        <v>790</v>
      </c>
      <c r="E139" s="81" t="s">
        <v>409</v>
      </c>
      <c r="F139" s="81" t="s">
        <v>409</v>
      </c>
      <c r="G139" s="81"/>
      <c r="H139" s="94">
        <v>14</v>
      </c>
      <c r="I139" s="81" t="s">
        <v>0</v>
      </c>
      <c r="J139" s="81" t="s">
        <v>408</v>
      </c>
      <c r="K139" s="81">
        <v>14</v>
      </c>
      <c r="L139" s="81" t="s">
        <v>411</v>
      </c>
      <c r="M139" s="81" t="s">
        <v>412</v>
      </c>
      <c r="N139" s="81" t="s">
        <v>1430</v>
      </c>
      <c r="O139" s="81" t="s">
        <v>1454</v>
      </c>
      <c r="P139" s="81" t="s">
        <v>414</v>
      </c>
      <c r="Q139" s="81" t="s">
        <v>786</v>
      </c>
      <c r="R139" s="81">
        <v>0</v>
      </c>
      <c r="S139" s="81">
        <v>0</v>
      </c>
      <c r="T139" s="81">
        <v>0</v>
      </c>
      <c r="U139" s="81">
        <v>1</v>
      </c>
      <c r="V139" s="81">
        <v>0</v>
      </c>
      <c r="W139" s="81">
        <v>0</v>
      </c>
      <c r="X139" s="81">
        <v>0</v>
      </c>
      <c r="Y139" s="81">
        <v>0</v>
      </c>
      <c r="Z139" s="81">
        <v>0</v>
      </c>
      <c r="AA139" s="81">
        <v>1</v>
      </c>
      <c r="AB139" s="81">
        <v>0</v>
      </c>
      <c r="AC139" s="81">
        <v>0</v>
      </c>
      <c r="AD139" s="81">
        <v>0</v>
      </c>
      <c r="AE139" s="81">
        <v>0</v>
      </c>
      <c r="AF139" s="81">
        <v>0</v>
      </c>
      <c r="AG139" s="81">
        <v>1</v>
      </c>
      <c r="AH139" s="81">
        <v>0</v>
      </c>
      <c r="AI139" s="81">
        <v>0</v>
      </c>
      <c r="AJ139" s="81">
        <v>0</v>
      </c>
      <c r="AK139" s="81">
        <v>0</v>
      </c>
      <c r="AL139" s="81">
        <v>0</v>
      </c>
      <c r="AM139" s="81">
        <v>1</v>
      </c>
      <c r="AN139" s="81">
        <v>0</v>
      </c>
      <c r="AO139" s="81">
        <v>0</v>
      </c>
      <c r="AP139" s="81">
        <v>0</v>
      </c>
      <c r="AQ139" s="81">
        <v>0</v>
      </c>
      <c r="AR139" s="81">
        <v>0</v>
      </c>
      <c r="AS139" s="81">
        <v>0</v>
      </c>
      <c r="AT139" s="81">
        <v>0</v>
      </c>
      <c r="AU139" s="81">
        <v>0</v>
      </c>
      <c r="AV139" s="81">
        <v>0</v>
      </c>
      <c r="AW139" s="81">
        <v>0</v>
      </c>
      <c r="AX139" s="81">
        <v>0</v>
      </c>
      <c r="AY139" s="81">
        <v>0</v>
      </c>
      <c r="AZ139" s="81">
        <v>0</v>
      </c>
      <c r="BA139" s="81">
        <v>0</v>
      </c>
      <c r="BB139" s="81">
        <v>0</v>
      </c>
      <c r="BC139" s="81">
        <v>0</v>
      </c>
      <c r="BD139" s="81">
        <v>0</v>
      </c>
      <c r="BE139" s="81">
        <v>0</v>
      </c>
      <c r="BF139" s="81">
        <v>0</v>
      </c>
      <c r="BG139" s="81">
        <v>0</v>
      </c>
      <c r="BH139" s="81">
        <v>0</v>
      </c>
      <c r="BI139" s="81">
        <v>0</v>
      </c>
      <c r="BJ139" s="81">
        <v>0</v>
      </c>
      <c r="BK139" s="81">
        <v>0</v>
      </c>
      <c r="BL139" s="81">
        <v>0</v>
      </c>
      <c r="BM139" s="81">
        <v>0</v>
      </c>
      <c r="BN139" s="81">
        <v>0</v>
      </c>
      <c r="BO139" s="81">
        <v>0</v>
      </c>
      <c r="BP139" s="81">
        <v>0</v>
      </c>
      <c r="BQ139" s="81">
        <v>0</v>
      </c>
      <c r="BR139" s="81">
        <v>1</v>
      </c>
      <c r="BS139" s="81">
        <v>0</v>
      </c>
      <c r="BT139" s="81">
        <v>1</v>
      </c>
      <c r="BU139" s="81">
        <v>0</v>
      </c>
      <c r="BV139" s="81">
        <v>0</v>
      </c>
      <c r="BW139" s="81">
        <v>1</v>
      </c>
      <c r="BX139" s="81">
        <v>0</v>
      </c>
      <c r="BY139" s="81">
        <v>0</v>
      </c>
      <c r="BZ139" s="81">
        <v>1</v>
      </c>
      <c r="CA139" s="81">
        <v>0</v>
      </c>
      <c r="CB139" s="81">
        <v>1</v>
      </c>
      <c r="CC139" s="81">
        <v>0</v>
      </c>
      <c r="CD139" s="81">
        <v>1</v>
      </c>
      <c r="CE139" s="81">
        <v>0</v>
      </c>
      <c r="CF139" s="81">
        <v>1</v>
      </c>
      <c r="CG139" s="81">
        <v>1</v>
      </c>
      <c r="CH139" s="81">
        <v>0</v>
      </c>
      <c r="CI139" s="81">
        <v>0</v>
      </c>
      <c r="CJ139" s="81">
        <v>0</v>
      </c>
      <c r="CK139" s="81">
        <v>0</v>
      </c>
      <c r="CL139" s="81">
        <v>0</v>
      </c>
      <c r="CM139" s="81">
        <v>0</v>
      </c>
      <c r="CN139" s="81">
        <v>0</v>
      </c>
      <c r="CO139" s="81">
        <v>1</v>
      </c>
      <c r="CP139" s="81">
        <v>1</v>
      </c>
      <c r="CQ139" s="81">
        <v>0</v>
      </c>
      <c r="CR139" s="81">
        <v>1</v>
      </c>
      <c r="CS139" s="81">
        <v>1</v>
      </c>
      <c r="CT139" s="81">
        <v>0</v>
      </c>
      <c r="CU139" s="81">
        <v>0</v>
      </c>
      <c r="CV139" s="81">
        <v>1</v>
      </c>
      <c r="CW139" s="81">
        <v>1</v>
      </c>
      <c r="CX139" s="81">
        <v>1</v>
      </c>
      <c r="CY139" s="81">
        <v>0</v>
      </c>
      <c r="CZ139" s="81">
        <v>1</v>
      </c>
      <c r="DA139" s="81">
        <v>1</v>
      </c>
    </row>
    <row r="140" spans="1:105" ht="12" customHeight="1" x14ac:dyDescent="0.3">
      <c r="A140" s="81" t="s">
        <v>791</v>
      </c>
      <c r="B140" s="81" t="s">
        <v>1446</v>
      </c>
      <c r="C140" s="81" t="s">
        <v>1452</v>
      </c>
      <c r="D140" s="81" t="s">
        <v>792</v>
      </c>
      <c r="E140" s="81" t="s">
        <v>409</v>
      </c>
      <c r="F140" s="81" t="s">
        <v>409</v>
      </c>
      <c r="G140" s="81"/>
      <c r="H140" s="94">
        <v>14</v>
      </c>
      <c r="I140" s="81" t="s">
        <v>0</v>
      </c>
      <c r="J140" s="81" t="s">
        <v>408</v>
      </c>
      <c r="K140" s="81">
        <v>14</v>
      </c>
      <c r="L140" s="81" t="s">
        <v>411</v>
      </c>
      <c r="M140" s="81" t="s">
        <v>412</v>
      </c>
      <c r="N140" s="81" t="s">
        <v>1430</v>
      </c>
      <c r="O140" s="81" t="s">
        <v>1454</v>
      </c>
      <c r="P140" s="81" t="s">
        <v>414</v>
      </c>
      <c r="Q140" s="81" t="s">
        <v>786</v>
      </c>
      <c r="R140" s="81">
        <v>0</v>
      </c>
      <c r="S140" s="81">
        <v>0</v>
      </c>
      <c r="T140" s="81">
        <v>0</v>
      </c>
      <c r="U140" s="81">
        <v>1</v>
      </c>
      <c r="V140" s="81">
        <v>0</v>
      </c>
      <c r="W140" s="81">
        <v>0</v>
      </c>
      <c r="X140" s="81">
        <v>0</v>
      </c>
      <c r="Y140" s="81">
        <v>0</v>
      </c>
      <c r="Z140" s="81">
        <v>0</v>
      </c>
      <c r="AA140" s="81">
        <v>1</v>
      </c>
      <c r="AB140" s="81">
        <v>0</v>
      </c>
      <c r="AC140" s="81">
        <v>0</v>
      </c>
      <c r="AD140" s="81">
        <v>0</v>
      </c>
      <c r="AE140" s="81">
        <v>0</v>
      </c>
      <c r="AF140" s="81">
        <v>0</v>
      </c>
      <c r="AG140" s="81">
        <v>1</v>
      </c>
      <c r="AH140" s="81">
        <v>0</v>
      </c>
      <c r="AI140" s="81">
        <v>0</v>
      </c>
      <c r="AJ140" s="81">
        <v>0</v>
      </c>
      <c r="AK140" s="81">
        <v>0</v>
      </c>
      <c r="AL140" s="81">
        <v>0</v>
      </c>
      <c r="AM140" s="81">
        <v>1</v>
      </c>
      <c r="AN140" s="81">
        <v>0</v>
      </c>
      <c r="AO140" s="81">
        <v>0</v>
      </c>
      <c r="AP140" s="81">
        <v>0</v>
      </c>
      <c r="AQ140" s="81">
        <v>0</v>
      </c>
      <c r="AR140" s="81">
        <v>0</v>
      </c>
      <c r="AS140" s="81">
        <v>0</v>
      </c>
      <c r="AT140" s="81">
        <v>0</v>
      </c>
      <c r="AU140" s="81">
        <v>0</v>
      </c>
      <c r="AV140" s="81">
        <v>0</v>
      </c>
      <c r="AW140" s="81">
        <v>0</v>
      </c>
      <c r="AX140" s="81">
        <v>0</v>
      </c>
      <c r="AY140" s="81">
        <v>0</v>
      </c>
      <c r="AZ140" s="81">
        <v>0</v>
      </c>
      <c r="BA140" s="81">
        <v>0</v>
      </c>
      <c r="BB140" s="81">
        <v>0</v>
      </c>
      <c r="BC140" s="81">
        <v>0</v>
      </c>
      <c r="BD140" s="81">
        <v>0</v>
      </c>
      <c r="BE140" s="81">
        <v>0</v>
      </c>
      <c r="BF140" s="81">
        <v>0</v>
      </c>
      <c r="BG140" s="81">
        <v>0</v>
      </c>
      <c r="BH140" s="81">
        <v>0</v>
      </c>
      <c r="BI140" s="81">
        <v>0</v>
      </c>
      <c r="BJ140" s="81">
        <v>0</v>
      </c>
      <c r="BK140" s="81">
        <v>0</v>
      </c>
      <c r="BL140" s="81">
        <v>0</v>
      </c>
      <c r="BM140" s="81">
        <v>0</v>
      </c>
      <c r="BN140" s="81">
        <v>0</v>
      </c>
      <c r="BO140" s="81">
        <v>0</v>
      </c>
      <c r="BP140" s="81">
        <v>0</v>
      </c>
      <c r="BQ140" s="81">
        <v>0</v>
      </c>
      <c r="BR140" s="81">
        <v>1</v>
      </c>
      <c r="BS140" s="81">
        <v>0</v>
      </c>
      <c r="BT140" s="81">
        <v>1</v>
      </c>
      <c r="BU140" s="81">
        <v>0</v>
      </c>
      <c r="BV140" s="81">
        <v>0</v>
      </c>
      <c r="BW140" s="81">
        <v>1</v>
      </c>
      <c r="BX140" s="81">
        <v>0</v>
      </c>
      <c r="BY140" s="81">
        <v>0</v>
      </c>
      <c r="BZ140" s="81">
        <v>1</v>
      </c>
      <c r="CA140" s="81">
        <v>0</v>
      </c>
      <c r="CB140" s="81">
        <v>1</v>
      </c>
      <c r="CC140" s="81">
        <v>0</v>
      </c>
      <c r="CD140" s="81">
        <v>1</v>
      </c>
      <c r="CE140" s="81">
        <v>0</v>
      </c>
      <c r="CF140" s="81">
        <v>1</v>
      </c>
      <c r="CG140" s="81">
        <v>1</v>
      </c>
      <c r="CH140" s="81">
        <v>0</v>
      </c>
      <c r="CI140" s="81">
        <v>0</v>
      </c>
      <c r="CJ140" s="81">
        <v>0</v>
      </c>
      <c r="CK140" s="81">
        <v>0</v>
      </c>
      <c r="CL140" s="81">
        <v>0</v>
      </c>
      <c r="CM140" s="81">
        <v>0</v>
      </c>
      <c r="CN140" s="81">
        <v>0</v>
      </c>
      <c r="CO140" s="81">
        <v>1</v>
      </c>
      <c r="CP140" s="81">
        <v>1</v>
      </c>
      <c r="CQ140" s="81">
        <v>0</v>
      </c>
      <c r="CR140" s="81">
        <v>1</v>
      </c>
      <c r="CS140" s="81">
        <v>1</v>
      </c>
      <c r="CT140" s="81">
        <v>0</v>
      </c>
      <c r="CU140" s="81">
        <v>0</v>
      </c>
      <c r="CV140" s="81">
        <v>1</v>
      </c>
      <c r="CW140" s="81">
        <v>1</v>
      </c>
      <c r="CX140" s="81">
        <v>1</v>
      </c>
      <c r="CY140" s="81">
        <v>0</v>
      </c>
      <c r="CZ140" s="81">
        <v>1</v>
      </c>
      <c r="DA140" s="81">
        <v>1</v>
      </c>
    </row>
    <row r="141" spans="1:105" ht="12" customHeight="1" x14ac:dyDescent="0.3">
      <c r="A141" s="81" t="s">
        <v>793</v>
      </c>
      <c r="B141" s="81" t="s">
        <v>1446</v>
      </c>
      <c r="C141" s="81" t="s">
        <v>1452</v>
      </c>
      <c r="D141" s="81" t="s">
        <v>794</v>
      </c>
      <c r="E141" s="81" t="s">
        <v>409</v>
      </c>
      <c r="F141" s="81" t="s">
        <v>409</v>
      </c>
      <c r="G141" s="81"/>
      <c r="H141" s="94">
        <v>14</v>
      </c>
      <c r="I141" s="81" t="s">
        <v>0</v>
      </c>
      <c r="J141" s="81" t="s">
        <v>408</v>
      </c>
      <c r="K141" s="81">
        <v>14</v>
      </c>
      <c r="L141" s="81" t="s">
        <v>411</v>
      </c>
      <c r="M141" s="81" t="s">
        <v>412</v>
      </c>
      <c r="N141" s="81" t="s">
        <v>1430</v>
      </c>
      <c r="O141" s="81" t="s">
        <v>1454</v>
      </c>
      <c r="P141" s="81" t="s">
        <v>414</v>
      </c>
      <c r="Q141" s="81" t="s">
        <v>786</v>
      </c>
      <c r="R141" s="81">
        <v>0</v>
      </c>
      <c r="S141" s="81">
        <v>0</v>
      </c>
      <c r="T141" s="81">
        <v>0</v>
      </c>
      <c r="U141" s="81">
        <v>1</v>
      </c>
      <c r="V141" s="81">
        <v>0</v>
      </c>
      <c r="W141" s="81">
        <v>0</v>
      </c>
      <c r="X141" s="81">
        <v>0</v>
      </c>
      <c r="Y141" s="81">
        <v>0</v>
      </c>
      <c r="Z141" s="81">
        <v>0</v>
      </c>
      <c r="AA141" s="81">
        <v>1</v>
      </c>
      <c r="AB141" s="81">
        <v>0</v>
      </c>
      <c r="AC141" s="81">
        <v>0</v>
      </c>
      <c r="AD141" s="81">
        <v>0</v>
      </c>
      <c r="AE141" s="81">
        <v>0</v>
      </c>
      <c r="AF141" s="81">
        <v>0</v>
      </c>
      <c r="AG141" s="81">
        <v>1</v>
      </c>
      <c r="AH141" s="81">
        <v>0</v>
      </c>
      <c r="AI141" s="81">
        <v>0</v>
      </c>
      <c r="AJ141" s="81">
        <v>0</v>
      </c>
      <c r="AK141" s="81">
        <v>0</v>
      </c>
      <c r="AL141" s="81">
        <v>0</v>
      </c>
      <c r="AM141" s="81">
        <v>1</v>
      </c>
      <c r="AN141" s="81">
        <v>0</v>
      </c>
      <c r="AO141" s="81">
        <v>0</v>
      </c>
      <c r="AP141" s="81">
        <v>0</v>
      </c>
      <c r="AQ141" s="81">
        <v>0</v>
      </c>
      <c r="AR141" s="81">
        <v>0</v>
      </c>
      <c r="AS141" s="81">
        <v>0</v>
      </c>
      <c r="AT141" s="81">
        <v>0</v>
      </c>
      <c r="AU141" s="81">
        <v>0</v>
      </c>
      <c r="AV141" s="81">
        <v>0</v>
      </c>
      <c r="AW141" s="81">
        <v>0</v>
      </c>
      <c r="AX141" s="81">
        <v>0</v>
      </c>
      <c r="AY141" s="81">
        <v>0</v>
      </c>
      <c r="AZ141" s="81">
        <v>0</v>
      </c>
      <c r="BA141" s="81">
        <v>0</v>
      </c>
      <c r="BB141" s="81">
        <v>0</v>
      </c>
      <c r="BC141" s="81">
        <v>0</v>
      </c>
      <c r="BD141" s="81">
        <v>0</v>
      </c>
      <c r="BE141" s="81">
        <v>0</v>
      </c>
      <c r="BF141" s="81">
        <v>0</v>
      </c>
      <c r="BG141" s="81">
        <v>0</v>
      </c>
      <c r="BH141" s="81">
        <v>0</v>
      </c>
      <c r="BI141" s="81">
        <v>0</v>
      </c>
      <c r="BJ141" s="81">
        <v>0</v>
      </c>
      <c r="BK141" s="81">
        <v>0</v>
      </c>
      <c r="BL141" s="81">
        <v>0</v>
      </c>
      <c r="BM141" s="81">
        <v>0</v>
      </c>
      <c r="BN141" s="81">
        <v>0</v>
      </c>
      <c r="BO141" s="81">
        <v>0</v>
      </c>
      <c r="BP141" s="81">
        <v>0</v>
      </c>
      <c r="BQ141" s="81">
        <v>0</v>
      </c>
      <c r="BR141" s="81">
        <v>1</v>
      </c>
      <c r="BS141" s="81">
        <v>0</v>
      </c>
      <c r="BT141" s="81">
        <v>1</v>
      </c>
      <c r="BU141" s="81">
        <v>0</v>
      </c>
      <c r="BV141" s="81">
        <v>0</v>
      </c>
      <c r="BW141" s="81">
        <v>1</v>
      </c>
      <c r="BX141" s="81">
        <v>0</v>
      </c>
      <c r="BY141" s="81">
        <v>0</v>
      </c>
      <c r="BZ141" s="81">
        <v>1</v>
      </c>
      <c r="CA141" s="81">
        <v>0</v>
      </c>
      <c r="CB141" s="81">
        <v>1</v>
      </c>
      <c r="CC141" s="81">
        <v>0</v>
      </c>
      <c r="CD141" s="81">
        <v>1</v>
      </c>
      <c r="CE141" s="81">
        <v>0</v>
      </c>
      <c r="CF141" s="81">
        <v>1</v>
      </c>
      <c r="CG141" s="81">
        <v>1</v>
      </c>
      <c r="CH141" s="81">
        <v>0</v>
      </c>
      <c r="CI141" s="81">
        <v>0</v>
      </c>
      <c r="CJ141" s="81">
        <v>0</v>
      </c>
      <c r="CK141" s="81">
        <v>0</v>
      </c>
      <c r="CL141" s="81">
        <v>0</v>
      </c>
      <c r="CM141" s="81">
        <v>0</v>
      </c>
      <c r="CN141" s="81">
        <v>0</v>
      </c>
      <c r="CO141" s="81">
        <v>1</v>
      </c>
      <c r="CP141" s="81">
        <v>1</v>
      </c>
      <c r="CQ141" s="81">
        <v>0</v>
      </c>
      <c r="CR141" s="81">
        <v>1</v>
      </c>
      <c r="CS141" s="81">
        <v>1</v>
      </c>
      <c r="CT141" s="81">
        <v>0</v>
      </c>
      <c r="CU141" s="81">
        <v>0</v>
      </c>
      <c r="CV141" s="81">
        <v>1</v>
      </c>
      <c r="CW141" s="81">
        <v>1</v>
      </c>
      <c r="CX141" s="81">
        <v>1</v>
      </c>
      <c r="CY141" s="81">
        <v>0</v>
      </c>
      <c r="CZ141" s="81">
        <v>1</v>
      </c>
      <c r="DA141" s="81">
        <v>1</v>
      </c>
    </row>
    <row r="142" spans="1:105" ht="12" customHeight="1" x14ac:dyDescent="0.3">
      <c r="A142" s="81" t="s">
        <v>795</v>
      </c>
      <c r="B142" s="81" t="s">
        <v>1446</v>
      </c>
      <c r="C142" s="81" t="s">
        <v>1452</v>
      </c>
      <c r="D142" s="81" t="s">
        <v>796</v>
      </c>
      <c r="E142" s="81" t="s">
        <v>409</v>
      </c>
      <c r="F142" s="81" t="s">
        <v>409</v>
      </c>
      <c r="G142" s="81"/>
      <c r="H142" s="94">
        <v>14</v>
      </c>
      <c r="I142" s="81" t="s">
        <v>0</v>
      </c>
      <c r="J142" s="81" t="s">
        <v>408</v>
      </c>
      <c r="K142" s="81">
        <v>14</v>
      </c>
      <c r="L142" s="81" t="s">
        <v>411</v>
      </c>
      <c r="M142" s="81" t="s">
        <v>412</v>
      </c>
      <c r="N142" s="81" t="s">
        <v>1430</v>
      </c>
      <c r="O142" s="81" t="s">
        <v>1454</v>
      </c>
      <c r="P142" s="81" t="s">
        <v>414</v>
      </c>
      <c r="Q142" s="81" t="s">
        <v>786</v>
      </c>
      <c r="R142" s="81">
        <v>0</v>
      </c>
      <c r="S142" s="81">
        <v>0</v>
      </c>
      <c r="T142" s="81">
        <v>0</v>
      </c>
      <c r="U142" s="81">
        <v>1</v>
      </c>
      <c r="V142" s="81">
        <v>0</v>
      </c>
      <c r="W142" s="81">
        <v>0</v>
      </c>
      <c r="X142" s="81">
        <v>0</v>
      </c>
      <c r="Y142" s="81">
        <v>0</v>
      </c>
      <c r="Z142" s="81">
        <v>0</v>
      </c>
      <c r="AA142" s="81">
        <v>1</v>
      </c>
      <c r="AB142" s="81">
        <v>0</v>
      </c>
      <c r="AC142" s="81">
        <v>0</v>
      </c>
      <c r="AD142" s="81">
        <v>0</v>
      </c>
      <c r="AE142" s="81">
        <v>0</v>
      </c>
      <c r="AF142" s="81">
        <v>0</v>
      </c>
      <c r="AG142" s="81">
        <v>1</v>
      </c>
      <c r="AH142" s="81">
        <v>0</v>
      </c>
      <c r="AI142" s="81">
        <v>0</v>
      </c>
      <c r="AJ142" s="81">
        <v>0</v>
      </c>
      <c r="AK142" s="81">
        <v>0</v>
      </c>
      <c r="AL142" s="81">
        <v>0</v>
      </c>
      <c r="AM142" s="81">
        <v>1</v>
      </c>
      <c r="AN142" s="81">
        <v>0</v>
      </c>
      <c r="AO142" s="81">
        <v>0</v>
      </c>
      <c r="AP142" s="81">
        <v>0</v>
      </c>
      <c r="AQ142" s="81">
        <v>0</v>
      </c>
      <c r="AR142" s="81">
        <v>0</v>
      </c>
      <c r="AS142" s="81">
        <v>0</v>
      </c>
      <c r="AT142" s="81">
        <v>0</v>
      </c>
      <c r="AU142" s="81">
        <v>0</v>
      </c>
      <c r="AV142" s="81">
        <v>0</v>
      </c>
      <c r="AW142" s="81">
        <v>0</v>
      </c>
      <c r="AX142" s="81">
        <v>0</v>
      </c>
      <c r="AY142" s="81">
        <v>0</v>
      </c>
      <c r="AZ142" s="81">
        <v>0</v>
      </c>
      <c r="BA142" s="81">
        <v>0</v>
      </c>
      <c r="BB142" s="81">
        <v>0</v>
      </c>
      <c r="BC142" s="81">
        <v>0</v>
      </c>
      <c r="BD142" s="81">
        <v>0</v>
      </c>
      <c r="BE142" s="81">
        <v>0</v>
      </c>
      <c r="BF142" s="81">
        <v>0</v>
      </c>
      <c r="BG142" s="81">
        <v>0</v>
      </c>
      <c r="BH142" s="81">
        <v>0</v>
      </c>
      <c r="BI142" s="81">
        <v>0</v>
      </c>
      <c r="BJ142" s="81">
        <v>0</v>
      </c>
      <c r="BK142" s="81">
        <v>0</v>
      </c>
      <c r="BL142" s="81">
        <v>0</v>
      </c>
      <c r="BM142" s="81">
        <v>0</v>
      </c>
      <c r="BN142" s="81">
        <v>0</v>
      </c>
      <c r="BO142" s="81">
        <v>0</v>
      </c>
      <c r="BP142" s="81">
        <v>0</v>
      </c>
      <c r="BQ142" s="81">
        <v>0</v>
      </c>
      <c r="BR142" s="81">
        <v>1</v>
      </c>
      <c r="BS142" s="81">
        <v>0</v>
      </c>
      <c r="BT142" s="81">
        <v>1</v>
      </c>
      <c r="BU142" s="81">
        <v>0</v>
      </c>
      <c r="BV142" s="81">
        <v>0</v>
      </c>
      <c r="BW142" s="81">
        <v>1</v>
      </c>
      <c r="BX142" s="81">
        <v>0</v>
      </c>
      <c r="BY142" s="81">
        <v>0</v>
      </c>
      <c r="BZ142" s="81">
        <v>1</v>
      </c>
      <c r="CA142" s="81">
        <v>0</v>
      </c>
      <c r="CB142" s="81">
        <v>1</v>
      </c>
      <c r="CC142" s="81">
        <v>0</v>
      </c>
      <c r="CD142" s="81">
        <v>1</v>
      </c>
      <c r="CE142" s="81">
        <v>0</v>
      </c>
      <c r="CF142" s="81">
        <v>1</v>
      </c>
      <c r="CG142" s="81">
        <v>1</v>
      </c>
      <c r="CH142" s="81">
        <v>0</v>
      </c>
      <c r="CI142" s="81">
        <v>0</v>
      </c>
      <c r="CJ142" s="81">
        <v>0</v>
      </c>
      <c r="CK142" s="81">
        <v>0</v>
      </c>
      <c r="CL142" s="81">
        <v>0</v>
      </c>
      <c r="CM142" s="81">
        <v>0</v>
      </c>
      <c r="CN142" s="81">
        <v>0</v>
      </c>
      <c r="CO142" s="81">
        <v>1</v>
      </c>
      <c r="CP142" s="81">
        <v>1</v>
      </c>
      <c r="CQ142" s="81">
        <v>0</v>
      </c>
      <c r="CR142" s="81">
        <v>1</v>
      </c>
      <c r="CS142" s="81">
        <v>1</v>
      </c>
      <c r="CT142" s="81">
        <v>0</v>
      </c>
      <c r="CU142" s="81">
        <v>0</v>
      </c>
      <c r="CV142" s="81">
        <v>1</v>
      </c>
      <c r="CW142" s="81">
        <v>1</v>
      </c>
      <c r="CX142" s="81">
        <v>1</v>
      </c>
      <c r="CY142" s="81">
        <v>0</v>
      </c>
      <c r="CZ142" s="81">
        <v>1</v>
      </c>
      <c r="DA142" s="81">
        <v>1</v>
      </c>
    </row>
    <row r="143" spans="1:105" ht="12" customHeight="1" x14ac:dyDescent="0.3">
      <c r="A143" s="81" t="s">
        <v>797</v>
      </c>
      <c r="B143" s="81" t="s">
        <v>1446</v>
      </c>
      <c r="C143" s="81" t="s">
        <v>1452</v>
      </c>
      <c r="D143" s="81" t="s">
        <v>798</v>
      </c>
      <c r="E143" s="81" t="s">
        <v>409</v>
      </c>
      <c r="F143" s="81" t="s">
        <v>409</v>
      </c>
      <c r="G143" s="81"/>
      <c r="H143" s="94">
        <v>14</v>
      </c>
      <c r="I143" s="81" t="s">
        <v>0</v>
      </c>
      <c r="J143" s="81" t="s">
        <v>408</v>
      </c>
      <c r="K143" s="81">
        <v>14</v>
      </c>
      <c r="L143" s="81" t="s">
        <v>411</v>
      </c>
      <c r="M143" s="81" t="s">
        <v>412</v>
      </c>
      <c r="N143" s="81" t="s">
        <v>1430</v>
      </c>
      <c r="O143" s="81" t="s">
        <v>1454</v>
      </c>
      <c r="P143" s="81" t="s">
        <v>414</v>
      </c>
      <c r="Q143" s="81" t="s">
        <v>786</v>
      </c>
      <c r="R143" s="81">
        <v>0</v>
      </c>
      <c r="S143" s="81">
        <v>0</v>
      </c>
      <c r="T143" s="81">
        <v>0</v>
      </c>
      <c r="U143" s="81">
        <v>1</v>
      </c>
      <c r="V143" s="81">
        <v>0</v>
      </c>
      <c r="W143" s="81">
        <v>0</v>
      </c>
      <c r="X143" s="81">
        <v>0</v>
      </c>
      <c r="Y143" s="81">
        <v>0</v>
      </c>
      <c r="Z143" s="81">
        <v>0</v>
      </c>
      <c r="AA143" s="81">
        <v>1</v>
      </c>
      <c r="AB143" s="81">
        <v>0</v>
      </c>
      <c r="AC143" s="81">
        <v>0</v>
      </c>
      <c r="AD143" s="81">
        <v>0</v>
      </c>
      <c r="AE143" s="81">
        <v>0</v>
      </c>
      <c r="AF143" s="81">
        <v>0</v>
      </c>
      <c r="AG143" s="81">
        <v>1</v>
      </c>
      <c r="AH143" s="81">
        <v>0</v>
      </c>
      <c r="AI143" s="81">
        <v>0</v>
      </c>
      <c r="AJ143" s="81">
        <v>0</v>
      </c>
      <c r="AK143" s="81">
        <v>0</v>
      </c>
      <c r="AL143" s="81">
        <v>0</v>
      </c>
      <c r="AM143" s="81">
        <v>1</v>
      </c>
      <c r="AN143" s="81">
        <v>0</v>
      </c>
      <c r="AO143" s="81">
        <v>0</v>
      </c>
      <c r="AP143" s="81">
        <v>0</v>
      </c>
      <c r="AQ143" s="81">
        <v>0</v>
      </c>
      <c r="AR143" s="81">
        <v>0</v>
      </c>
      <c r="AS143" s="81">
        <v>0</v>
      </c>
      <c r="AT143" s="81">
        <v>0</v>
      </c>
      <c r="AU143" s="81">
        <v>0</v>
      </c>
      <c r="AV143" s="81">
        <v>0</v>
      </c>
      <c r="AW143" s="81">
        <v>0</v>
      </c>
      <c r="AX143" s="81">
        <v>0</v>
      </c>
      <c r="AY143" s="81">
        <v>0</v>
      </c>
      <c r="AZ143" s="81">
        <v>0</v>
      </c>
      <c r="BA143" s="81">
        <v>0</v>
      </c>
      <c r="BB143" s="81">
        <v>0</v>
      </c>
      <c r="BC143" s="81">
        <v>0</v>
      </c>
      <c r="BD143" s="81">
        <v>0</v>
      </c>
      <c r="BE143" s="81">
        <v>0</v>
      </c>
      <c r="BF143" s="81">
        <v>0</v>
      </c>
      <c r="BG143" s="81">
        <v>0</v>
      </c>
      <c r="BH143" s="81">
        <v>0</v>
      </c>
      <c r="BI143" s="81">
        <v>0</v>
      </c>
      <c r="BJ143" s="81">
        <v>0</v>
      </c>
      <c r="BK143" s="81">
        <v>0</v>
      </c>
      <c r="BL143" s="81">
        <v>0</v>
      </c>
      <c r="BM143" s="81">
        <v>0</v>
      </c>
      <c r="BN143" s="81">
        <v>0</v>
      </c>
      <c r="BO143" s="81">
        <v>0</v>
      </c>
      <c r="BP143" s="81">
        <v>0</v>
      </c>
      <c r="BQ143" s="81">
        <v>0</v>
      </c>
      <c r="BR143" s="81">
        <v>1</v>
      </c>
      <c r="BS143" s="81">
        <v>0</v>
      </c>
      <c r="BT143" s="81">
        <v>1</v>
      </c>
      <c r="BU143" s="81">
        <v>0</v>
      </c>
      <c r="BV143" s="81">
        <v>0</v>
      </c>
      <c r="BW143" s="81">
        <v>1</v>
      </c>
      <c r="BX143" s="81">
        <v>0</v>
      </c>
      <c r="BY143" s="81">
        <v>0</v>
      </c>
      <c r="BZ143" s="81">
        <v>1</v>
      </c>
      <c r="CA143" s="81">
        <v>0</v>
      </c>
      <c r="CB143" s="81">
        <v>1</v>
      </c>
      <c r="CC143" s="81">
        <v>0</v>
      </c>
      <c r="CD143" s="81">
        <v>1</v>
      </c>
      <c r="CE143" s="81">
        <v>0</v>
      </c>
      <c r="CF143" s="81">
        <v>1</v>
      </c>
      <c r="CG143" s="81">
        <v>1</v>
      </c>
      <c r="CH143" s="81">
        <v>0</v>
      </c>
      <c r="CI143" s="81">
        <v>0</v>
      </c>
      <c r="CJ143" s="81">
        <v>0</v>
      </c>
      <c r="CK143" s="81">
        <v>0</v>
      </c>
      <c r="CL143" s="81">
        <v>0</v>
      </c>
      <c r="CM143" s="81">
        <v>0</v>
      </c>
      <c r="CN143" s="81">
        <v>0</v>
      </c>
      <c r="CO143" s="81">
        <v>1</v>
      </c>
      <c r="CP143" s="81">
        <v>1</v>
      </c>
      <c r="CQ143" s="81">
        <v>0</v>
      </c>
      <c r="CR143" s="81">
        <v>1</v>
      </c>
      <c r="CS143" s="81">
        <v>1</v>
      </c>
      <c r="CT143" s="81">
        <v>0</v>
      </c>
      <c r="CU143" s="81">
        <v>0</v>
      </c>
      <c r="CV143" s="81">
        <v>1</v>
      </c>
      <c r="CW143" s="81">
        <v>1</v>
      </c>
      <c r="CX143" s="81">
        <v>1</v>
      </c>
      <c r="CY143" s="81">
        <v>0</v>
      </c>
      <c r="CZ143" s="81">
        <v>1</v>
      </c>
      <c r="DA143" s="81">
        <v>1</v>
      </c>
    </row>
    <row r="144" spans="1:105" ht="12" customHeight="1" x14ac:dyDescent="0.3">
      <c r="A144" s="81" t="s">
        <v>799</v>
      </c>
      <c r="B144" s="81" t="s">
        <v>1446</v>
      </c>
      <c r="C144" s="81" t="s">
        <v>1452</v>
      </c>
      <c r="D144" s="81" t="s">
        <v>800</v>
      </c>
      <c r="E144" s="81" t="s">
        <v>409</v>
      </c>
      <c r="F144" s="81" t="s">
        <v>409</v>
      </c>
      <c r="G144" s="81"/>
      <c r="H144" s="94">
        <v>14</v>
      </c>
      <c r="I144" s="81" t="s">
        <v>0</v>
      </c>
      <c r="J144" s="81" t="s">
        <v>408</v>
      </c>
      <c r="K144" s="81">
        <v>14</v>
      </c>
      <c r="L144" s="81" t="s">
        <v>411</v>
      </c>
      <c r="M144" s="81" t="s">
        <v>412</v>
      </c>
      <c r="N144" s="81" t="s">
        <v>1430</v>
      </c>
      <c r="O144" s="81" t="s">
        <v>1454</v>
      </c>
      <c r="P144" s="81" t="s">
        <v>414</v>
      </c>
      <c r="Q144" s="81" t="s">
        <v>786</v>
      </c>
      <c r="R144" s="81">
        <v>0</v>
      </c>
      <c r="S144" s="81">
        <v>0</v>
      </c>
      <c r="T144" s="81">
        <v>0</v>
      </c>
      <c r="U144" s="81">
        <v>1</v>
      </c>
      <c r="V144" s="81">
        <v>0</v>
      </c>
      <c r="W144" s="81">
        <v>0</v>
      </c>
      <c r="X144" s="81">
        <v>0</v>
      </c>
      <c r="Y144" s="81">
        <v>0</v>
      </c>
      <c r="Z144" s="81">
        <v>0</v>
      </c>
      <c r="AA144" s="81">
        <v>1</v>
      </c>
      <c r="AB144" s="81">
        <v>0</v>
      </c>
      <c r="AC144" s="81">
        <v>0</v>
      </c>
      <c r="AD144" s="81">
        <v>0</v>
      </c>
      <c r="AE144" s="81">
        <v>0</v>
      </c>
      <c r="AF144" s="81">
        <v>0</v>
      </c>
      <c r="AG144" s="81">
        <v>1</v>
      </c>
      <c r="AH144" s="81">
        <v>0</v>
      </c>
      <c r="AI144" s="81">
        <v>0</v>
      </c>
      <c r="AJ144" s="81">
        <v>0</v>
      </c>
      <c r="AK144" s="81">
        <v>0</v>
      </c>
      <c r="AL144" s="81">
        <v>0</v>
      </c>
      <c r="AM144" s="81">
        <v>1</v>
      </c>
      <c r="AN144" s="81">
        <v>0</v>
      </c>
      <c r="AO144" s="81">
        <v>0</v>
      </c>
      <c r="AP144" s="81">
        <v>0</v>
      </c>
      <c r="AQ144" s="81">
        <v>0</v>
      </c>
      <c r="AR144" s="81">
        <v>0</v>
      </c>
      <c r="AS144" s="81">
        <v>0</v>
      </c>
      <c r="AT144" s="81">
        <v>0</v>
      </c>
      <c r="AU144" s="81">
        <v>0</v>
      </c>
      <c r="AV144" s="81">
        <v>0</v>
      </c>
      <c r="AW144" s="81">
        <v>0</v>
      </c>
      <c r="AX144" s="81">
        <v>0</v>
      </c>
      <c r="AY144" s="81">
        <v>0</v>
      </c>
      <c r="AZ144" s="81">
        <v>0</v>
      </c>
      <c r="BA144" s="81">
        <v>0</v>
      </c>
      <c r="BB144" s="81">
        <v>0</v>
      </c>
      <c r="BC144" s="81">
        <v>0</v>
      </c>
      <c r="BD144" s="81">
        <v>0</v>
      </c>
      <c r="BE144" s="81">
        <v>0</v>
      </c>
      <c r="BF144" s="81">
        <v>0</v>
      </c>
      <c r="BG144" s="81">
        <v>0</v>
      </c>
      <c r="BH144" s="81">
        <v>0</v>
      </c>
      <c r="BI144" s="81">
        <v>0</v>
      </c>
      <c r="BJ144" s="81">
        <v>0</v>
      </c>
      <c r="BK144" s="81">
        <v>0</v>
      </c>
      <c r="BL144" s="81">
        <v>0</v>
      </c>
      <c r="BM144" s="81">
        <v>0</v>
      </c>
      <c r="BN144" s="81">
        <v>0</v>
      </c>
      <c r="BO144" s="81">
        <v>0</v>
      </c>
      <c r="BP144" s="81">
        <v>0</v>
      </c>
      <c r="BQ144" s="81">
        <v>0</v>
      </c>
      <c r="BR144" s="81">
        <v>1</v>
      </c>
      <c r="BS144" s="81">
        <v>0</v>
      </c>
      <c r="BT144" s="81">
        <v>1</v>
      </c>
      <c r="BU144" s="81">
        <v>0</v>
      </c>
      <c r="BV144" s="81">
        <v>0</v>
      </c>
      <c r="BW144" s="81">
        <v>1</v>
      </c>
      <c r="BX144" s="81">
        <v>0</v>
      </c>
      <c r="BY144" s="81">
        <v>0</v>
      </c>
      <c r="BZ144" s="81">
        <v>1</v>
      </c>
      <c r="CA144" s="81">
        <v>0</v>
      </c>
      <c r="CB144" s="81">
        <v>1</v>
      </c>
      <c r="CC144" s="81">
        <v>0</v>
      </c>
      <c r="CD144" s="81">
        <v>1</v>
      </c>
      <c r="CE144" s="81">
        <v>0</v>
      </c>
      <c r="CF144" s="81">
        <v>1</v>
      </c>
      <c r="CG144" s="81">
        <v>1</v>
      </c>
      <c r="CH144" s="81">
        <v>0</v>
      </c>
      <c r="CI144" s="81">
        <v>0</v>
      </c>
      <c r="CJ144" s="81">
        <v>0</v>
      </c>
      <c r="CK144" s="81">
        <v>0</v>
      </c>
      <c r="CL144" s="81">
        <v>0</v>
      </c>
      <c r="CM144" s="81">
        <v>0</v>
      </c>
      <c r="CN144" s="81">
        <v>0</v>
      </c>
      <c r="CO144" s="81">
        <v>1</v>
      </c>
      <c r="CP144" s="81">
        <v>1</v>
      </c>
      <c r="CQ144" s="81">
        <v>0</v>
      </c>
      <c r="CR144" s="81">
        <v>1</v>
      </c>
      <c r="CS144" s="81">
        <v>1</v>
      </c>
      <c r="CT144" s="81">
        <v>0</v>
      </c>
      <c r="CU144" s="81">
        <v>0</v>
      </c>
      <c r="CV144" s="81">
        <v>1</v>
      </c>
      <c r="CW144" s="81">
        <v>1</v>
      </c>
      <c r="CX144" s="81">
        <v>1</v>
      </c>
      <c r="CY144" s="81">
        <v>0</v>
      </c>
      <c r="CZ144" s="81">
        <v>1</v>
      </c>
      <c r="DA144" s="81">
        <v>1</v>
      </c>
    </row>
    <row r="145" spans="1:105" ht="12" customHeight="1" x14ac:dyDescent="0.3">
      <c r="A145" s="81" t="s">
        <v>801</v>
      </c>
      <c r="B145" s="81" t="s">
        <v>1446</v>
      </c>
      <c r="C145" s="81" t="s">
        <v>1452</v>
      </c>
      <c r="D145" s="81" t="s">
        <v>802</v>
      </c>
      <c r="E145" s="81" t="s">
        <v>409</v>
      </c>
      <c r="F145" s="81" t="s">
        <v>409</v>
      </c>
      <c r="G145" s="81"/>
      <c r="H145" s="94">
        <v>14</v>
      </c>
      <c r="I145" s="81" t="s">
        <v>0</v>
      </c>
      <c r="J145" s="81" t="s">
        <v>408</v>
      </c>
      <c r="K145" s="81">
        <v>14</v>
      </c>
      <c r="L145" s="81" t="s">
        <v>411</v>
      </c>
      <c r="M145" s="81" t="s">
        <v>412</v>
      </c>
      <c r="N145" s="81" t="s">
        <v>1430</v>
      </c>
      <c r="O145" s="81" t="s">
        <v>1454</v>
      </c>
      <c r="P145" s="81" t="s">
        <v>414</v>
      </c>
      <c r="Q145" s="81" t="s">
        <v>786</v>
      </c>
      <c r="R145" s="81">
        <v>0</v>
      </c>
      <c r="S145" s="81">
        <v>0</v>
      </c>
      <c r="T145" s="81">
        <v>0</v>
      </c>
      <c r="U145" s="81">
        <v>1</v>
      </c>
      <c r="V145" s="81">
        <v>0</v>
      </c>
      <c r="W145" s="81">
        <v>0</v>
      </c>
      <c r="X145" s="81">
        <v>0</v>
      </c>
      <c r="Y145" s="81">
        <v>0</v>
      </c>
      <c r="Z145" s="81">
        <v>0</v>
      </c>
      <c r="AA145" s="81">
        <v>1</v>
      </c>
      <c r="AB145" s="81">
        <v>0</v>
      </c>
      <c r="AC145" s="81">
        <v>0</v>
      </c>
      <c r="AD145" s="81">
        <v>0</v>
      </c>
      <c r="AE145" s="81">
        <v>0</v>
      </c>
      <c r="AF145" s="81">
        <v>0</v>
      </c>
      <c r="AG145" s="81">
        <v>1</v>
      </c>
      <c r="AH145" s="81">
        <v>0</v>
      </c>
      <c r="AI145" s="81">
        <v>0</v>
      </c>
      <c r="AJ145" s="81">
        <v>0</v>
      </c>
      <c r="AK145" s="81">
        <v>0</v>
      </c>
      <c r="AL145" s="81">
        <v>0</v>
      </c>
      <c r="AM145" s="81">
        <v>1</v>
      </c>
      <c r="AN145" s="81">
        <v>0</v>
      </c>
      <c r="AO145" s="81">
        <v>0</v>
      </c>
      <c r="AP145" s="81">
        <v>0</v>
      </c>
      <c r="AQ145" s="81">
        <v>0</v>
      </c>
      <c r="AR145" s="81">
        <v>0</v>
      </c>
      <c r="AS145" s="81">
        <v>0</v>
      </c>
      <c r="AT145" s="81">
        <v>0</v>
      </c>
      <c r="AU145" s="81">
        <v>0</v>
      </c>
      <c r="AV145" s="81">
        <v>0</v>
      </c>
      <c r="AW145" s="81">
        <v>0</v>
      </c>
      <c r="AX145" s="81">
        <v>0</v>
      </c>
      <c r="AY145" s="81">
        <v>0</v>
      </c>
      <c r="AZ145" s="81">
        <v>0</v>
      </c>
      <c r="BA145" s="81">
        <v>0</v>
      </c>
      <c r="BB145" s="81">
        <v>0</v>
      </c>
      <c r="BC145" s="81">
        <v>0</v>
      </c>
      <c r="BD145" s="81">
        <v>0</v>
      </c>
      <c r="BE145" s="81">
        <v>0</v>
      </c>
      <c r="BF145" s="81">
        <v>0</v>
      </c>
      <c r="BG145" s="81">
        <v>0</v>
      </c>
      <c r="BH145" s="81">
        <v>0</v>
      </c>
      <c r="BI145" s="81">
        <v>0</v>
      </c>
      <c r="BJ145" s="81">
        <v>0</v>
      </c>
      <c r="BK145" s="81">
        <v>0</v>
      </c>
      <c r="BL145" s="81">
        <v>0</v>
      </c>
      <c r="BM145" s="81">
        <v>0</v>
      </c>
      <c r="BN145" s="81">
        <v>0</v>
      </c>
      <c r="BO145" s="81">
        <v>0</v>
      </c>
      <c r="BP145" s="81">
        <v>0</v>
      </c>
      <c r="BQ145" s="81">
        <v>0</v>
      </c>
      <c r="BR145" s="81">
        <v>1</v>
      </c>
      <c r="BS145" s="81">
        <v>0</v>
      </c>
      <c r="BT145" s="81">
        <v>1</v>
      </c>
      <c r="BU145" s="81">
        <v>0</v>
      </c>
      <c r="BV145" s="81">
        <v>0</v>
      </c>
      <c r="BW145" s="81">
        <v>1</v>
      </c>
      <c r="BX145" s="81">
        <v>0</v>
      </c>
      <c r="BY145" s="81">
        <v>0</v>
      </c>
      <c r="BZ145" s="81">
        <v>1</v>
      </c>
      <c r="CA145" s="81">
        <v>0</v>
      </c>
      <c r="CB145" s="81">
        <v>1</v>
      </c>
      <c r="CC145" s="81">
        <v>0</v>
      </c>
      <c r="CD145" s="81">
        <v>1</v>
      </c>
      <c r="CE145" s="81">
        <v>0</v>
      </c>
      <c r="CF145" s="81">
        <v>1</v>
      </c>
      <c r="CG145" s="81">
        <v>1</v>
      </c>
      <c r="CH145" s="81">
        <v>0</v>
      </c>
      <c r="CI145" s="81">
        <v>0</v>
      </c>
      <c r="CJ145" s="81">
        <v>0</v>
      </c>
      <c r="CK145" s="81">
        <v>0</v>
      </c>
      <c r="CL145" s="81">
        <v>0</v>
      </c>
      <c r="CM145" s="81">
        <v>0</v>
      </c>
      <c r="CN145" s="81">
        <v>0</v>
      </c>
      <c r="CO145" s="81">
        <v>1</v>
      </c>
      <c r="CP145" s="81">
        <v>1</v>
      </c>
      <c r="CQ145" s="81">
        <v>0</v>
      </c>
      <c r="CR145" s="81">
        <v>1</v>
      </c>
      <c r="CS145" s="81">
        <v>1</v>
      </c>
      <c r="CT145" s="81">
        <v>0</v>
      </c>
      <c r="CU145" s="81">
        <v>0</v>
      </c>
      <c r="CV145" s="81">
        <v>1</v>
      </c>
      <c r="CW145" s="81">
        <v>1</v>
      </c>
      <c r="CX145" s="81">
        <v>1</v>
      </c>
      <c r="CY145" s="81">
        <v>0</v>
      </c>
      <c r="CZ145" s="81">
        <v>1</v>
      </c>
      <c r="DA145" s="81">
        <v>1</v>
      </c>
    </row>
    <row r="146" spans="1:105" ht="12" customHeight="1" x14ac:dyDescent="0.3">
      <c r="A146" s="81" t="s">
        <v>803</v>
      </c>
      <c r="B146" s="81" t="s">
        <v>1446</v>
      </c>
      <c r="C146" s="81" t="s">
        <v>1452</v>
      </c>
      <c r="D146" s="81" t="s">
        <v>804</v>
      </c>
      <c r="E146" s="81" t="s">
        <v>409</v>
      </c>
      <c r="F146" s="81" t="s">
        <v>409</v>
      </c>
      <c r="G146" s="81"/>
      <c r="H146" s="94">
        <v>14</v>
      </c>
      <c r="I146" s="81" t="s">
        <v>0</v>
      </c>
      <c r="J146" s="81" t="s">
        <v>408</v>
      </c>
      <c r="K146" s="81">
        <v>14</v>
      </c>
      <c r="L146" s="81" t="s">
        <v>411</v>
      </c>
      <c r="M146" s="81" t="s">
        <v>412</v>
      </c>
      <c r="N146" s="81" t="s">
        <v>1430</v>
      </c>
      <c r="O146" s="81" t="s">
        <v>1454</v>
      </c>
      <c r="P146" s="81" t="s">
        <v>414</v>
      </c>
      <c r="Q146" s="81" t="s">
        <v>786</v>
      </c>
      <c r="R146" s="81">
        <v>0</v>
      </c>
      <c r="S146" s="81">
        <v>0</v>
      </c>
      <c r="T146" s="81">
        <v>0</v>
      </c>
      <c r="U146" s="81">
        <v>1</v>
      </c>
      <c r="V146" s="81">
        <v>0</v>
      </c>
      <c r="W146" s="81">
        <v>0</v>
      </c>
      <c r="X146" s="81">
        <v>0</v>
      </c>
      <c r="Y146" s="81">
        <v>0</v>
      </c>
      <c r="Z146" s="81">
        <v>0</v>
      </c>
      <c r="AA146" s="81">
        <v>1</v>
      </c>
      <c r="AB146" s="81">
        <v>0</v>
      </c>
      <c r="AC146" s="81">
        <v>0</v>
      </c>
      <c r="AD146" s="81">
        <v>0</v>
      </c>
      <c r="AE146" s="81">
        <v>0</v>
      </c>
      <c r="AF146" s="81">
        <v>0</v>
      </c>
      <c r="AG146" s="81">
        <v>1</v>
      </c>
      <c r="AH146" s="81">
        <v>0</v>
      </c>
      <c r="AI146" s="81">
        <v>0</v>
      </c>
      <c r="AJ146" s="81">
        <v>0</v>
      </c>
      <c r="AK146" s="81">
        <v>0</v>
      </c>
      <c r="AL146" s="81">
        <v>0</v>
      </c>
      <c r="AM146" s="81">
        <v>1</v>
      </c>
      <c r="AN146" s="81">
        <v>0</v>
      </c>
      <c r="AO146" s="81">
        <v>0</v>
      </c>
      <c r="AP146" s="81">
        <v>0</v>
      </c>
      <c r="AQ146" s="81">
        <v>0</v>
      </c>
      <c r="AR146" s="81">
        <v>0</v>
      </c>
      <c r="AS146" s="81">
        <v>0</v>
      </c>
      <c r="AT146" s="81">
        <v>0</v>
      </c>
      <c r="AU146" s="81">
        <v>0</v>
      </c>
      <c r="AV146" s="81">
        <v>0</v>
      </c>
      <c r="AW146" s="81">
        <v>0</v>
      </c>
      <c r="AX146" s="81">
        <v>0</v>
      </c>
      <c r="AY146" s="81">
        <v>0</v>
      </c>
      <c r="AZ146" s="81">
        <v>0</v>
      </c>
      <c r="BA146" s="81">
        <v>0</v>
      </c>
      <c r="BB146" s="81">
        <v>0</v>
      </c>
      <c r="BC146" s="81">
        <v>0</v>
      </c>
      <c r="BD146" s="81">
        <v>0</v>
      </c>
      <c r="BE146" s="81">
        <v>0</v>
      </c>
      <c r="BF146" s="81">
        <v>0</v>
      </c>
      <c r="BG146" s="81">
        <v>0</v>
      </c>
      <c r="BH146" s="81">
        <v>0</v>
      </c>
      <c r="BI146" s="81">
        <v>0</v>
      </c>
      <c r="BJ146" s="81">
        <v>0</v>
      </c>
      <c r="BK146" s="81">
        <v>0</v>
      </c>
      <c r="BL146" s="81">
        <v>0</v>
      </c>
      <c r="BM146" s="81">
        <v>0</v>
      </c>
      <c r="BN146" s="81">
        <v>0</v>
      </c>
      <c r="BO146" s="81">
        <v>0</v>
      </c>
      <c r="BP146" s="81">
        <v>0</v>
      </c>
      <c r="BQ146" s="81">
        <v>0</v>
      </c>
      <c r="BR146" s="81">
        <v>1</v>
      </c>
      <c r="BS146" s="81">
        <v>0</v>
      </c>
      <c r="BT146" s="81">
        <v>1</v>
      </c>
      <c r="BU146" s="81">
        <v>0</v>
      </c>
      <c r="BV146" s="81">
        <v>0</v>
      </c>
      <c r="BW146" s="81">
        <v>1</v>
      </c>
      <c r="BX146" s="81">
        <v>0</v>
      </c>
      <c r="BY146" s="81">
        <v>0</v>
      </c>
      <c r="BZ146" s="81">
        <v>1</v>
      </c>
      <c r="CA146" s="81">
        <v>0</v>
      </c>
      <c r="CB146" s="81">
        <v>1</v>
      </c>
      <c r="CC146" s="81">
        <v>0</v>
      </c>
      <c r="CD146" s="81">
        <v>1</v>
      </c>
      <c r="CE146" s="81">
        <v>0</v>
      </c>
      <c r="CF146" s="81">
        <v>1</v>
      </c>
      <c r="CG146" s="81">
        <v>1</v>
      </c>
      <c r="CH146" s="81">
        <v>0</v>
      </c>
      <c r="CI146" s="81">
        <v>0</v>
      </c>
      <c r="CJ146" s="81">
        <v>0</v>
      </c>
      <c r="CK146" s="81">
        <v>0</v>
      </c>
      <c r="CL146" s="81">
        <v>0</v>
      </c>
      <c r="CM146" s="81">
        <v>0</v>
      </c>
      <c r="CN146" s="81">
        <v>0</v>
      </c>
      <c r="CO146" s="81">
        <v>1</v>
      </c>
      <c r="CP146" s="81">
        <v>1</v>
      </c>
      <c r="CQ146" s="81">
        <v>0</v>
      </c>
      <c r="CR146" s="81">
        <v>1</v>
      </c>
      <c r="CS146" s="81">
        <v>1</v>
      </c>
      <c r="CT146" s="81">
        <v>0</v>
      </c>
      <c r="CU146" s="81">
        <v>0</v>
      </c>
      <c r="CV146" s="81">
        <v>1</v>
      </c>
      <c r="CW146" s="81">
        <v>1</v>
      </c>
      <c r="CX146" s="81">
        <v>1</v>
      </c>
      <c r="CY146" s="81">
        <v>0</v>
      </c>
      <c r="CZ146" s="81">
        <v>1</v>
      </c>
      <c r="DA146" s="81">
        <v>1</v>
      </c>
    </row>
    <row r="147" spans="1:105" ht="12" customHeight="1" x14ac:dyDescent="0.3">
      <c r="A147" s="81" t="s">
        <v>805</v>
      </c>
      <c r="B147" s="81" t="s">
        <v>1446</v>
      </c>
      <c r="C147" s="81" t="s">
        <v>1452</v>
      </c>
      <c r="D147" s="81" t="s">
        <v>806</v>
      </c>
      <c r="E147" s="81" t="s">
        <v>398</v>
      </c>
      <c r="F147" s="81" t="s">
        <v>398</v>
      </c>
      <c r="G147" s="81"/>
      <c r="H147" s="94">
        <v>14</v>
      </c>
      <c r="I147" s="81" t="s">
        <v>0</v>
      </c>
      <c r="J147" s="81" t="s">
        <v>408</v>
      </c>
      <c r="K147" s="81">
        <v>14</v>
      </c>
      <c r="L147" s="81" t="s">
        <v>411</v>
      </c>
      <c r="M147" s="81" t="s">
        <v>412</v>
      </c>
      <c r="N147" s="81" t="s">
        <v>1430</v>
      </c>
      <c r="O147" s="81" t="s">
        <v>1454</v>
      </c>
      <c r="P147" s="81" t="s">
        <v>414</v>
      </c>
      <c r="Q147" s="81" t="s">
        <v>807</v>
      </c>
      <c r="R147" s="81">
        <v>0</v>
      </c>
      <c r="S147" s="81">
        <v>0</v>
      </c>
      <c r="T147" s="81">
        <v>0</v>
      </c>
      <c r="U147" s="81">
        <v>1</v>
      </c>
      <c r="V147" s="81">
        <v>0</v>
      </c>
      <c r="W147" s="81">
        <v>0</v>
      </c>
      <c r="X147" s="81">
        <v>0</v>
      </c>
      <c r="Y147" s="81">
        <v>0</v>
      </c>
      <c r="Z147" s="81">
        <v>0</v>
      </c>
      <c r="AA147" s="81">
        <v>1</v>
      </c>
      <c r="AB147" s="81">
        <v>0</v>
      </c>
      <c r="AC147" s="81">
        <v>0</v>
      </c>
      <c r="AD147" s="81">
        <v>0</v>
      </c>
      <c r="AE147" s="81">
        <v>0</v>
      </c>
      <c r="AF147" s="81">
        <v>0</v>
      </c>
      <c r="AG147" s="81">
        <v>1</v>
      </c>
      <c r="AH147" s="81">
        <v>0</v>
      </c>
      <c r="AI147" s="81">
        <v>0</v>
      </c>
      <c r="AJ147" s="81">
        <v>0</v>
      </c>
      <c r="AK147" s="81">
        <v>0</v>
      </c>
      <c r="AL147" s="81">
        <v>0</v>
      </c>
      <c r="AM147" s="81">
        <v>1</v>
      </c>
      <c r="AN147" s="81">
        <v>0</v>
      </c>
      <c r="AO147" s="81">
        <v>0</v>
      </c>
      <c r="AP147" s="81">
        <v>0</v>
      </c>
      <c r="AQ147" s="81">
        <v>0</v>
      </c>
      <c r="AR147" s="81">
        <v>0</v>
      </c>
      <c r="AS147" s="81">
        <v>0</v>
      </c>
      <c r="AT147" s="81">
        <v>0</v>
      </c>
      <c r="AU147" s="81">
        <v>0</v>
      </c>
      <c r="AV147" s="81">
        <v>0</v>
      </c>
      <c r="AW147" s="81">
        <v>0</v>
      </c>
      <c r="AX147" s="81">
        <v>0</v>
      </c>
      <c r="AY147" s="81">
        <v>0</v>
      </c>
      <c r="AZ147" s="81">
        <v>0</v>
      </c>
      <c r="BA147" s="81">
        <v>0</v>
      </c>
      <c r="BB147" s="81">
        <v>0</v>
      </c>
      <c r="BC147" s="81">
        <v>0</v>
      </c>
      <c r="BD147" s="81">
        <v>0</v>
      </c>
      <c r="BE147" s="81">
        <v>0</v>
      </c>
      <c r="BF147" s="81">
        <v>0</v>
      </c>
      <c r="BG147" s="81">
        <v>0</v>
      </c>
      <c r="BH147" s="81">
        <v>0</v>
      </c>
      <c r="BI147" s="81">
        <v>0</v>
      </c>
      <c r="BJ147" s="81">
        <v>0</v>
      </c>
      <c r="BK147" s="81">
        <v>0</v>
      </c>
      <c r="BL147" s="81">
        <v>0</v>
      </c>
      <c r="BM147" s="81">
        <v>0</v>
      </c>
      <c r="BN147" s="81">
        <v>0</v>
      </c>
      <c r="BO147" s="81">
        <v>0</v>
      </c>
      <c r="BP147" s="81">
        <v>0</v>
      </c>
      <c r="BQ147" s="81">
        <v>0</v>
      </c>
      <c r="BR147" s="81">
        <v>1</v>
      </c>
      <c r="BS147" s="81">
        <v>0</v>
      </c>
      <c r="BT147" s="81">
        <v>1</v>
      </c>
      <c r="BU147" s="81">
        <v>0</v>
      </c>
      <c r="BV147" s="81">
        <v>0</v>
      </c>
      <c r="BW147" s="81">
        <v>1</v>
      </c>
      <c r="BX147" s="81">
        <v>0</v>
      </c>
      <c r="BY147" s="81">
        <v>0</v>
      </c>
      <c r="BZ147" s="81">
        <v>1</v>
      </c>
      <c r="CA147" s="81">
        <v>0</v>
      </c>
      <c r="CB147" s="81">
        <v>1</v>
      </c>
      <c r="CC147" s="81">
        <v>0</v>
      </c>
      <c r="CD147" s="81">
        <v>1</v>
      </c>
      <c r="CE147" s="81">
        <v>0</v>
      </c>
      <c r="CF147" s="81">
        <v>1</v>
      </c>
      <c r="CG147" s="81">
        <v>1</v>
      </c>
      <c r="CH147" s="81">
        <v>0</v>
      </c>
      <c r="CI147" s="81">
        <v>0</v>
      </c>
      <c r="CJ147" s="81">
        <v>0</v>
      </c>
      <c r="CK147" s="81">
        <v>0</v>
      </c>
      <c r="CL147" s="81">
        <v>0</v>
      </c>
      <c r="CM147" s="81">
        <v>0</v>
      </c>
      <c r="CN147" s="81">
        <v>0</v>
      </c>
      <c r="CO147" s="81">
        <v>1</v>
      </c>
      <c r="CP147" s="81">
        <v>1</v>
      </c>
      <c r="CQ147" s="81">
        <v>0</v>
      </c>
      <c r="CR147" s="81">
        <v>1</v>
      </c>
      <c r="CS147" s="81">
        <v>1</v>
      </c>
      <c r="CT147" s="81">
        <v>0</v>
      </c>
      <c r="CU147" s="81">
        <v>0</v>
      </c>
      <c r="CV147" s="81">
        <v>1</v>
      </c>
      <c r="CW147" s="81">
        <v>1</v>
      </c>
      <c r="CX147" s="81">
        <v>1</v>
      </c>
      <c r="CY147" s="81">
        <v>0</v>
      </c>
      <c r="CZ147" s="81">
        <v>1</v>
      </c>
      <c r="DA147" s="81">
        <v>1</v>
      </c>
    </row>
    <row r="148" spans="1:105" ht="12" customHeight="1" x14ac:dyDescent="0.3">
      <c r="A148" s="81" t="s">
        <v>808</v>
      </c>
      <c r="B148" s="81" t="s">
        <v>1446</v>
      </c>
      <c r="C148" s="81" t="s">
        <v>1452</v>
      </c>
      <c r="D148" s="81" t="s">
        <v>809</v>
      </c>
      <c r="E148" s="81" t="s">
        <v>409</v>
      </c>
      <c r="F148" s="81" t="s">
        <v>409</v>
      </c>
      <c r="G148" s="81"/>
      <c r="H148" s="94">
        <v>14</v>
      </c>
      <c r="I148" s="81" t="s">
        <v>0</v>
      </c>
      <c r="J148" s="81" t="s">
        <v>408</v>
      </c>
      <c r="K148" s="81">
        <v>14</v>
      </c>
      <c r="L148" s="81" t="s">
        <v>411</v>
      </c>
      <c r="M148" s="81" t="s">
        <v>412</v>
      </c>
      <c r="N148" s="81" t="s">
        <v>1430</v>
      </c>
      <c r="O148" s="81" t="s">
        <v>1454</v>
      </c>
      <c r="P148" s="81" t="s">
        <v>414</v>
      </c>
      <c r="Q148" s="81" t="s">
        <v>786</v>
      </c>
      <c r="R148" s="81">
        <v>0</v>
      </c>
      <c r="S148" s="81">
        <v>0</v>
      </c>
      <c r="T148" s="81">
        <v>0</v>
      </c>
      <c r="U148" s="81">
        <v>1</v>
      </c>
      <c r="V148" s="81">
        <v>0</v>
      </c>
      <c r="W148" s="81">
        <v>0</v>
      </c>
      <c r="X148" s="81">
        <v>0</v>
      </c>
      <c r="Y148" s="81">
        <v>0</v>
      </c>
      <c r="Z148" s="81">
        <v>0</v>
      </c>
      <c r="AA148" s="81">
        <v>1</v>
      </c>
      <c r="AB148" s="81">
        <v>0</v>
      </c>
      <c r="AC148" s="81">
        <v>0</v>
      </c>
      <c r="AD148" s="81">
        <v>0</v>
      </c>
      <c r="AE148" s="81">
        <v>0</v>
      </c>
      <c r="AF148" s="81">
        <v>0</v>
      </c>
      <c r="AG148" s="81">
        <v>1</v>
      </c>
      <c r="AH148" s="81">
        <v>0</v>
      </c>
      <c r="AI148" s="81">
        <v>0</v>
      </c>
      <c r="AJ148" s="81">
        <v>0</v>
      </c>
      <c r="AK148" s="81">
        <v>0</v>
      </c>
      <c r="AL148" s="81">
        <v>0</v>
      </c>
      <c r="AM148" s="81">
        <v>1</v>
      </c>
      <c r="AN148" s="81">
        <v>0</v>
      </c>
      <c r="AO148" s="81">
        <v>0</v>
      </c>
      <c r="AP148" s="81">
        <v>0</v>
      </c>
      <c r="AQ148" s="81">
        <v>0</v>
      </c>
      <c r="AR148" s="81">
        <v>0</v>
      </c>
      <c r="AS148" s="81">
        <v>0</v>
      </c>
      <c r="AT148" s="81">
        <v>0</v>
      </c>
      <c r="AU148" s="81">
        <v>0</v>
      </c>
      <c r="AV148" s="81">
        <v>0</v>
      </c>
      <c r="AW148" s="81">
        <v>0</v>
      </c>
      <c r="AX148" s="81">
        <v>0</v>
      </c>
      <c r="AY148" s="81">
        <v>0</v>
      </c>
      <c r="AZ148" s="81">
        <v>0</v>
      </c>
      <c r="BA148" s="81">
        <v>0</v>
      </c>
      <c r="BB148" s="81">
        <v>0</v>
      </c>
      <c r="BC148" s="81">
        <v>0</v>
      </c>
      <c r="BD148" s="81">
        <v>0</v>
      </c>
      <c r="BE148" s="81">
        <v>0</v>
      </c>
      <c r="BF148" s="81">
        <v>0</v>
      </c>
      <c r="BG148" s="81">
        <v>0</v>
      </c>
      <c r="BH148" s="81">
        <v>0</v>
      </c>
      <c r="BI148" s="81">
        <v>0</v>
      </c>
      <c r="BJ148" s="81">
        <v>0</v>
      </c>
      <c r="BK148" s="81">
        <v>0</v>
      </c>
      <c r="BL148" s="81">
        <v>0</v>
      </c>
      <c r="BM148" s="81">
        <v>0</v>
      </c>
      <c r="BN148" s="81">
        <v>0</v>
      </c>
      <c r="BO148" s="81">
        <v>0</v>
      </c>
      <c r="BP148" s="81">
        <v>0</v>
      </c>
      <c r="BQ148" s="81">
        <v>0</v>
      </c>
      <c r="BR148" s="81">
        <v>1</v>
      </c>
      <c r="BS148" s="81">
        <v>0</v>
      </c>
      <c r="BT148" s="81">
        <v>1</v>
      </c>
      <c r="BU148" s="81">
        <v>0</v>
      </c>
      <c r="BV148" s="81">
        <v>0</v>
      </c>
      <c r="BW148" s="81">
        <v>1</v>
      </c>
      <c r="BX148" s="81">
        <v>0</v>
      </c>
      <c r="BY148" s="81">
        <v>0</v>
      </c>
      <c r="BZ148" s="81">
        <v>1</v>
      </c>
      <c r="CA148" s="81">
        <v>0</v>
      </c>
      <c r="CB148" s="81">
        <v>1</v>
      </c>
      <c r="CC148" s="81">
        <v>0</v>
      </c>
      <c r="CD148" s="81">
        <v>1</v>
      </c>
      <c r="CE148" s="81">
        <v>0</v>
      </c>
      <c r="CF148" s="81">
        <v>1</v>
      </c>
      <c r="CG148" s="81">
        <v>1</v>
      </c>
      <c r="CH148" s="81">
        <v>0</v>
      </c>
      <c r="CI148" s="81">
        <v>0</v>
      </c>
      <c r="CJ148" s="81">
        <v>0</v>
      </c>
      <c r="CK148" s="81">
        <v>0</v>
      </c>
      <c r="CL148" s="81">
        <v>0</v>
      </c>
      <c r="CM148" s="81">
        <v>0</v>
      </c>
      <c r="CN148" s="81">
        <v>0</v>
      </c>
      <c r="CO148" s="81">
        <v>1</v>
      </c>
      <c r="CP148" s="81">
        <v>1</v>
      </c>
      <c r="CQ148" s="81">
        <v>0</v>
      </c>
      <c r="CR148" s="81">
        <v>1</v>
      </c>
      <c r="CS148" s="81">
        <v>1</v>
      </c>
      <c r="CT148" s="81">
        <v>0</v>
      </c>
      <c r="CU148" s="81">
        <v>0</v>
      </c>
      <c r="CV148" s="81">
        <v>1</v>
      </c>
      <c r="CW148" s="81">
        <v>1</v>
      </c>
      <c r="CX148" s="81">
        <v>1</v>
      </c>
      <c r="CY148" s="81">
        <v>0</v>
      </c>
      <c r="CZ148" s="81">
        <v>1</v>
      </c>
      <c r="DA148" s="81">
        <v>1</v>
      </c>
    </row>
    <row r="149" spans="1:105" ht="12" customHeight="1" x14ac:dyDescent="0.3">
      <c r="A149" s="81" t="s">
        <v>810</v>
      </c>
      <c r="B149" s="81" t="s">
        <v>1446</v>
      </c>
      <c r="C149" s="81" t="s">
        <v>1452</v>
      </c>
      <c r="D149" s="81" t="s">
        <v>811</v>
      </c>
      <c r="E149" s="81" t="s">
        <v>409</v>
      </c>
      <c r="F149" s="81" t="s">
        <v>409</v>
      </c>
      <c r="G149" s="81"/>
      <c r="H149" s="94">
        <v>14</v>
      </c>
      <c r="I149" s="81" t="s">
        <v>0</v>
      </c>
      <c r="J149" s="81" t="s">
        <v>408</v>
      </c>
      <c r="K149" s="81">
        <v>14</v>
      </c>
      <c r="L149" s="81" t="s">
        <v>411</v>
      </c>
      <c r="M149" s="81" t="s">
        <v>412</v>
      </c>
      <c r="N149" s="81" t="s">
        <v>1430</v>
      </c>
      <c r="O149" s="81" t="s">
        <v>1454</v>
      </c>
      <c r="P149" s="81" t="s">
        <v>414</v>
      </c>
      <c r="Q149" s="81" t="s">
        <v>786</v>
      </c>
      <c r="R149" s="81">
        <v>0</v>
      </c>
      <c r="S149" s="81">
        <v>0</v>
      </c>
      <c r="T149" s="81">
        <v>0</v>
      </c>
      <c r="U149" s="81">
        <v>1</v>
      </c>
      <c r="V149" s="81">
        <v>0</v>
      </c>
      <c r="W149" s="81">
        <v>0</v>
      </c>
      <c r="X149" s="81">
        <v>0</v>
      </c>
      <c r="Y149" s="81">
        <v>0</v>
      </c>
      <c r="Z149" s="81">
        <v>0</v>
      </c>
      <c r="AA149" s="81">
        <v>1</v>
      </c>
      <c r="AB149" s="81">
        <v>0</v>
      </c>
      <c r="AC149" s="81">
        <v>0</v>
      </c>
      <c r="AD149" s="81">
        <v>0</v>
      </c>
      <c r="AE149" s="81">
        <v>0</v>
      </c>
      <c r="AF149" s="81">
        <v>0</v>
      </c>
      <c r="AG149" s="81">
        <v>1</v>
      </c>
      <c r="AH149" s="81">
        <v>0</v>
      </c>
      <c r="AI149" s="81">
        <v>0</v>
      </c>
      <c r="AJ149" s="81">
        <v>0</v>
      </c>
      <c r="AK149" s="81">
        <v>0</v>
      </c>
      <c r="AL149" s="81">
        <v>0</v>
      </c>
      <c r="AM149" s="81">
        <v>1</v>
      </c>
      <c r="AN149" s="81">
        <v>0</v>
      </c>
      <c r="AO149" s="81">
        <v>0</v>
      </c>
      <c r="AP149" s="81">
        <v>0</v>
      </c>
      <c r="AQ149" s="81">
        <v>0</v>
      </c>
      <c r="AR149" s="81">
        <v>0</v>
      </c>
      <c r="AS149" s="81">
        <v>0</v>
      </c>
      <c r="AT149" s="81">
        <v>0</v>
      </c>
      <c r="AU149" s="81">
        <v>0</v>
      </c>
      <c r="AV149" s="81">
        <v>0</v>
      </c>
      <c r="AW149" s="81">
        <v>0</v>
      </c>
      <c r="AX149" s="81">
        <v>0</v>
      </c>
      <c r="AY149" s="81">
        <v>0</v>
      </c>
      <c r="AZ149" s="81">
        <v>0</v>
      </c>
      <c r="BA149" s="81">
        <v>0</v>
      </c>
      <c r="BB149" s="81">
        <v>0</v>
      </c>
      <c r="BC149" s="81">
        <v>0</v>
      </c>
      <c r="BD149" s="81">
        <v>0</v>
      </c>
      <c r="BE149" s="81">
        <v>0</v>
      </c>
      <c r="BF149" s="81">
        <v>0</v>
      </c>
      <c r="BG149" s="81">
        <v>0</v>
      </c>
      <c r="BH149" s="81">
        <v>0</v>
      </c>
      <c r="BI149" s="81">
        <v>0</v>
      </c>
      <c r="BJ149" s="81">
        <v>0</v>
      </c>
      <c r="BK149" s="81">
        <v>0</v>
      </c>
      <c r="BL149" s="81">
        <v>0</v>
      </c>
      <c r="BM149" s="81">
        <v>0</v>
      </c>
      <c r="BN149" s="81">
        <v>0</v>
      </c>
      <c r="BO149" s="81">
        <v>0</v>
      </c>
      <c r="BP149" s="81">
        <v>0</v>
      </c>
      <c r="BQ149" s="81">
        <v>0</v>
      </c>
      <c r="BR149" s="81">
        <v>1</v>
      </c>
      <c r="BS149" s="81">
        <v>0</v>
      </c>
      <c r="BT149" s="81">
        <v>1</v>
      </c>
      <c r="BU149" s="81">
        <v>0</v>
      </c>
      <c r="BV149" s="81">
        <v>0</v>
      </c>
      <c r="BW149" s="81">
        <v>1</v>
      </c>
      <c r="BX149" s="81">
        <v>0</v>
      </c>
      <c r="BY149" s="81">
        <v>0</v>
      </c>
      <c r="BZ149" s="81">
        <v>1</v>
      </c>
      <c r="CA149" s="81">
        <v>0</v>
      </c>
      <c r="CB149" s="81">
        <v>1</v>
      </c>
      <c r="CC149" s="81">
        <v>0</v>
      </c>
      <c r="CD149" s="81">
        <v>1</v>
      </c>
      <c r="CE149" s="81">
        <v>0</v>
      </c>
      <c r="CF149" s="81">
        <v>1</v>
      </c>
      <c r="CG149" s="81">
        <v>1</v>
      </c>
      <c r="CH149" s="81">
        <v>0</v>
      </c>
      <c r="CI149" s="81">
        <v>0</v>
      </c>
      <c r="CJ149" s="81">
        <v>0</v>
      </c>
      <c r="CK149" s="81">
        <v>0</v>
      </c>
      <c r="CL149" s="81">
        <v>0</v>
      </c>
      <c r="CM149" s="81">
        <v>0</v>
      </c>
      <c r="CN149" s="81">
        <v>0</v>
      </c>
      <c r="CO149" s="81">
        <v>1</v>
      </c>
      <c r="CP149" s="81">
        <v>1</v>
      </c>
      <c r="CQ149" s="81">
        <v>0</v>
      </c>
      <c r="CR149" s="81">
        <v>1</v>
      </c>
      <c r="CS149" s="81">
        <v>1</v>
      </c>
      <c r="CT149" s="81">
        <v>0</v>
      </c>
      <c r="CU149" s="81">
        <v>0</v>
      </c>
      <c r="CV149" s="81">
        <v>1</v>
      </c>
      <c r="CW149" s="81">
        <v>1</v>
      </c>
      <c r="CX149" s="81">
        <v>1</v>
      </c>
      <c r="CY149" s="81">
        <v>0</v>
      </c>
      <c r="CZ149" s="81">
        <v>1</v>
      </c>
      <c r="DA149" s="81">
        <v>1</v>
      </c>
    </row>
    <row r="150" spans="1:105" ht="12" customHeight="1" x14ac:dyDescent="0.3">
      <c r="A150" s="81" t="s">
        <v>812</v>
      </c>
      <c r="B150" s="81" t="s">
        <v>1446</v>
      </c>
      <c r="C150" s="81" t="s">
        <v>1452</v>
      </c>
      <c r="D150" s="81" t="s">
        <v>813</v>
      </c>
      <c r="E150" s="81" t="s">
        <v>398</v>
      </c>
      <c r="F150" s="81" t="s">
        <v>398</v>
      </c>
      <c r="G150" s="81"/>
      <c r="H150" s="94">
        <v>17</v>
      </c>
      <c r="I150" s="81" t="s">
        <v>3</v>
      </c>
      <c r="J150" s="81" t="s">
        <v>428</v>
      </c>
      <c r="K150" s="81">
        <v>17</v>
      </c>
      <c r="L150" s="81" t="s">
        <v>411</v>
      </c>
      <c r="M150" s="81" t="s">
        <v>431</v>
      </c>
      <c r="N150" s="81" t="s">
        <v>1430</v>
      </c>
      <c r="O150" s="81" t="s">
        <v>1453</v>
      </c>
      <c r="P150" s="81" t="s">
        <v>414</v>
      </c>
      <c r="Q150" s="81" t="s">
        <v>751</v>
      </c>
      <c r="R150" s="81">
        <v>0</v>
      </c>
      <c r="S150" s="81">
        <v>0</v>
      </c>
      <c r="T150" s="81">
        <v>0</v>
      </c>
      <c r="U150" s="81">
        <v>1</v>
      </c>
      <c r="V150" s="81">
        <v>0</v>
      </c>
      <c r="W150" s="81">
        <v>1</v>
      </c>
      <c r="X150" s="81">
        <v>0</v>
      </c>
      <c r="Y150" s="81">
        <v>0</v>
      </c>
      <c r="Z150" s="81">
        <v>0</v>
      </c>
      <c r="AA150" s="81">
        <v>1</v>
      </c>
      <c r="AB150" s="81">
        <v>0</v>
      </c>
      <c r="AC150" s="81">
        <v>0</v>
      </c>
      <c r="AD150" s="81">
        <v>0</v>
      </c>
      <c r="AE150" s="81">
        <v>0</v>
      </c>
      <c r="AF150" s="81">
        <v>0</v>
      </c>
      <c r="AG150" s="81">
        <v>1</v>
      </c>
      <c r="AH150" s="81">
        <v>0</v>
      </c>
      <c r="AI150" s="81">
        <v>0</v>
      </c>
      <c r="AJ150" s="81">
        <v>0</v>
      </c>
      <c r="AK150" s="81">
        <v>0</v>
      </c>
      <c r="AL150" s="81">
        <v>0</v>
      </c>
      <c r="AM150" s="81">
        <v>1</v>
      </c>
      <c r="AN150" s="81">
        <v>0</v>
      </c>
      <c r="AO150" s="81">
        <v>0</v>
      </c>
      <c r="AP150" s="81">
        <v>0</v>
      </c>
      <c r="AQ150" s="81">
        <v>0</v>
      </c>
      <c r="AR150" s="81">
        <v>0</v>
      </c>
      <c r="AS150" s="81">
        <v>0</v>
      </c>
      <c r="AT150" s="81">
        <v>0</v>
      </c>
      <c r="AU150" s="81">
        <v>0</v>
      </c>
      <c r="AV150" s="81">
        <v>0</v>
      </c>
      <c r="AW150" s="81">
        <v>0</v>
      </c>
      <c r="AX150" s="81">
        <v>0</v>
      </c>
      <c r="AY150" s="81">
        <v>0</v>
      </c>
      <c r="AZ150" s="81">
        <v>0</v>
      </c>
      <c r="BA150" s="81">
        <v>0</v>
      </c>
      <c r="BB150" s="81">
        <v>1</v>
      </c>
      <c r="BC150" s="81">
        <v>0</v>
      </c>
      <c r="BD150" s="81">
        <v>0</v>
      </c>
      <c r="BE150" s="81">
        <v>0</v>
      </c>
      <c r="BF150" s="81">
        <v>0</v>
      </c>
      <c r="BG150" s="81">
        <v>1</v>
      </c>
      <c r="BH150" s="81">
        <v>0</v>
      </c>
      <c r="BI150" s="81">
        <v>0</v>
      </c>
      <c r="BJ150" s="81">
        <v>0</v>
      </c>
      <c r="BK150" s="81">
        <v>0</v>
      </c>
      <c r="BL150" s="81">
        <v>0</v>
      </c>
      <c r="BM150" s="81">
        <v>0</v>
      </c>
      <c r="BN150" s="81">
        <v>0</v>
      </c>
      <c r="BO150" s="81">
        <v>1</v>
      </c>
      <c r="BP150" s="81">
        <v>1</v>
      </c>
      <c r="BQ150" s="81">
        <v>1</v>
      </c>
      <c r="BR150" s="81">
        <v>1</v>
      </c>
      <c r="BS150" s="81">
        <v>1</v>
      </c>
      <c r="BT150" s="81">
        <v>1</v>
      </c>
      <c r="BU150" s="81">
        <v>1</v>
      </c>
      <c r="BV150" s="81">
        <v>1</v>
      </c>
      <c r="BW150" s="81">
        <v>1</v>
      </c>
      <c r="BX150" s="81">
        <v>1</v>
      </c>
      <c r="BY150" s="81">
        <v>1</v>
      </c>
      <c r="BZ150" s="81">
        <v>1</v>
      </c>
      <c r="CA150" s="81">
        <v>1</v>
      </c>
      <c r="CB150" s="81">
        <v>1</v>
      </c>
      <c r="CC150" s="81">
        <v>1</v>
      </c>
      <c r="CD150" s="81">
        <v>1</v>
      </c>
      <c r="CE150" s="81">
        <v>1</v>
      </c>
      <c r="CF150" s="81">
        <v>1</v>
      </c>
      <c r="CG150" s="81">
        <v>1</v>
      </c>
      <c r="CH150" s="81">
        <v>0</v>
      </c>
      <c r="CI150" s="81">
        <v>0</v>
      </c>
      <c r="CJ150" s="81">
        <v>0</v>
      </c>
      <c r="CK150" s="81">
        <v>0</v>
      </c>
      <c r="CL150" s="81">
        <v>0</v>
      </c>
      <c r="CM150" s="81">
        <v>0</v>
      </c>
      <c r="CN150" s="81">
        <v>0</v>
      </c>
      <c r="CO150" s="81">
        <v>2</v>
      </c>
      <c r="CP150" s="81">
        <v>2</v>
      </c>
      <c r="CQ150" s="81">
        <v>1</v>
      </c>
      <c r="CR150" s="81">
        <v>2</v>
      </c>
      <c r="CS150" s="81">
        <v>1</v>
      </c>
      <c r="CT150" s="81">
        <v>1</v>
      </c>
      <c r="CU150" s="81">
        <v>0</v>
      </c>
      <c r="CV150" s="81">
        <v>1</v>
      </c>
      <c r="CW150" s="81">
        <v>1</v>
      </c>
      <c r="CX150" s="81">
        <v>1</v>
      </c>
      <c r="CY150" s="81">
        <v>1</v>
      </c>
      <c r="CZ150" s="81">
        <v>1</v>
      </c>
      <c r="DA150" s="81">
        <v>1</v>
      </c>
    </row>
    <row r="151" spans="1:105" ht="12" customHeight="1" x14ac:dyDescent="0.3">
      <c r="A151" s="81" t="s">
        <v>814</v>
      </c>
      <c r="B151" s="81" t="s">
        <v>1446</v>
      </c>
      <c r="C151" s="81" t="s">
        <v>1452</v>
      </c>
      <c r="D151" s="81" t="s">
        <v>815</v>
      </c>
      <c r="E151" s="81" t="s">
        <v>398</v>
      </c>
      <c r="F151" s="81" t="s">
        <v>398</v>
      </c>
      <c r="G151" s="81"/>
      <c r="H151" s="94">
        <v>17</v>
      </c>
      <c r="I151" s="81" t="s">
        <v>3</v>
      </c>
      <c r="J151" s="81" t="s">
        <v>428</v>
      </c>
      <c r="K151" s="81">
        <v>17</v>
      </c>
      <c r="L151" s="81" t="s">
        <v>411</v>
      </c>
      <c r="M151" s="81" t="s">
        <v>431</v>
      </c>
      <c r="N151" s="81" t="s">
        <v>1430</v>
      </c>
      <c r="O151" s="81" t="s">
        <v>1453</v>
      </c>
      <c r="P151" s="81" t="s">
        <v>414</v>
      </c>
      <c r="Q151" s="81" t="s">
        <v>751</v>
      </c>
      <c r="R151" s="81">
        <v>0</v>
      </c>
      <c r="S151" s="81">
        <v>0</v>
      </c>
      <c r="T151" s="81">
        <v>0</v>
      </c>
      <c r="U151" s="81">
        <v>1</v>
      </c>
      <c r="V151" s="81">
        <v>0</v>
      </c>
      <c r="W151" s="81">
        <v>1</v>
      </c>
      <c r="X151" s="81">
        <v>0</v>
      </c>
      <c r="Y151" s="81">
        <v>0</v>
      </c>
      <c r="Z151" s="81">
        <v>0</v>
      </c>
      <c r="AA151" s="81">
        <v>1</v>
      </c>
      <c r="AB151" s="81">
        <v>0</v>
      </c>
      <c r="AC151" s="81">
        <v>0</v>
      </c>
      <c r="AD151" s="81">
        <v>0</v>
      </c>
      <c r="AE151" s="81">
        <v>0</v>
      </c>
      <c r="AF151" s="81">
        <v>0</v>
      </c>
      <c r="AG151" s="81">
        <v>1</v>
      </c>
      <c r="AH151" s="81">
        <v>0</v>
      </c>
      <c r="AI151" s="81">
        <v>0</v>
      </c>
      <c r="AJ151" s="81">
        <v>0</v>
      </c>
      <c r="AK151" s="81">
        <v>0</v>
      </c>
      <c r="AL151" s="81">
        <v>0</v>
      </c>
      <c r="AM151" s="81">
        <v>1</v>
      </c>
      <c r="AN151" s="81">
        <v>0</v>
      </c>
      <c r="AO151" s="81">
        <v>0</v>
      </c>
      <c r="AP151" s="81">
        <v>0</v>
      </c>
      <c r="AQ151" s="81">
        <v>0</v>
      </c>
      <c r="AR151" s="81">
        <v>0</v>
      </c>
      <c r="AS151" s="81">
        <v>0</v>
      </c>
      <c r="AT151" s="81">
        <v>0</v>
      </c>
      <c r="AU151" s="81">
        <v>0</v>
      </c>
      <c r="AV151" s="81">
        <v>0</v>
      </c>
      <c r="AW151" s="81">
        <v>0</v>
      </c>
      <c r="AX151" s="81">
        <v>0</v>
      </c>
      <c r="AY151" s="81">
        <v>0</v>
      </c>
      <c r="AZ151" s="81">
        <v>0</v>
      </c>
      <c r="BA151" s="81">
        <v>0</v>
      </c>
      <c r="BB151" s="81">
        <v>1</v>
      </c>
      <c r="BC151" s="81">
        <v>0</v>
      </c>
      <c r="BD151" s="81">
        <v>0</v>
      </c>
      <c r="BE151" s="81">
        <v>0</v>
      </c>
      <c r="BF151" s="81">
        <v>0</v>
      </c>
      <c r="BG151" s="81">
        <v>1</v>
      </c>
      <c r="BH151" s="81">
        <v>0</v>
      </c>
      <c r="BI151" s="81">
        <v>0</v>
      </c>
      <c r="BJ151" s="81">
        <v>0</v>
      </c>
      <c r="BK151" s="81">
        <v>0</v>
      </c>
      <c r="BL151" s="81">
        <v>0</v>
      </c>
      <c r="BM151" s="81">
        <v>0</v>
      </c>
      <c r="BN151" s="81">
        <v>0</v>
      </c>
      <c r="BO151" s="81">
        <v>1</v>
      </c>
      <c r="BP151" s="81">
        <v>1</v>
      </c>
      <c r="BQ151" s="81">
        <v>1</v>
      </c>
      <c r="BR151" s="81">
        <v>1</v>
      </c>
      <c r="BS151" s="81">
        <v>1</v>
      </c>
      <c r="BT151" s="81">
        <v>1</v>
      </c>
      <c r="BU151" s="81">
        <v>1</v>
      </c>
      <c r="BV151" s="81">
        <v>1</v>
      </c>
      <c r="BW151" s="81">
        <v>1</v>
      </c>
      <c r="BX151" s="81">
        <v>1</v>
      </c>
      <c r="BY151" s="81">
        <v>1</v>
      </c>
      <c r="BZ151" s="81">
        <v>1</v>
      </c>
      <c r="CA151" s="81">
        <v>1</v>
      </c>
      <c r="CB151" s="81">
        <v>1</v>
      </c>
      <c r="CC151" s="81">
        <v>1</v>
      </c>
      <c r="CD151" s="81">
        <v>1</v>
      </c>
      <c r="CE151" s="81">
        <v>1</v>
      </c>
      <c r="CF151" s="81">
        <v>1</v>
      </c>
      <c r="CG151" s="81">
        <v>1</v>
      </c>
      <c r="CH151" s="81">
        <v>0</v>
      </c>
      <c r="CI151" s="81">
        <v>0</v>
      </c>
      <c r="CJ151" s="81">
        <v>0</v>
      </c>
      <c r="CK151" s="81">
        <v>0</v>
      </c>
      <c r="CL151" s="81">
        <v>0</v>
      </c>
      <c r="CM151" s="81">
        <v>0</v>
      </c>
      <c r="CN151" s="81">
        <v>0</v>
      </c>
      <c r="CO151" s="81">
        <v>2</v>
      </c>
      <c r="CP151" s="81">
        <v>2</v>
      </c>
      <c r="CQ151" s="81">
        <v>1</v>
      </c>
      <c r="CR151" s="81">
        <v>2</v>
      </c>
      <c r="CS151" s="81">
        <v>1</v>
      </c>
      <c r="CT151" s="81">
        <v>1</v>
      </c>
      <c r="CU151" s="81">
        <v>0</v>
      </c>
      <c r="CV151" s="81">
        <v>1</v>
      </c>
      <c r="CW151" s="81">
        <v>1</v>
      </c>
      <c r="CX151" s="81">
        <v>1</v>
      </c>
      <c r="CY151" s="81">
        <v>1</v>
      </c>
      <c r="CZ151" s="81">
        <v>1</v>
      </c>
      <c r="DA151" s="81">
        <v>1</v>
      </c>
    </row>
    <row r="152" spans="1:105" ht="12" customHeight="1" x14ac:dyDescent="0.3">
      <c r="A152" s="81" t="s">
        <v>816</v>
      </c>
      <c r="B152" s="81" t="s">
        <v>1446</v>
      </c>
      <c r="C152" s="81" t="s">
        <v>1452</v>
      </c>
      <c r="D152" s="81" t="s">
        <v>817</v>
      </c>
      <c r="E152" s="81" t="s">
        <v>398</v>
      </c>
      <c r="F152" s="81" t="s">
        <v>398</v>
      </c>
      <c r="G152" s="81"/>
      <c r="H152" s="94">
        <v>17</v>
      </c>
      <c r="I152" s="81" t="s">
        <v>3</v>
      </c>
      <c r="J152" s="81" t="s">
        <v>428</v>
      </c>
      <c r="K152" s="81">
        <v>17</v>
      </c>
      <c r="L152" s="81" t="s">
        <v>411</v>
      </c>
      <c r="M152" s="81" t="s">
        <v>431</v>
      </c>
      <c r="N152" s="81" t="s">
        <v>1430</v>
      </c>
      <c r="O152" s="81" t="s">
        <v>1453</v>
      </c>
      <c r="P152" s="81" t="s">
        <v>414</v>
      </c>
      <c r="Q152" s="81" t="s">
        <v>751</v>
      </c>
      <c r="R152" s="81">
        <v>0</v>
      </c>
      <c r="S152" s="81">
        <v>0</v>
      </c>
      <c r="T152" s="81">
        <v>0</v>
      </c>
      <c r="U152" s="81">
        <v>1</v>
      </c>
      <c r="V152" s="81">
        <v>0</v>
      </c>
      <c r="W152" s="81">
        <v>1</v>
      </c>
      <c r="X152" s="81">
        <v>0</v>
      </c>
      <c r="Y152" s="81">
        <v>0</v>
      </c>
      <c r="Z152" s="81">
        <v>0</v>
      </c>
      <c r="AA152" s="81">
        <v>1</v>
      </c>
      <c r="AB152" s="81">
        <v>0</v>
      </c>
      <c r="AC152" s="81">
        <v>0</v>
      </c>
      <c r="AD152" s="81">
        <v>0</v>
      </c>
      <c r="AE152" s="81">
        <v>0</v>
      </c>
      <c r="AF152" s="81">
        <v>0</v>
      </c>
      <c r="AG152" s="81">
        <v>1</v>
      </c>
      <c r="AH152" s="81">
        <v>0</v>
      </c>
      <c r="AI152" s="81">
        <v>0</v>
      </c>
      <c r="AJ152" s="81">
        <v>0</v>
      </c>
      <c r="AK152" s="81">
        <v>0</v>
      </c>
      <c r="AL152" s="81">
        <v>0</v>
      </c>
      <c r="AM152" s="81">
        <v>1</v>
      </c>
      <c r="AN152" s="81">
        <v>0</v>
      </c>
      <c r="AO152" s="81">
        <v>0</v>
      </c>
      <c r="AP152" s="81">
        <v>0</v>
      </c>
      <c r="AQ152" s="81">
        <v>0</v>
      </c>
      <c r="AR152" s="81">
        <v>0</v>
      </c>
      <c r="AS152" s="81">
        <v>0</v>
      </c>
      <c r="AT152" s="81">
        <v>0</v>
      </c>
      <c r="AU152" s="81">
        <v>0</v>
      </c>
      <c r="AV152" s="81">
        <v>0</v>
      </c>
      <c r="AW152" s="81">
        <v>0</v>
      </c>
      <c r="AX152" s="81">
        <v>0</v>
      </c>
      <c r="AY152" s="81">
        <v>0</v>
      </c>
      <c r="AZ152" s="81">
        <v>0</v>
      </c>
      <c r="BA152" s="81">
        <v>0</v>
      </c>
      <c r="BB152" s="81">
        <v>1</v>
      </c>
      <c r="BC152" s="81">
        <v>0</v>
      </c>
      <c r="BD152" s="81">
        <v>0</v>
      </c>
      <c r="BE152" s="81">
        <v>0</v>
      </c>
      <c r="BF152" s="81">
        <v>0</v>
      </c>
      <c r="BG152" s="81">
        <v>1</v>
      </c>
      <c r="BH152" s="81">
        <v>0</v>
      </c>
      <c r="BI152" s="81">
        <v>0</v>
      </c>
      <c r="BJ152" s="81">
        <v>0</v>
      </c>
      <c r="BK152" s="81">
        <v>0</v>
      </c>
      <c r="BL152" s="81">
        <v>0</v>
      </c>
      <c r="BM152" s="81">
        <v>0</v>
      </c>
      <c r="BN152" s="81">
        <v>0</v>
      </c>
      <c r="BO152" s="81">
        <v>1</v>
      </c>
      <c r="BP152" s="81">
        <v>1</v>
      </c>
      <c r="BQ152" s="81">
        <v>1</v>
      </c>
      <c r="BR152" s="81">
        <v>1</v>
      </c>
      <c r="BS152" s="81">
        <v>1</v>
      </c>
      <c r="BT152" s="81">
        <v>1</v>
      </c>
      <c r="BU152" s="81">
        <v>1</v>
      </c>
      <c r="BV152" s="81">
        <v>1</v>
      </c>
      <c r="BW152" s="81">
        <v>1</v>
      </c>
      <c r="BX152" s="81">
        <v>1</v>
      </c>
      <c r="BY152" s="81">
        <v>1</v>
      </c>
      <c r="BZ152" s="81">
        <v>1</v>
      </c>
      <c r="CA152" s="81">
        <v>1</v>
      </c>
      <c r="CB152" s="81">
        <v>1</v>
      </c>
      <c r="CC152" s="81">
        <v>1</v>
      </c>
      <c r="CD152" s="81">
        <v>1</v>
      </c>
      <c r="CE152" s="81">
        <v>1</v>
      </c>
      <c r="CF152" s="81">
        <v>1</v>
      </c>
      <c r="CG152" s="81">
        <v>1</v>
      </c>
      <c r="CH152" s="81">
        <v>0</v>
      </c>
      <c r="CI152" s="81">
        <v>0</v>
      </c>
      <c r="CJ152" s="81">
        <v>0</v>
      </c>
      <c r="CK152" s="81">
        <v>0</v>
      </c>
      <c r="CL152" s="81">
        <v>0</v>
      </c>
      <c r="CM152" s="81">
        <v>0</v>
      </c>
      <c r="CN152" s="81">
        <v>0</v>
      </c>
      <c r="CO152" s="81">
        <v>2</v>
      </c>
      <c r="CP152" s="81">
        <v>2</v>
      </c>
      <c r="CQ152" s="81">
        <v>1</v>
      </c>
      <c r="CR152" s="81">
        <v>2</v>
      </c>
      <c r="CS152" s="81">
        <v>1</v>
      </c>
      <c r="CT152" s="81">
        <v>1</v>
      </c>
      <c r="CU152" s="81">
        <v>0</v>
      </c>
      <c r="CV152" s="81">
        <v>1</v>
      </c>
      <c r="CW152" s="81">
        <v>1</v>
      </c>
      <c r="CX152" s="81">
        <v>1</v>
      </c>
      <c r="CY152" s="81">
        <v>1</v>
      </c>
      <c r="CZ152" s="81">
        <v>1</v>
      </c>
      <c r="DA152" s="81">
        <v>1</v>
      </c>
    </row>
    <row r="153" spans="1:105" ht="12" customHeight="1" x14ac:dyDescent="0.3">
      <c r="A153" s="81" t="s">
        <v>818</v>
      </c>
      <c r="B153" s="81" t="s">
        <v>1446</v>
      </c>
      <c r="C153" s="81" t="s">
        <v>1452</v>
      </c>
      <c r="D153" s="81" t="s">
        <v>819</v>
      </c>
      <c r="E153" s="81" t="s">
        <v>398</v>
      </c>
      <c r="F153" s="81" t="s">
        <v>398</v>
      </c>
      <c r="G153" s="81"/>
      <c r="H153" s="94">
        <v>17</v>
      </c>
      <c r="I153" s="81" t="s">
        <v>3</v>
      </c>
      <c r="J153" s="81" t="s">
        <v>428</v>
      </c>
      <c r="K153" s="81">
        <v>17</v>
      </c>
      <c r="L153" s="81" t="s">
        <v>411</v>
      </c>
      <c r="M153" s="81" t="s">
        <v>431</v>
      </c>
      <c r="N153" s="81" t="s">
        <v>1430</v>
      </c>
      <c r="O153" s="81" t="s">
        <v>1453</v>
      </c>
      <c r="P153" s="81" t="s">
        <v>414</v>
      </c>
      <c r="Q153" s="81" t="s">
        <v>751</v>
      </c>
      <c r="R153" s="81">
        <v>0</v>
      </c>
      <c r="S153" s="81">
        <v>0</v>
      </c>
      <c r="T153" s="81">
        <v>0</v>
      </c>
      <c r="U153" s="81">
        <v>1</v>
      </c>
      <c r="V153" s="81">
        <v>0</v>
      </c>
      <c r="W153" s="81">
        <v>1</v>
      </c>
      <c r="X153" s="81">
        <v>0</v>
      </c>
      <c r="Y153" s="81">
        <v>0</v>
      </c>
      <c r="Z153" s="81">
        <v>0</v>
      </c>
      <c r="AA153" s="81">
        <v>1</v>
      </c>
      <c r="AB153" s="81">
        <v>0</v>
      </c>
      <c r="AC153" s="81">
        <v>0</v>
      </c>
      <c r="AD153" s="81">
        <v>0</v>
      </c>
      <c r="AE153" s="81">
        <v>0</v>
      </c>
      <c r="AF153" s="81">
        <v>0</v>
      </c>
      <c r="AG153" s="81">
        <v>1</v>
      </c>
      <c r="AH153" s="81">
        <v>0</v>
      </c>
      <c r="AI153" s="81">
        <v>0</v>
      </c>
      <c r="AJ153" s="81">
        <v>0</v>
      </c>
      <c r="AK153" s="81">
        <v>0</v>
      </c>
      <c r="AL153" s="81">
        <v>0</v>
      </c>
      <c r="AM153" s="81">
        <v>1</v>
      </c>
      <c r="AN153" s="81">
        <v>0</v>
      </c>
      <c r="AO153" s="81">
        <v>0</v>
      </c>
      <c r="AP153" s="81">
        <v>0</v>
      </c>
      <c r="AQ153" s="81">
        <v>0</v>
      </c>
      <c r="AR153" s="81">
        <v>0</v>
      </c>
      <c r="AS153" s="81">
        <v>0</v>
      </c>
      <c r="AT153" s="81">
        <v>0</v>
      </c>
      <c r="AU153" s="81">
        <v>0</v>
      </c>
      <c r="AV153" s="81">
        <v>0</v>
      </c>
      <c r="AW153" s="81">
        <v>0</v>
      </c>
      <c r="AX153" s="81">
        <v>0</v>
      </c>
      <c r="AY153" s="81">
        <v>0</v>
      </c>
      <c r="AZ153" s="81">
        <v>0</v>
      </c>
      <c r="BA153" s="81">
        <v>0</v>
      </c>
      <c r="BB153" s="81">
        <v>1</v>
      </c>
      <c r="BC153" s="81">
        <v>0</v>
      </c>
      <c r="BD153" s="81">
        <v>0</v>
      </c>
      <c r="BE153" s="81">
        <v>0</v>
      </c>
      <c r="BF153" s="81">
        <v>0</v>
      </c>
      <c r="BG153" s="81">
        <v>1</v>
      </c>
      <c r="BH153" s="81">
        <v>0</v>
      </c>
      <c r="BI153" s="81">
        <v>0</v>
      </c>
      <c r="BJ153" s="81">
        <v>0</v>
      </c>
      <c r="BK153" s="81">
        <v>0</v>
      </c>
      <c r="BL153" s="81">
        <v>0</v>
      </c>
      <c r="BM153" s="81">
        <v>0</v>
      </c>
      <c r="BN153" s="81">
        <v>0</v>
      </c>
      <c r="BO153" s="81">
        <v>1</v>
      </c>
      <c r="BP153" s="81">
        <v>1</v>
      </c>
      <c r="BQ153" s="81">
        <v>1</v>
      </c>
      <c r="BR153" s="81">
        <v>1</v>
      </c>
      <c r="BS153" s="81">
        <v>1</v>
      </c>
      <c r="BT153" s="81">
        <v>1</v>
      </c>
      <c r="BU153" s="81">
        <v>1</v>
      </c>
      <c r="BV153" s="81">
        <v>1</v>
      </c>
      <c r="BW153" s="81">
        <v>1</v>
      </c>
      <c r="BX153" s="81">
        <v>1</v>
      </c>
      <c r="BY153" s="81">
        <v>1</v>
      </c>
      <c r="BZ153" s="81">
        <v>1</v>
      </c>
      <c r="CA153" s="81">
        <v>1</v>
      </c>
      <c r="CB153" s="81">
        <v>1</v>
      </c>
      <c r="CC153" s="81">
        <v>1</v>
      </c>
      <c r="CD153" s="81">
        <v>1</v>
      </c>
      <c r="CE153" s="81">
        <v>1</v>
      </c>
      <c r="CF153" s="81">
        <v>1</v>
      </c>
      <c r="CG153" s="81">
        <v>1</v>
      </c>
      <c r="CH153" s="81">
        <v>0</v>
      </c>
      <c r="CI153" s="81">
        <v>0</v>
      </c>
      <c r="CJ153" s="81">
        <v>0</v>
      </c>
      <c r="CK153" s="81">
        <v>0</v>
      </c>
      <c r="CL153" s="81">
        <v>0</v>
      </c>
      <c r="CM153" s="81">
        <v>0</v>
      </c>
      <c r="CN153" s="81">
        <v>0</v>
      </c>
      <c r="CO153" s="81">
        <v>2</v>
      </c>
      <c r="CP153" s="81">
        <v>2</v>
      </c>
      <c r="CQ153" s="81">
        <v>1</v>
      </c>
      <c r="CR153" s="81">
        <v>2</v>
      </c>
      <c r="CS153" s="81">
        <v>1</v>
      </c>
      <c r="CT153" s="81">
        <v>1</v>
      </c>
      <c r="CU153" s="81">
        <v>0</v>
      </c>
      <c r="CV153" s="81">
        <v>1</v>
      </c>
      <c r="CW153" s="81">
        <v>1</v>
      </c>
      <c r="CX153" s="81">
        <v>1</v>
      </c>
      <c r="CY153" s="81">
        <v>1</v>
      </c>
      <c r="CZ153" s="81">
        <v>1</v>
      </c>
      <c r="DA153" s="81">
        <v>1</v>
      </c>
    </row>
    <row r="154" spans="1:105" ht="12" customHeight="1" x14ac:dyDescent="0.3">
      <c r="A154" s="81" t="s">
        <v>820</v>
      </c>
      <c r="B154" s="81" t="s">
        <v>1446</v>
      </c>
      <c r="C154" s="81" t="s">
        <v>1452</v>
      </c>
      <c r="D154" s="81" t="s">
        <v>821</v>
      </c>
      <c r="E154" s="81" t="s">
        <v>398</v>
      </c>
      <c r="F154" s="81" t="s">
        <v>398</v>
      </c>
      <c r="G154" s="81"/>
      <c r="H154" s="94">
        <v>17</v>
      </c>
      <c r="I154" s="81" t="s">
        <v>3</v>
      </c>
      <c r="J154" s="81" t="s">
        <v>428</v>
      </c>
      <c r="K154" s="81">
        <v>17</v>
      </c>
      <c r="L154" s="81" t="s">
        <v>411</v>
      </c>
      <c r="M154" s="81" t="s">
        <v>431</v>
      </c>
      <c r="N154" s="81" t="s">
        <v>1430</v>
      </c>
      <c r="O154" s="81" t="s">
        <v>1453</v>
      </c>
      <c r="P154" s="81" t="s">
        <v>414</v>
      </c>
      <c r="Q154" s="81" t="s">
        <v>751</v>
      </c>
      <c r="R154" s="81">
        <v>0</v>
      </c>
      <c r="S154" s="81">
        <v>0</v>
      </c>
      <c r="T154" s="81">
        <v>0</v>
      </c>
      <c r="U154" s="81">
        <v>1</v>
      </c>
      <c r="V154" s="81">
        <v>0</v>
      </c>
      <c r="W154" s="81">
        <v>1</v>
      </c>
      <c r="X154" s="81">
        <v>0</v>
      </c>
      <c r="Y154" s="81">
        <v>0</v>
      </c>
      <c r="Z154" s="81">
        <v>0</v>
      </c>
      <c r="AA154" s="81">
        <v>1</v>
      </c>
      <c r="AB154" s="81">
        <v>0</v>
      </c>
      <c r="AC154" s="81">
        <v>0</v>
      </c>
      <c r="AD154" s="81">
        <v>0</v>
      </c>
      <c r="AE154" s="81">
        <v>0</v>
      </c>
      <c r="AF154" s="81">
        <v>0</v>
      </c>
      <c r="AG154" s="81">
        <v>1</v>
      </c>
      <c r="AH154" s="81">
        <v>0</v>
      </c>
      <c r="AI154" s="81">
        <v>0</v>
      </c>
      <c r="AJ154" s="81">
        <v>0</v>
      </c>
      <c r="AK154" s="81">
        <v>0</v>
      </c>
      <c r="AL154" s="81">
        <v>0</v>
      </c>
      <c r="AM154" s="81">
        <v>1</v>
      </c>
      <c r="AN154" s="81">
        <v>0</v>
      </c>
      <c r="AO154" s="81">
        <v>0</v>
      </c>
      <c r="AP154" s="81">
        <v>0</v>
      </c>
      <c r="AQ154" s="81">
        <v>0</v>
      </c>
      <c r="AR154" s="81">
        <v>0</v>
      </c>
      <c r="AS154" s="81">
        <v>0</v>
      </c>
      <c r="AT154" s="81">
        <v>0</v>
      </c>
      <c r="AU154" s="81">
        <v>0</v>
      </c>
      <c r="AV154" s="81">
        <v>0</v>
      </c>
      <c r="AW154" s="81">
        <v>0</v>
      </c>
      <c r="AX154" s="81">
        <v>0</v>
      </c>
      <c r="AY154" s="81">
        <v>0</v>
      </c>
      <c r="AZ154" s="81">
        <v>0</v>
      </c>
      <c r="BA154" s="81">
        <v>0</v>
      </c>
      <c r="BB154" s="81">
        <v>1</v>
      </c>
      <c r="BC154" s="81">
        <v>0</v>
      </c>
      <c r="BD154" s="81">
        <v>0</v>
      </c>
      <c r="BE154" s="81">
        <v>0</v>
      </c>
      <c r="BF154" s="81">
        <v>0</v>
      </c>
      <c r="BG154" s="81">
        <v>1</v>
      </c>
      <c r="BH154" s="81">
        <v>0</v>
      </c>
      <c r="BI154" s="81">
        <v>0</v>
      </c>
      <c r="BJ154" s="81">
        <v>0</v>
      </c>
      <c r="BK154" s="81">
        <v>0</v>
      </c>
      <c r="BL154" s="81">
        <v>0</v>
      </c>
      <c r="BM154" s="81">
        <v>0</v>
      </c>
      <c r="BN154" s="81">
        <v>0</v>
      </c>
      <c r="BO154" s="81">
        <v>1</v>
      </c>
      <c r="BP154" s="81">
        <v>1</v>
      </c>
      <c r="BQ154" s="81">
        <v>1</v>
      </c>
      <c r="BR154" s="81">
        <v>1</v>
      </c>
      <c r="BS154" s="81">
        <v>1</v>
      </c>
      <c r="BT154" s="81">
        <v>1</v>
      </c>
      <c r="BU154" s="81">
        <v>1</v>
      </c>
      <c r="BV154" s="81">
        <v>1</v>
      </c>
      <c r="BW154" s="81">
        <v>1</v>
      </c>
      <c r="BX154" s="81">
        <v>1</v>
      </c>
      <c r="BY154" s="81">
        <v>1</v>
      </c>
      <c r="BZ154" s="81">
        <v>1</v>
      </c>
      <c r="CA154" s="81">
        <v>1</v>
      </c>
      <c r="CB154" s="81">
        <v>1</v>
      </c>
      <c r="CC154" s="81">
        <v>1</v>
      </c>
      <c r="CD154" s="81">
        <v>1</v>
      </c>
      <c r="CE154" s="81">
        <v>1</v>
      </c>
      <c r="CF154" s="81">
        <v>1</v>
      </c>
      <c r="CG154" s="81">
        <v>1</v>
      </c>
      <c r="CH154" s="81">
        <v>0</v>
      </c>
      <c r="CI154" s="81">
        <v>0</v>
      </c>
      <c r="CJ154" s="81">
        <v>0</v>
      </c>
      <c r="CK154" s="81">
        <v>0</v>
      </c>
      <c r="CL154" s="81">
        <v>0</v>
      </c>
      <c r="CM154" s="81">
        <v>0</v>
      </c>
      <c r="CN154" s="81">
        <v>0</v>
      </c>
      <c r="CO154" s="81">
        <v>2</v>
      </c>
      <c r="CP154" s="81">
        <v>2</v>
      </c>
      <c r="CQ154" s="81">
        <v>1</v>
      </c>
      <c r="CR154" s="81">
        <v>2</v>
      </c>
      <c r="CS154" s="81">
        <v>1</v>
      </c>
      <c r="CT154" s="81">
        <v>1</v>
      </c>
      <c r="CU154" s="81">
        <v>0</v>
      </c>
      <c r="CV154" s="81">
        <v>1</v>
      </c>
      <c r="CW154" s="81">
        <v>1</v>
      </c>
      <c r="CX154" s="81">
        <v>1</v>
      </c>
      <c r="CY154" s="81">
        <v>1</v>
      </c>
      <c r="CZ154" s="81">
        <v>1</v>
      </c>
      <c r="DA154" s="81">
        <v>1</v>
      </c>
    </row>
    <row r="155" spans="1:105" ht="12" customHeight="1" x14ac:dyDescent="0.3">
      <c r="A155" s="81" t="s">
        <v>822</v>
      </c>
      <c r="B155" s="81" t="s">
        <v>1446</v>
      </c>
      <c r="C155" s="81" t="s">
        <v>1452</v>
      </c>
      <c r="D155" s="81" t="s">
        <v>823</v>
      </c>
      <c r="E155" s="81" t="s">
        <v>398</v>
      </c>
      <c r="F155" s="81" t="s">
        <v>398</v>
      </c>
      <c r="G155" s="81"/>
      <c r="H155" s="94">
        <v>17</v>
      </c>
      <c r="I155" s="81" t="s">
        <v>3</v>
      </c>
      <c r="J155" s="81" t="s">
        <v>428</v>
      </c>
      <c r="K155" s="81">
        <v>17</v>
      </c>
      <c r="L155" s="81" t="s">
        <v>411</v>
      </c>
      <c r="M155" s="81" t="s">
        <v>431</v>
      </c>
      <c r="N155" s="81" t="s">
        <v>1430</v>
      </c>
      <c r="O155" s="81" t="s">
        <v>1453</v>
      </c>
      <c r="P155" s="81" t="s">
        <v>414</v>
      </c>
      <c r="Q155" s="81" t="s">
        <v>751</v>
      </c>
      <c r="R155" s="81">
        <v>0</v>
      </c>
      <c r="S155" s="81">
        <v>0</v>
      </c>
      <c r="T155" s="81">
        <v>0</v>
      </c>
      <c r="U155" s="81">
        <v>1</v>
      </c>
      <c r="V155" s="81">
        <v>0</v>
      </c>
      <c r="W155" s="81">
        <v>1</v>
      </c>
      <c r="X155" s="81">
        <v>0</v>
      </c>
      <c r="Y155" s="81">
        <v>0</v>
      </c>
      <c r="Z155" s="81">
        <v>0</v>
      </c>
      <c r="AA155" s="81">
        <v>1</v>
      </c>
      <c r="AB155" s="81">
        <v>0</v>
      </c>
      <c r="AC155" s="81">
        <v>0</v>
      </c>
      <c r="AD155" s="81">
        <v>0</v>
      </c>
      <c r="AE155" s="81">
        <v>0</v>
      </c>
      <c r="AF155" s="81">
        <v>0</v>
      </c>
      <c r="AG155" s="81">
        <v>1</v>
      </c>
      <c r="AH155" s="81">
        <v>0</v>
      </c>
      <c r="AI155" s="81">
        <v>0</v>
      </c>
      <c r="AJ155" s="81">
        <v>0</v>
      </c>
      <c r="AK155" s="81">
        <v>0</v>
      </c>
      <c r="AL155" s="81">
        <v>0</v>
      </c>
      <c r="AM155" s="81">
        <v>1</v>
      </c>
      <c r="AN155" s="81">
        <v>0</v>
      </c>
      <c r="AO155" s="81">
        <v>0</v>
      </c>
      <c r="AP155" s="81">
        <v>0</v>
      </c>
      <c r="AQ155" s="81">
        <v>0</v>
      </c>
      <c r="AR155" s="81">
        <v>0</v>
      </c>
      <c r="AS155" s="81">
        <v>0</v>
      </c>
      <c r="AT155" s="81">
        <v>0</v>
      </c>
      <c r="AU155" s="81">
        <v>0</v>
      </c>
      <c r="AV155" s="81">
        <v>0</v>
      </c>
      <c r="AW155" s="81">
        <v>0</v>
      </c>
      <c r="AX155" s="81">
        <v>0</v>
      </c>
      <c r="AY155" s="81">
        <v>0</v>
      </c>
      <c r="AZ155" s="81">
        <v>0</v>
      </c>
      <c r="BA155" s="81">
        <v>0</v>
      </c>
      <c r="BB155" s="81">
        <v>1</v>
      </c>
      <c r="BC155" s="81">
        <v>0</v>
      </c>
      <c r="BD155" s="81">
        <v>0</v>
      </c>
      <c r="BE155" s="81">
        <v>0</v>
      </c>
      <c r="BF155" s="81">
        <v>0</v>
      </c>
      <c r="BG155" s="81">
        <v>1</v>
      </c>
      <c r="BH155" s="81">
        <v>0</v>
      </c>
      <c r="BI155" s="81">
        <v>0</v>
      </c>
      <c r="BJ155" s="81">
        <v>0</v>
      </c>
      <c r="BK155" s="81">
        <v>0</v>
      </c>
      <c r="BL155" s="81">
        <v>0</v>
      </c>
      <c r="BM155" s="81">
        <v>0</v>
      </c>
      <c r="BN155" s="81">
        <v>0</v>
      </c>
      <c r="BO155" s="81">
        <v>1</v>
      </c>
      <c r="BP155" s="81">
        <v>1</v>
      </c>
      <c r="BQ155" s="81">
        <v>1</v>
      </c>
      <c r="BR155" s="81">
        <v>1</v>
      </c>
      <c r="BS155" s="81">
        <v>1</v>
      </c>
      <c r="BT155" s="81">
        <v>1</v>
      </c>
      <c r="BU155" s="81">
        <v>1</v>
      </c>
      <c r="BV155" s="81">
        <v>1</v>
      </c>
      <c r="BW155" s="81">
        <v>1</v>
      </c>
      <c r="BX155" s="81">
        <v>1</v>
      </c>
      <c r="BY155" s="81">
        <v>1</v>
      </c>
      <c r="BZ155" s="81">
        <v>1</v>
      </c>
      <c r="CA155" s="81">
        <v>1</v>
      </c>
      <c r="CB155" s="81">
        <v>1</v>
      </c>
      <c r="CC155" s="81">
        <v>1</v>
      </c>
      <c r="CD155" s="81">
        <v>1</v>
      </c>
      <c r="CE155" s="81">
        <v>1</v>
      </c>
      <c r="CF155" s="81">
        <v>1</v>
      </c>
      <c r="CG155" s="81">
        <v>1</v>
      </c>
      <c r="CH155" s="81">
        <v>0</v>
      </c>
      <c r="CI155" s="81">
        <v>0</v>
      </c>
      <c r="CJ155" s="81">
        <v>0</v>
      </c>
      <c r="CK155" s="81">
        <v>0</v>
      </c>
      <c r="CL155" s="81">
        <v>0</v>
      </c>
      <c r="CM155" s="81">
        <v>0</v>
      </c>
      <c r="CN155" s="81">
        <v>0</v>
      </c>
      <c r="CO155" s="81">
        <v>2</v>
      </c>
      <c r="CP155" s="81">
        <v>2</v>
      </c>
      <c r="CQ155" s="81">
        <v>1</v>
      </c>
      <c r="CR155" s="81">
        <v>2</v>
      </c>
      <c r="CS155" s="81">
        <v>1</v>
      </c>
      <c r="CT155" s="81">
        <v>1</v>
      </c>
      <c r="CU155" s="81">
        <v>0</v>
      </c>
      <c r="CV155" s="81">
        <v>1</v>
      </c>
      <c r="CW155" s="81">
        <v>1</v>
      </c>
      <c r="CX155" s="81">
        <v>1</v>
      </c>
      <c r="CY155" s="81">
        <v>1</v>
      </c>
      <c r="CZ155" s="81">
        <v>1</v>
      </c>
      <c r="DA155" s="81">
        <v>1</v>
      </c>
    </row>
    <row r="156" spans="1:105" ht="12" customHeight="1" x14ac:dyDescent="0.3">
      <c r="A156" s="81" t="s">
        <v>824</v>
      </c>
      <c r="B156" s="81" t="s">
        <v>1446</v>
      </c>
      <c r="C156" s="81" t="s">
        <v>1452</v>
      </c>
      <c r="D156" s="81" t="s">
        <v>825</v>
      </c>
      <c r="E156" s="81" t="s">
        <v>398</v>
      </c>
      <c r="F156" s="81" t="s">
        <v>398</v>
      </c>
      <c r="G156" s="81"/>
      <c r="H156" s="94">
        <v>17</v>
      </c>
      <c r="I156" s="81" t="s">
        <v>3</v>
      </c>
      <c r="J156" s="81" t="s">
        <v>428</v>
      </c>
      <c r="K156" s="81">
        <v>17</v>
      </c>
      <c r="L156" s="81" t="s">
        <v>411</v>
      </c>
      <c r="M156" s="81" t="s">
        <v>431</v>
      </c>
      <c r="N156" s="81" t="s">
        <v>1430</v>
      </c>
      <c r="O156" s="81" t="s">
        <v>1453</v>
      </c>
      <c r="P156" s="81" t="s">
        <v>414</v>
      </c>
      <c r="Q156" s="81" t="s">
        <v>751</v>
      </c>
      <c r="R156" s="81">
        <v>0</v>
      </c>
      <c r="S156" s="81">
        <v>0</v>
      </c>
      <c r="T156" s="81">
        <v>0</v>
      </c>
      <c r="U156" s="81">
        <v>1</v>
      </c>
      <c r="V156" s="81">
        <v>0</v>
      </c>
      <c r="W156" s="81">
        <v>1</v>
      </c>
      <c r="X156" s="81">
        <v>0</v>
      </c>
      <c r="Y156" s="81">
        <v>0</v>
      </c>
      <c r="Z156" s="81">
        <v>0</v>
      </c>
      <c r="AA156" s="81">
        <v>1</v>
      </c>
      <c r="AB156" s="81">
        <v>0</v>
      </c>
      <c r="AC156" s="81">
        <v>0</v>
      </c>
      <c r="AD156" s="81">
        <v>0</v>
      </c>
      <c r="AE156" s="81">
        <v>0</v>
      </c>
      <c r="AF156" s="81">
        <v>0</v>
      </c>
      <c r="AG156" s="81">
        <v>1</v>
      </c>
      <c r="AH156" s="81">
        <v>0</v>
      </c>
      <c r="AI156" s="81">
        <v>0</v>
      </c>
      <c r="AJ156" s="81">
        <v>0</v>
      </c>
      <c r="AK156" s="81">
        <v>0</v>
      </c>
      <c r="AL156" s="81">
        <v>0</v>
      </c>
      <c r="AM156" s="81">
        <v>1</v>
      </c>
      <c r="AN156" s="81">
        <v>0</v>
      </c>
      <c r="AO156" s="81">
        <v>0</v>
      </c>
      <c r="AP156" s="81">
        <v>0</v>
      </c>
      <c r="AQ156" s="81">
        <v>0</v>
      </c>
      <c r="AR156" s="81">
        <v>0</v>
      </c>
      <c r="AS156" s="81">
        <v>0</v>
      </c>
      <c r="AT156" s="81">
        <v>0</v>
      </c>
      <c r="AU156" s="81">
        <v>0</v>
      </c>
      <c r="AV156" s="81">
        <v>0</v>
      </c>
      <c r="AW156" s="81">
        <v>0</v>
      </c>
      <c r="AX156" s="81">
        <v>0</v>
      </c>
      <c r="AY156" s="81">
        <v>0</v>
      </c>
      <c r="AZ156" s="81">
        <v>0</v>
      </c>
      <c r="BA156" s="81">
        <v>0</v>
      </c>
      <c r="BB156" s="81">
        <v>1</v>
      </c>
      <c r="BC156" s="81">
        <v>0</v>
      </c>
      <c r="BD156" s="81">
        <v>0</v>
      </c>
      <c r="BE156" s="81">
        <v>0</v>
      </c>
      <c r="BF156" s="81">
        <v>0</v>
      </c>
      <c r="BG156" s="81">
        <v>1</v>
      </c>
      <c r="BH156" s="81">
        <v>0</v>
      </c>
      <c r="BI156" s="81">
        <v>0</v>
      </c>
      <c r="BJ156" s="81">
        <v>0</v>
      </c>
      <c r="BK156" s="81">
        <v>0</v>
      </c>
      <c r="BL156" s="81">
        <v>0</v>
      </c>
      <c r="BM156" s="81">
        <v>0</v>
      </c>
      <c r="BN156" s="81">
        <v>0</v>
      </c>
      <c r="BO156" s="81">
        <v>1</v>
      </c>
      <c r="BP156" s="81">
        <v>1</v>
      </c>
      <c r="BQ156" s="81">
        <v>1</v>
      </c>
      <c r="BR156" s="81">
        <v>1</v>
      </c>
      <c r="BS156" s="81">
        <v>1</v>
      </c>
      <c r="BT156" s="81">
        <v>1</v>
      </c>
      <c r="BU156" s="81">
        <v>1</v>
      </c>
      <c r="BV156" s="81">
        <v>1</v>
      </c>
      <c r="BW156" s="81">
        <v>1</v>
      </c>
      <c r="BX156" s="81">
        <v>1</v>
      </c>
      <c r="BY156" s="81">
        <v>1</v>
      </c>
      <c r="BZ156" s="81">
        <v>1</v>
      </c>
      <c r="CA156" s="81">
        <v>1</v>
      </c>
      <c r="CB156" s="81">
        <v>1</v>
      </c>
      <c r="CC156" s="81">
        <v>1</v>
      </c>
      <c r="CD156" s="81">
        <v>1</v>
      </c>
      <c r="CE156" s="81">
        <v>1</v>
      </c>
      <c r="CF156" s="81">
        <v>1</v>
      </c>
      <c r="CG156" s="81">
        <v>1</v>
      </c>
      <c r="CH156" s="81">
        <v>0</v>
      </c>
      <c r="CI156" s="81">
        <v>0</v>
      </c>
      <c r="CJ156" s="81">
        <v>0</v>
      </c>
      <c r="CK156" s="81">
        <v>0</v>
      </c>
      <c r="CL156" s="81">
        <v>0</v>
      </c>
      <c r="CM156" s="81">
        <v>0</v>
      </c>
      <c r="CN156" s="81">
        <v>0</v>
      </c>
      <c r="CO156" s="81">
        <v>2</v>
      </c>
      <c r="CP156" s="81">
        <v>2</v>
      </c>
      <c r="CQ156" s="81">
        <v>1</v>
      </c>
      <c r="CR156" s="81">
        <v>2</v>
      </c>
      <c r="CS156" s="81">
        <v>1</v>
      </c>
      <c r="CT156" s="81">
        <v>1</v>
      </c>
      <c r="CU156" s="81">
        <v>0</v>
      </c>
      <c r="CV156" s="81">
        <v>1</v>
      </c>
      <c r="CW156" s="81">
        <v>1</v>
      </c>
      <c r="CX156" s="81">
        <v>1</v>
      </c>
      <c r="CY156" s="81">
        <v>1</v>
      </c>
      <c r="CZ156" s="81">
        <v>1</v>
      </c>
      <c r="DA156" s="81">
        <v>1</v>
      </c>
    </row>
    <row r="157" spans="1:105" ht="12" customHeight="1" x14ac:dyDescent="0.3">
      <c r="A157" s="81" t="s">
        <v>826</v>
      </c>
      <c r="B157" s="81" t="s">
        <v>1446</v>
      </c>
      <c r="C157" s="81" t="s">
        <v>1452</v>
      </c>
      <c r="D157" s="81" t="s">
        <v>827</v>
      </c>
      <c r="E157" s="81" t="s">
        <v>398</v>
      </c>
      <c r="F157" s="81" t="s">
        <v>398</v>
      </c>
      <c r="G157" s="81"/>
      <c r="H157" s="94">
        <v>17</v>
      </c>
      <c r="I157" s="81" t="s">
        <v>3</v>
      </c>
      <c r="J157" s="81" t="s">
        <v>428</v>
      </c>
      <c r="K157" s="81">
        <v>17</v>
      </c>
      <c r="L157" s="81" t="s">
        <v>411</v>
      </c>
      <c r="M157" s="81" t="s">
        <v>431</v>
      </c>
      <c r="N157" s="81" t="s">
        <v>1430</v>
      </c>
      <c r="O157" s="81" t="s">
        <v>1453</v>
      </c>
      <c r="P157" s="81" t="s">
        <v>414</v>
      </c>
      <c r="Q157" s="81" t="s">
        <v>751</v>
      </c>
      <c r="R157" s="81">
        <v>0</v>
      </c>
      <c r="S157" s="81">
        <v>0</v>
      </c>
      <c r="T157" s="81">
        <v>0</v>
      </c>
      <c r="U157" s="81">
        <v>1</v>
      </c>
      <c r="V157" s="81">
        <v>0</v>
      </c>
      <c r="W157" s="81">
        <v>1</v>
      </c>
      <c r="X157" s="81">
        <v>0</v>
      </c>
      <c r="Y157" s="81">
        <v>0</v>
      </c>
      <c r="Z157" s="81">
        <v>0</v>
      </c>
      <c r="AA157" s="81">
        <v>1</v>
      </c>
      <c r="AB157" s="81">
        <v>0</v>
      </c>
      <c r="AC157" s="81">
        <v>0</v>
      </c>
      <c r="AD157" s="81">
        <v>0</v>
      </c>
      <c r="AE157" s="81">
        <v>0</v>
      </c>
      <c r="AF157" s="81">
        <v>0</v>
      </c>
      <c r="AG157" s="81">
        <v>1</v>
      </c>
      <c r="AH157" s="81">
        <v>0</v>
      </c>
      <c r="AI157" s="81">
        <v>0</v>
      </c>
      <c r="AJ157" s="81">
        <v>0</v>
      </c>
      <c r="AK157" s="81">
        <v>0</v>
      </c>
      <c r="AL157" s="81">
        <v>0</v>
      </c>
      <c r="AM157" s="81">
        <v>1</v>
      </c>
      <c r="AN157" s="81">
        <v>0</v>
      </c>
      <c r="AO157" s="81">
        <v>0</v>
      </c>
      <c r="AP157" s="81">
        <v>0</v>
      </c>
      <c r="AQ157" s="81">
        <v>0</v>
      </c>
      <c r="AR157" s="81">
        <v>0</v>
      </c>
      <c r="AS157" s="81">
        <v>0</v>
      </c>
      <c r="AT157" s="81">
        <v>0</v>
      </c>
      <c r="AU157" s="81">
        <v>0</v>
      </c>
      <c r="AV157" s="81">
        <v>0</v>
      </c>
      <c r="AW157" s="81">
        <v>0</v>
      </c>
      <c r="AX157" s="81">
        <v>0</v>
      </c>
      <c r="AY157" s="81">
        <v>0</v>
      </c>
      <c r="AZ157" s="81">
        <v>0</v>
      </c>
      <c r="BA157" s="81">
        <v>0</v>
      </c>
      <c r="BB157" s="81">
        <v>1</v>
      </c>
      <c r="BC157" s="81">
        <v>0</v>
      </c>
      <c r="BD157" s="81">
        <v>0</v>
      </c>
      <c r="BE157" s="81">
        <v>0</v>
      </c>
      <c r="BF157" s="81">
        <v>0</v>
      </c>
      <c r="BG157" s="81">
        <v>1</v>
      </c>
      <c r="BH157" s="81">
        <v>0</v>
      </c>
      <c r="BI157" s="81">
        <v>0</v>
      </c>
      <c r="BJ157" s="81">
        <v>0</v>
      </c>
      <c r="BK157" s="81">
        <v>0</v>
      </c>
      <c r="BL157" s="81">
        <v>0</v>
      </c>
      <c r="BM157" s="81">
        <v>0</v>
      </c>
      <c r="BN157" s="81">
        <v>0</v>
      </c>
      <c r="BO157" s="81">
        <v>1</v>
      </c>
      <c r="BP157" s="81">
        <v>1</v>
      </c>
      <c r="BQ157" s="81">
        <v>1</v>
      </c>
      <c r="BR157" s="81">
        <v>1</v>
      </c>
      <c r="BS157" s="81">
        <v>1</v>
      </c>
      <c r="BT157" s="81">
        <v>1</v>
      </c>
      <c r="BU157" s="81">
        <v>1</v>
      </c>
      <c r="BV157" s="81">
        <v>1</v>
      </c>
      <c r="BW157" s="81">
        <v>1</v>
      </c>
      <c r="BX157" s="81">
        <v>1</v>
      </c>
      <c r="BY157" s="81">
        <v>1</v>
      </c>
      <c r="BZ157" s="81">
        <v>1</v>
      </c>
      <c r="CA157" s="81">
        <v>1</v>
      </c>
      <c r="CB157" s="81">
        <v>1</v>
      </c>
      <c r="CC157" s="81">
        <v>1</v>
      </c>
      <c r="CD157" s="81">
        <v>1</v>
      </c>
      <c r="CE157" s="81">
        <v>1</v>
      </c>
      <c r="CF157" s="81">
        <v>1</v>
      </c>
      <c r="CG157" s="81">
        <v>1</v>
      </c>
      <c r="CH157" s="81">
        <v>0</v>
      </c>
      <c r="CI157" s="81">
        <v>0</v>
      </c>
      <c r="CJ157" s="81">
        <v>0</v>
      </c>
      <c r="CK157" s="81">
        <v>0</v>
      </c>
      <c r="CL157" s="81">
        <v>0</v>
      </c>
      <c r="CM157" s="81">
        <v>0</v>
      </c>
      <c r="CN157" s="81">
        <v>0</v>
      </c>
      <c r="CO157" s="81">
        <v>2</v>
      </c>
      <c r="CP157" s="81">
        <v>2</v>
      </c>
      <c r="CQ157" s="81">
        <v>1</v>
      </c>
      <c r="CR157" s="81">
        <v>2</v>
      </c>
      <c r="CS157" s="81">
        <v>1</v>
      </c>
      <c r="CT157" s="81">
        <v>1</v>
      </c>
      <c r="CU157" s="81">
        <v>0</v>
      </c>
      <c r="CV157" s="81">
        <v>1</v>
      </c>
      <c r="CW157" s="81">
        <v>1</v>
      </c>
      <c r="CX157" s="81">
        <v>1</v>
      </c>
      <c r="CY157" s="81">
        <v>1</v>
      </c>
      <c r="CZ157" s="81">
        <v>1</v>
      </c>
      <c r="DA157" s="81">
        <v>1</v>
      </c>
    </row>
    <row r="158" spans="1:105" ht="12" customHeight="1" x14ac:dyDescent="0.3">
      <c r="A158" s="81" t="s">
        <v>828</v>
      </c>
      <c r="B158" s="81" t="s">
        <v>1446</v>
      </c>
      <c r="C158" s="81" t="s">
        <v>1452</v>
      </c>
      <c r="D158" s="81" t="s">
        <v>829</v>
      </c>
      <c r="E158" s="81" t="s">
        <v>398</v>
      </c>
      <c r="F158" s="81" t="s">
        <v>398</v>
      </c>
      <c r="G158" s="81"/>
      <c r="H158" s="94">
        <v>17</v>
      </c>
      <c r="I158" s="81" t="s">
        <v>3</v>
      </c>
      <c r="J158" s="81" t="s">
        <v>428</v>
      </c>
      <c r="K158" s="81">
        <v>17</v>
      </c>
      <c r="L158" s="81" t="s">
        <v>411</v>
      </c>
      <c r="M158" s="81" t="s">
        <v>431</v>
      </c>
      <c r="N158" s="81" t="s">
        <v>1430</v>
      </c>
      <c r="O158" s="81" t="s">
        <v>1453</v>
      </c>
      <c r="P158" s="81" t="s">
        <v>414</v>
      </c>
      <c r="Q158" s="81" t="s">
        <v>751</v>
      </c>
      <c r="R158" s="81">
        <v>0</v>
      </c>
      <c r="S158" s="81">
        <v>0</v>
      </c>
      <c r="T158" s="81">
        <v>0</v>
      </c>
      <c r="U158" s="81">
        <v>1</v>
      </c>
      <c r="V158" s="81">
        <v>0</v>
      </c>
      <c r="W158" s="81">
        <v>1</v>
      </c>
      <c r="X158" s="81">
        <v>0</v>
      </c>
      <c r="Y158" s="81">
        <v>0</v>
      </c>
      <c r="Z158" s="81">
        <v>0</v>
      </c>
      <c r="AA158" s="81">
        <v>1</v>
      </c>
      <c r="AB158" s="81">
        <v>0</v>
      </c>
      <c r="AC158" s="81">
        <v>0</v>
      </c>
      <c r="AD158" s="81">
        <v>0</v>
      </c>
      <c r="AE158" s="81">
        <v>0</v>
      </c>
      <c r="AF158" s="81">
        <v>0</v>
      </c>
      <c r="AG158" s="81">
        <v>1</v>
      </c>
      <c r="AH158" s="81">
        <v>0</v>
      </c>
      <c r="AI158" s="81">
        <v>0</v>
      </c>
      <c r="AJ158" s="81">
        <v>0</v>
      </c>
      <c r="AK158" s="81">
        <v>0</v>
      </c>
      <c r="AL158" s="81">
        <v>0</v>
      </c>
      <c r="AM158" s="81">
        <v>1</v>
      </c>
      <c r="AN158" s="81">
        <v>0</v>
      </c>
      <c r="AO158" s="81">
        <v>0</v>
      </c>
      <c r="AP158" s="81">
        <v>0</v>
      </c>
      <c r="AQ158" s="81">
        <v>0</v>
      </c>
      <c r="AR158" s="81">
        <v>0</v>
      </c>
      <c r="AS158" s="81">
        <v>0</v>
      </c>
      <c r="AT158" s="81">
        <v>0</v>
      </c>
      <c r="AU158" s="81">
        <v>0</v>
      </c>
      <c r="AV158" s="81">
        <v>0</v>
      </c>
      <c r="AW158" s="81">
        <v>0</v>
      </c>
      <c r="AX158" s="81">
        <v>0</v>
      </c>
      <c r="AY158" s="81">
        <v>0</v>
      </c>
      <c r="AZ158" s="81">
        <v>0</v>
      </c>
      <c r="BA158" s="81">
        <v>0</v>
      </c>
      <c r="BB158" s="81">
        <v>1</v>
      </c>
      <c r="BC158" s="81">
        <v>0</v>
      </c>
      <c r="BD158" s="81">
        <v>0</v>
      </c>
      <c r="BE158" s="81">
        <v>0</v>
      </c>
      <c r="BF158" s="81">
        <v>0</v>
      </c>
      <c r="BG158" s="81">
        <v>1</v>
      </c>
      <c r="BH158" s="81">
        <v>0</v>
      </c>
      <c r="BI158" s="81">
        <v>0</v>
      </c>
      <c r="BJ158" s="81">
        <v>0</v>
      </c>
      <c r="BK158" s="81">
        <v>0</v>
      </c>
      <c r="BL158" s="81">
        <v>0</v>
      </c>
      <c r="BM158" s="81">
        <v>0</v>
      </c>
      <c r="BN158" s="81">
        <v>0</v>
      </c>
      <c r="BO158" s="81">
        <v>1</v>
      </c>
      <c r="BP158" s="81">
        <v>1</v>
      </c>
      <c r="BQ158" s="81">
        <v>1</v>
      </c>
      <c r="BR158" s="81">
        <v>1</v>
      </c>
      <c r="BS158" s="81">
        <v>1</v>
      </c>
      <c r="BT158" s="81">
        <v>1</v>
      </c>
      <c r="BU158" s="81">
        <v>1</v>
      </c>
      <c r="BV158" s="81">
        <v>1</v>
      </c>
      <c r="BW158" s="81">
        <v>1</v>
      </c>
      <c r="BX158" s="81">
        <v>1</v>
      </c>
      <c r="BY158" s="81">
        <v>1</v>
      </c>
      <c r="BZ158" s="81">
        <v>1</v>
      </c>
      <c r="CA158" s="81">
        <v>1</v>
      </c>
      <c r="CB158" s="81">
        <v>1</v>
      </c>
      <c r="CC158" s="81">
        <v>1</v>
      </c>
      <c r="CD158" s="81">
        <v>1</v>
      </c>
      <c r="CE158" s="81">
        <v>1</v>
      </c>
      <c r="CF158" s="81">
        <v>1</v>
      </c>
      <c r="CG158" s="81">
        <v>1</v>
      </c>
      <c r="CH158" s="81">
        <v>0</v>
      </c>
      <c r="CI158" s="81">
        <v>0</v>
      </c>
      <c r="CJ158" s="81">
        <v>0</v>
      </c>
      <c r="CK158" s="81">
        <v>0</v>
      </c>
      <c r="CL158" s="81">
        <v>0</v>
      </c>
      <c r="CM158" s="81">
        <v>0</v>
      </c>
      <c r="CN158" s="81">
        <v>0</v>
      </c>
      <c r="CO158" s="81">
        <v>2</v>
      </c>
      <c r="CP158" s="81">
        <v>2</v>
      </c>
      <c r="CQ158" s="81">
        <v>1</v>
      </c>
      <c r="CR158" s="81">
        <v>2</v>
      </c>
      <c r="CS158" s="81">
        <v>1</v>
      </c>
      <c r="CT158" s="81">
        <v>1</v>
      </c>
      <c r="CU158" s="81">
        <v>0</v>
      </c>
      <c r="CV158" s="81">
        <v>1</v>
      </c>
      <c r="CW158" s="81">
        <v>1</v>
      </c>
      <c r="CX158" s="81">
        <v>1</v>
      </c>
      <c r="CY158" s="81">
        <v>1</v>
      </c>
      <c r="CZ158" s="81">
        <v>1</v>
      </c>
      <c r="DA158" s="81">
        <v>1</v>
      </c>
    </row>
    <row r="159" spans="1:105" ht="12" customHeight="1" x14ac:dyDescent="0.3">
      <c r="A159" s="81" t="s">
        <v>830</v>
      </c>
      <c r="B159" s="81" t="s">
        <v>1446</v>
      </c>
      <c r="C159" s="81" t="s">
        <v>1452</v>
      </c>
      <c r="D159" s="81" t="s">
        <v>831</v>
      </c>
      <c r="E159" s="81" t="s">
        <v>398</v>
      </c>
      <c r="F159" s="81" t="s">
        <v>398</v>
      </c>
      <c r="G159" s="81"/>
      <c r="H159" s="94">
        <v>17</v>
      </c>
      <c r="I159" s="81" t="s">
        <v>3</v>
      </c>
      <c r="J159" s="81" t="s">
        <v>428</v>
      </c>
      <c r="K159" s="81">
        <v>17</v>
      </c>
      <c r="L159" s="81" t="s">
        <v>411</v>
      </c>
      <c r="M159" s="81" t="s">
        <v>431</v>
      </c>
      <c r="N159" s="81" t="s">
        <v>1430</v>
      </c>
      <c r="O159" s="81" t="s">
        <v>1453</v>
      </c>
      <c r="P159" s="81" t="s">
        <v>414</v>
      </c>
      <c r="Q159" s="81" t="s">
        <v>751</v>
      </c>
      <c r="R159" s="81">
        <v>0</v>
      </c>
      <c r="S159" s="81">
        <v>0</v>
      </c>
      <c r="T159" s="81">
        <v>0</v>
      </c>
      <c r="U159" s="81">
        <v>1</v>
      </c>
      <c r="V159" s="81">
        <v>0</v>
      </c>
      <c r="W159" s="81">
        <v>1</v>
      </c>
      <c r="X159" s="81">
        <v>0</v>
      </c>
      <c r="Y159" s="81">
        <v>0</v>
      </c>
      <c r="Z159" s="81">
        <v>0</v>
      </c>
      <c r="AA159" s="81">
        <v>1</v>
      </c>
      <c r="AB159" s="81">
        <v>0</v>
      </c>
      <c r="AC159" s="81">
        <v>0</v>
      </c>
      <c r="AD159" s="81">
        <v>0</v>
      </c>
      <c r="AE159" s="81">
        <v>0</v>
      </c>
      <c r="AF159" s="81">
        <v>0</v>
      </c>
      <c r="AG159" s="81">
        <v>1</v>
      </c>
      <c r="AH159" s="81">
        <v>0</v>
      </c>
      <c r="AI159" s="81">
        <v>0</v>
      </c>
      <c r="AJ159" s="81">
        <v>0</v>
      </c>
      <c r="AK159" s="81">
        <v>0</v>
      </c>
      <c r="AL159" s="81">
        <v>0</v>
      </c>
      <c r="AM159" s="81">
        <v>1</v>
      </c>
      <c r="AN159" s="81">
        <v>0</v>
      </c>
      <c r="AO159" s="81">
        <v>0</v>
      </c>
      <c r="AP159" s="81">
        <v>0</v>
      </c>
      <c r="AQ159" s="81">
        <v>0</v>
      </c>
      <c r="AR159" s="81">
        <v>0</v>
      </c>
      <c r="AS159" s="81">
        <v>0</v>
      </c>
      <c r="AT159" s="81">
        <v>0</v>
      </c>
      <c r="AU159" s="81">
        <v>0</v>
      </c>
      <c r="AV159" s="81">
        <v>0</v>
      </c>
      <c r="AW159" s="81">
        <v>0</v>
      </c>
      <c r="AX159" s="81">
        <v>0</v>
      </c>
      <c r="AY159" s="81">
        <v>0</v>
      </c>
      <c r="AZ159" s="81">
        <v>0</v>
      </c>
      <c r="BA159" s="81">
        <v>0</v>
      </c>
      <c r="BB159" s="81">
        <v>1</v>
      </c>
      <c r="BC159" s="81">
        <v>0</v>
      </c>
      <c r="BD159" s="81">
        <v>0</v>
      </c>
      <c r="BE159" s="81">
        <v>0</v>
      </c>
      <c r="BF159" s="81">
        <v>0</v>
      </c>
      <c r="BG159" s="81">
        <v>1</v>
      </c>
      <c r="BH159" s="81">
        <v>0</v>
      </c>
      <c r="BI159" s="81">
        <v>0</v>
      </c>
      <c r="BJ159" s="81">
        <v>0</v>
      </c>
      <c r="BK159" s="81">
        <v>0</v>
      </c>
      <c r="BL159" s="81">
        <v>0</v>
      </c>
      <c r="BM159" s="81">
        <v>0</v>
      </c>
      <c r="BN159" s="81">
        <v>0</v>
      </c>
      <c r="BO159" s="81">
        <v>1</v>
      </c>
      <c r="BP159" s="81">
        <v>1</v>
      </c>
      <c r="BQ159" s="81">
        <v>1</v>
      </c>
      <c r="BR159" s="81">
        <v>1</v>
      </c>
      <c r="BS159" s="81">
        <v>1</v>
      </c>
      <c r="BT159" s="81">
        <v>1</v>
      </c>
      <c r="BU159" s="81">
        <v>1</v>
      </c>
      <c r="BV159" s="81">
        <v>1</v>
      </c>
      <c r="BW159" s="81">
        <v>1</v>
      </c>
      <c r="BX159" s="81">
        <v>1</v>
      </c>
      <c r="BY159" s="81">
        <v>1</v>
      </c>
      <c r="BZ159" s="81">
        <v>1</v>
      </c>
      <c r="CA159" s="81">
        <v>1</v>
      </c>
      <c r="CB159" s="81">
        <v>1</v>
      </c>
      <c r="CC159" s="81">
        <v>1</v>
      </c>
      <c r="CD159" s="81">
        <v>1</v>
      </c>
      <c r="CE159" s="81">
        <v>1</v>
      </c>
      <c r="CF159" s="81">
        <v>1</v>
      </c>
      <c r="CG159" s="81">
        <v>1</v>
      </c>
      <c r="CH159" s="81">
        <v>0</v>
      </c>
      <c r="CI159" s="81">
        <v>0</v>
      </c>
      <c r="CJ159" s="81">
        <v>0</v>
      </c>
      <c r="CK159" s="81">
        <v>0</v>
      </c>
      <c r="CL159" s="81">
        <v>0</v>
      </c>
      <c r="CM159" s="81">
        <v>0</v>
      </c>
      <c r="CN159" s="81">
        <v>0</v>
      </c>
      <c r="CO159" s="81">
        <v>2</v>
      </c>
      <c r="CP159" s="81">
        <v>2</v>
      </c>
      <c r="CQ159" s="81">
        <v>1</v>
      </c>
      <c r="CR159" s="81">
        <v>2</v>
      </c>
      <c r="CS159" s="81">
        <v>1</v>
      </c>
      <c r="CT159" s="81">
        <v>1</v>
      </c>
      <c r="CU159" s="81">
        <v>0</v>
      </c>
      <c r="CV159" s="81">
        <v>1</v>
      </c>
      <c r="CW159" s="81">
        <v>1</v>
      </c>
      <c r="CX159" s="81">
        <v>1</v>
      </c>
      <c r="CY159" s="81">
        <v>1</v>
      </c>
      <c r="CZ159" s="81">
        <v>1</v>
      </c>
      <c r="DA159" s="81">
        <v>1</v>
      </c>
    </row>
    <row r="160" spans="1:105" ht="12" customHeight="1" x14ac:dyDescent="0.3">
      <c r="A160" s="81" t="s">
        <v>832</v>
      </c>
      <c r="B160" s="81" t="s">
        <v>1446</v>
      </c>
      <c r="C160" s="81" t="s">
        <v>1452</v>
      </c>
      <c r="D160" s="81" t="s">
        <v>833</v>
      </c>
      <c r="E160" s="81" t="s">
        <v>398</v>
      </c>
      <c r="F160" s="81" t="s">
        <v>398</v>
      </c>
      <c r="G160" s="81"/>
      <c r="H160" s="94">
        <v>17</v>
      </c>
      <c r="I160" s="81" t="s">
        <v>3</v>
      </c>
      <c r="J160" s="81" t="s">
        <v>428</v>
      </c>
      <c r="K160" s="81">
        <v>17</v>
      </c>
      <c r="L160" s="81" t="s">
        <v>411</v>
      </c>
      <c r="M160" s="81" t="s">
        <v>431</v>
      </c>
      <c r="N160" s="81" t="s">
        <v>1430</v>
      </c>
      <c r="O160" s="81" t="s">
        <v>1453</v>
      </c>
      <c r="P160" s="81" t="s">
        <v>414</v>
      </c>
      <c r="Q160" s="81" t="s">
        <v>751</v>
      </c>
      <c r="R160" s="81">
        <v>0</v>
      </c>
      <c r="S160" s="81">
        <v>0</v>
      </c>
      <c r="T160" s="81">
        <v>0</v>
      </c>
      <c r="U160" s="81">
        <v>1</v>
      </c>
      <c r="V160" s="81">
        <v>0</v>
      </c>
      <c r="W160" s="81">
        <v>1</v>
      </c>
      <c r="X160" s="81">
        <v>0</v>
      </c>
      <c r="Y160" s="81">
        <v>0</v>
      </c>
      <c r="Z160" s="81">
        <v>0</v>
      </c>
      <c r="AA160" s="81">
        <v>1</v>
      </c>
      <c r="AB160" s="81">
        <v>0</v>
      </c>
      <c r="AC160" s="81">
        <v>0</v>
      </c>
      <c r="AD160" s="81">
        <v>0</v>
      </c>
      <c r="AE160" s="81">
        <v>0</v>
      </c>
      <c r="AF160" s="81">
        <v>0</v>
      </c>
      <c r="AG160" s="81">
        <v>1</v>
      </c>
      <c r="AH160" s="81">
        <v>0</v>
      </c>
      <c r="AI160" s="81">
        <v>0</v>
      </c>
      <c r="AJ160" s="81">
        <v>0</v>
      </c>
      <c r="AK160" s="81">
        <v>0</v>
      </c>
      <c r="AL160" s="81">
        <v>0</v>
      </c>
      <c r="AM160" s="81">
        <v>1</v>
      </c>
      <c r="AN160" s="81">
        <v>0</v>
      </c>
      <c r="AO160" s="81">
        <v>0</v>
      </c>
      <c r="AP160" s="81">
        <v>0</v>
      </c>
      <c r="AQ160" s="81">
        <v>0</v>
      </c>
      <c r="AR160" s="81">
        <v>0</v>
      </c>
      <c r="AS160" s="81">
        <v>0</v>
      </c>
      <c r="AT160" s="81">
        <v>0</v>
      </c>
      <c r="AU160" s="81">
        <v>0</v>
      </c>
      <c r="AV160" s="81">
        <v>0</v>
      </c>
      <c r="AW160" s="81">
        <v>0</v>
      </c>
      <c r="AX160" s="81">
        <v>0</v>
      </c>
      <c r="AY160" s="81">
        <v>0</v>
      </c>
      <c r="AZ160" s="81">
        <v>0</v>
      </c>
      <c r="BA160" s="81">
        <v>0</v>
      </c>
      <c r="BB160" s="81">
        <v>1</v>
      </c>
      <c r="BC160" s="81">
        <v>0</v>
      </c>
      <c r="BD160" s="81">
        <v>0</v>
      </c>
      <c r="BE160" s="81">
        <v>0</v>
      </c>
      <c r="BF160" s="81">
        <v>0</v>
      </c>
      <c r="BG160" s="81">
        <v>1</v>
      </c>
      <c r="BH160" s="81">
        <v>0</v>
      </c>
      <c r="BI160" s="81">
        <v>0</v>
      </c>
      <c r="BJ160" s="81">
        <v>0</v>
      </c>
      <c r="BK160" s="81">
        <v>0</v>
      </c>
      <c r="BL160" s="81">
        <v>0</v>
      </c>
      <c r="BM160" s="81">
        <v>0</v>
      </c>
      <c r="BN160" s="81">
        <v>0</v>
      </c>
      <c r="BO160" s="81">
        <v>1</v>
      </c>
      <c r="BP160" s="81">
        <v>1</v>
      </c>
      <c r="BQ160" s="81">
        <v>1</v>
      </c>
      <c r="BR160" s="81">
        <v>1</v>
      </c>
      <c r="BS160" s="81">
        <v>1</v>
      </c>
      <c r="BT160" s="81">
        <v>1</v>
      </c>
      <c r="BU160" s="81">
        <v>1</v>
      </c>
      <c r="BV160" s="81">
        <v>1</v>
      </c>
      <c r="BW160" s="81">
        <v>1</v>
      </c>
      <c r="BX160" s="81">
        <v>1</v>
      </c>
      <c r="BY160" s="81">
        <v>1</v>
      </c>
      <c r="BZ160" s="81">
        <v>1</v>
      </c>
      <c r="CA160" s="81">
        <v>1</v>
      </c>
      <c r="CB160" s="81">
        <v>1</v>
      </c>
      <c r="CC160" s="81">
        <v>1</v>
      </c>
      <c r="CD160" s="81">
        <v>1</v>
      </c>
      <c r="CE160" s="81">
        <v>1</v>
      </c>
      <c r="CF160" s="81">
        <v>1</v>
      </c>
      <c r="CG160" s="81">
        <v>1</v>
      </c>
      <c r="CH160" s="81">
        <v>0</v>
      </c>
      <c r="CI160" s="81">
        <v>0</v>
      </c>
      <c r="CJ160" s="81">
        <v>0</v>
      </c>
      <c r="CK160" s="81">
        <v>0</v>
      </c>
      <c r="CL160" s="81">
        <v>0</v>
      </c>
      <c r="CM160" s="81">
        <v>0</v>
      </c>
      <c r="CN160" s="81">
        <v>0</v>
      </c>
      <c r="CO160" s="81">
        <v>2</v>
      </c>
      <c r="CP160" s="81">
        <v>2</v>
      </c>
      <c r="CQ160" s="81">
        <v>1</v>
      </c>
      <c r="CR160" s="81">
        <v>2</v>
      </c>
      <c r="CS160" s="81">
        <v>1</v>
      </c>
      <c r="CT160" s="81">
        <v>1</v>
      </c>
      <c r="CU160" s="81">
        <v>0</v>
      </c>
      <c r="CV160" s="81">
        <v>1</v>
      </c>
      <c r="CW160" s="81">
        <v>1</v>
      </c>
      <c r="CX160" s="81">
        <v>1</v>
      </c>
      <c r="CY160" s="81">
        <v>1</v>
      </c>
      <c r="CZ160" s="81">
        <v>1</v>
      </c>
      <c r="DA160" s="81">
        <v>1</v>
      </c>
    </row>
    <row r="161" spans="1:105" ht="12" customHeight="1" x14ac:dyDescent="0.3">
      <c r="A161" s="81" t="s">
        <v>834</v>
      </c>
      <c r="B161" s="81" t="s">
        <v>1446</v>
      </c>
      <c r="C161" s="81" t="s">
        <v>1452</v>
      </c>
      <c r="D161" s="81" t="s">
        <v>835</v>
      </c>
      <c r="E161" s="81" t="s">
        <v>398</v>
      </c>
      <c r="F161" s="81" t="s">
        <v>398</v>
      </c>
      <c r="G161" s="81"/>
      <c r="H161" s="94">
        <v>17</v>
      </c>
      <c r="I161" s="81" t="s">
        <v>3</v>
      </c>
      <c r="J161" s="81" t="s">
        <v>428</v>
      </c>
      <c r="K161" s="81">
        <v>17</v>
      </c>
      <c r="L161" s="81" t="s">
        <v>411</v>
      </c>
      <c r="M161" s="81" t="s">
        <v>431</v>
      </c>
      <c r="N161" s="81" t="s">
        <v>1430</v>
      </c>
      <c r="O161" s="81" t="s">
        <v>1453</v>
      </c>
      <c r="P161" s="81" t="s">
        <v>414</v>
      </c>
      <c r="Q161" s="81" t="s">
        <v>751</v>
      </c>
      <c r="R161" s="81">
        <v>0</v>
      </c>
      <c r="S161" s="81">
        <v>0</v>
      </c>
      <c r="T161" s="81">
        <v>0</v>
      </c>
      <c r="U161" s="81">
        <v>1</v>
      </c>
      <c r="V161" s="81">
        <v>0</v>
      </c>
      <c r="W161" s="81">
        <v>1</v>
      </c>
      <c r="X161" s="81">
        <v>0</v>
      </c>
      <c r="Y161" s="81">
        <v>0</v>
      </c>
      <c r="Z161" s="81">
        <v>0</v>
      </c>
      <c r="AA161" s="81">
        <v>1</v>
      </c>
      <c r="AB161" s="81">
        <v>0</v>
      </c>
      <c r="AC161" s="81">
        <v>0</v>
      </c>
      <c r="AD161" s="81">
        <v>0</v>
      </c>
      <c r="AE161" s="81">
        <v>0</v>
      </c>
      <c r="AF161" s="81">
        <v>0</v>
      </c>
      <c r="AG161" s="81">
        <v>1</v>
      </c>
      <c r="AH161" s="81">
        <v>0</v>
      </c>
      <c r="AI161" s="81">
        <v>0</v>
      </c>
      <c r="AJ161" s="81">
        <v>0</v>
      </c>
      <c r="AK161" s="81">
        <v>0</v>
      </c>
      <c r="AL161" s="81">
        <v>0</v>
      </c>
      <c r="AM161" s="81">
        <v>1</v>
      </c>
      <c r="AN161" s="81">
        <v>0</v>
      </c>
      <c r="AO161" s="81">
        <v>0</v>
      </c>
      <c r="AP161" s="81">
        <v>0</v>
      </c>
      <c r="AQ161" s="81">
        <v>0</v>
      </c>
      <c r="AR161" s="81">
        <v>0</v>
      </c>
      <c r="AS161" s="81">
        <v>0</v>
      </c>
      <c r="AT161" s="81">
        <v>0</v>
      </c>
      <c r="AU161" s="81">
        <v>0</v>
      </c>
      <c r="AV161" s="81">
        <v>0</v>
      </c>
      <c r="AW161" s="81">
        <v>0</v>
      </c>
      <c r="AX161" s="81">
        <v>0</v>
      </c>
      <c r="AY161" s="81">
        <v>0</v>
      </c>
      <c r="AZ161" s="81">
        <v>0</v>
      </c>
      <c r="BA161" s="81">
        <v>0</v>
      </c>
      <c r="BB161" s="81">
        <v>1</v>
      </c>
      <c r="BC161" s="81">
        <v>0</v>
      </c>
      <c r="BD161" s="81">
        <v>0</v>
      </c>
      <c r="BE161" s="81">
        <v>0</v>
      </c>
      <c r="BF161" s="81">
        <v>0</v>
      </c>
      <c r="BG161" s="81">
        <v>1</v>
      </c>
      <c r="BH161" s="81">
        <v>0</v>
      </c>
      <c r="BI161" s="81">
        <v>0</v>
      </c>
      <c r="BJ161" s="81">
        <v>0</v>
      </c>
      <c r="BK161" s="81">
        <v>0</v>
      </c>
      <c r="BL161" s="81">
        <v>0</v>
      </c>
      <c r="BM161" s="81">
        <v>0</v>
      </c>
      <c r="BN161" s="81">
        <v>0</v>
      </c>
      <c r="BO161" s="81">
        <v>1</v>
      </c>
      <c r="BP161" s="81">
        <v>1</v>
      </c>
      <c r="BQ161" s="81">
        <v>1</v>
      </c>
      <c r="BR161" s="81">
        <v>1</v>
      </c>
      <c r="BS161" s="81">
        <v>1</v>
      </c>
      <c r="BT161" s="81">
        <v>1</v>
      </c>
      <c r="BU161" s="81">
        <v>1</v>
      </c>
      <c r="BV161" s="81">
        <v>1</v>
      </c>
      <c r="BW161" s="81">
        <v>1</v>
      </c>
      <c r="BX161" s="81">
        <v>1</v>
      </c>
      <c r="BY161" s="81">
        <v>1</v>
      </c>
      <c r="BZ161" s="81">
        <v>1</v>
      </c>
      <c r="CA161" s="81">
        <v>1</v>
      </c>
      <c r="CB161" s="81">
        <v>1</v>
      </c>
      <c r="CC161" s="81">
        <v>1</v>
      </c>
      <c r="CD161" s="81">
        <v>1</v>
      </c>
      <c r="CE161" s="81">
        <v>1</v>
      </c>
      <c r="CF161" s="81">
        <v>1</v>
      </c>
      <c r="CG161" s="81">
        <v>1</v>
      </c>
      <c r="CH161" s="81">
        <v>0</v>
      </c>
      <c r="CI161" s="81">
        <v>0</v>
      </c>
      <c r="CJ161" s="81">
        <v>0</v>
      </c>
      <c r="CK161" s="81">
        <v>0</v>
      </c>
      <c r="CL161" s="81">
        <v>0</v>
      </c>
      <c r="CM161" s="81">
        <v>0</v>
      </c>
      <c r="CN161" s="81">
        <v>0</v>
      </c>
      <c r="CO161" s="81">
        <v>2</v>
      </c>
      <c r="CP161" s="81">
        <v>2</v>
      </c>
      <c r="CQ161" s="81">
        <v>1</v>
      </c>
      <c r="CR161" s="81">
        <v>2</v>
      </c>
      <c r="CS161" s="81">
        <v>1</v>
      </c>
      <c r="CT161" s="81">
        <v>1</v>
      </c>
      <c r="CU161" s="81">
        <v>0</v>
      </c>
      <c r="CV161" s="81">
        <v>1</v>
      </c>
      <c r="CW161" s="81">
        <v>1</v>
      </c>
      <c r="CX161" s="81">
        <v>1</v>
      </c>
      <c r="CY161" s="81">
        <v>1</v>
      </c>
      <c r="CZ161" s="81">
        <v>1</v>
      </c>
      <c r="DA161" s="81">
        <v>1</v>
      </c>
    </row>
    <row r="162" spans="1:105" ht="12" customHeight="1" x14ac:dyDescent="0.3">
      <c r="A162" s="81" t="s">
        <v>836</v>
      </c>
      <c r="B162" s="81" t="s">
        <v>1446</v>
      </c>
      <c r="C162" s="81" t="s">
        <v>1452</v>
      </c>
      <c r="D162" s="81" t="s">
        <v>837</v>
      </c>
      <c r="E162" s="81" t="s">
        <v>398</v>
      </c>
      <c r="F162" s="81" t="s">
        <v>398</v>
      </c>
      <c r="G162" s="81"/>
      <c r="H162" s="94">
        <v>17</v>
      </c>
      <c r="I162" s="81" t="s">
        <v>3</v>
      </c>
      <c r="J162" s="81" t="s">
        <v>428</v>
      </c>
      <c r="K162" s="81">
        <v>17</v>
      </c>
      <c r="L162" s="81" t="s">
        <v>411</v>
      </c>
      <c r="M162" s="81" t="s">
        <v>431</v>
      </c>
      <c r="N162" s="81" t="s">
        <v>1430</v>
      </c>
      <c r="O162" s="81" t="s">
        <v>1453</v>
      </c>
      <c r="P162" s="81" t="s">
        <v>414</v>
      </c>
      <c r="Q162" s="81" t="s">
        <v>751</v>
      </c>
      <c r="R162" s="81">
        <v>0</v>
      </c>
      <c r="S162" s="81">
        <v>0</v>
      </c>
      <c r="T162" s="81">
        <v>0</v>
      </c>
      <c r="U162" s="81">
        <v>1</v>
      </c>
      <c r="V162" s="81">
        <v>0</v>
      </c>
      <c r="W162" s="81">
        <v>1</v>
      </c>
      <c r="X162" s="81">
        <v>0</v>
      </c>
      <c r="Y162" s="81">
        <v>0</v>
      </c>
      <c r="Z162" s="81">
        <v>0</v>
      </c>
      <c r="AA162" s="81">
        <v>1</v>
      </c>
      <c r="AB162" s="81">
        <v>0</v>
      </c>
      <c r="AC162" s="81">
        <v>0</v>
      </c>
      <c r="AD162" s="81">
        <v>0</v>
      </c>
      <c r="AE162" s="81">
        <v>0</v>
      </c>
      <c r="AF162" s="81">
        <v>0</v>
      </c>
      <c r="AG162" s="81">
        <v>1</v>
      </c>
      <c r="AH162" s="81">
        <v>0</v>
      </c>
      <c r="AI162" s="81">
        <v>0</v>
      </c>
      <c r="AJ162" s="81">
        <v>0</v>
      </c>
      <c r="AK162" s="81">
        <v>0</v>
      </c>
      <c r="AL162" s="81">
        <v>0</v>
      </c>
      <c r="AM162" s="81">
        <v>1</v>
      </c>
      <c r="AN162" s="81">
        <v>0</v>
      </c>
      <c r="AO162" s="81">
        <v>0</v>
      </c>
      <c r="AP162" s="81">
        <v>0</v>
      </c>
      <c r="AQ162" s="81">
        <v>0</v>
      </c>
      <c r="AR162" s="81">
        <v>0</v>
      </c>
      <c r="AS162" s="81">
        <v>0</v>
      </c>
      <c r="AT162" s="81">
        <v>0</v>
      </c>
      <c r="AU162" s="81">
        <v>0</v>
      </c>
      <c r="AV162" s="81">
        <v>0</v>
      </c>
      <c r="AW162" s="81">
        <v>0</v>
      </c>
      <c r="AX162" s="81">
        <v>0</v>
      </c>
      <c r="AY162" s="81">
        <v>0</v>
      </c>
      <c r="AZ162" s="81">
        <v>0</v>
      </c>
      <c r="BA162" s="81">
        <v>0</v>
      </c>
      <c r="BB162" s="81">
        <v>1</v>
      </c>
      <c r="BC162" s="81">
        <v>0</v>
      </c>
      <c r="BD162" s="81">
        <v>0</v>
      </c>
      <c r="BE162" s="81">
        <v>0</v>
      </c>
      <c r="BF162" s="81">
        <v>0</v>
      </c>
      <c r="BG162" s="81">
        <v>1</v>
      </c>
      <c r="BH162" s="81">
        <v>0</v>
      </c>
      <c r="BI162" s="81">
        <v>0</v>
      </c>
      <c r="BJ162" s="81">
        <v>0</v>
      </c>
      <c r="BK162" s="81">
        <v>0</v>
      </c>
      <c r="BL162" s="81">
        <v>0</v>
      </c>
      <c r="BM162" s="81">
        <v>0</v>
      </c>
      <c r="BN162" s="81">
        <v>0</v>
      </c>
      <c r="BO162" s="81">
        <v>1</v>
      </c>
      <c r="BP162" s="81">
        <v>1</v>
      </c>
      <c r="BQ162" s="81">
        <v>1</v>
      </c>
      <c r="BR162" s="81">
        <v>1</v>
      </c>
      <c r="BS162" s="81">
        <v>1</v>
      </c>
      <c r="BT162" s="81">
        <v>1</v>
      </c>
      <c r="BU162" s="81">
        <v>1</v>
      </c>
      <c r="BV162" s="81">
        <v>1</v>
      </c>
      <c r="BW162" s="81">
        <v>1</v>
      </c>
      <c r="BX162" s="81">
        <v>1</v>
      </c>
      <c r="BY162" s="81">
        <v>1</v>
      </c>
      <c r="BZ162" s="81">
        <v>1</v>
      </c>
      <c r="CA162" s="81">
        <v>1</v>
      </c>
      <c r="CB162" s="81">
        <v>1</v>
      </c>
      <c r="CC162" s="81">
        <v>1</v>
      </c>
      <c r="CD162" s="81">
        <v>1</v>
      </c>
      <c r="CE162" s="81">
        <v>1</v>
      </c>
      <c r="CF162" s="81">
        <v>1</v>
      </c>
      <c r="CG162" s="81">
        <v>1</v>
      </c>
      <c r="CH162" s="81">
        <v>0</v>
      </c>
      <c r="CI162" s="81">
        <v>0</v>
      </c>
      <c r="CJ162" s="81">
        <v>0</v>
      </c>
      <c r="CK162" s="81">
        <v>0</v>
      </c>
      <c r="CL162" s="81">
        <v>0</v>
      </c>
      <c r="CM162" s="81">
        <v>0</v>
      </c>
      <c r="CN162" s="81">
        <v>0</v>
      </c>
      <c r="CO162" s="81">
        <v>2</v>
      </c>
      <c r="CP162" s="81">
        <v>2</v>
      </c>
      <c r="CQ162" s="81">
        <v>1</v>
      </c>
      <c r="CR162" s="81">
        <v>2</v>
      </c>
      <c r="CS162" s="81">
        <v>1</v>
      </c>
      <c r="CT162" s="81">
        <v>1</v>
      </c>
      <c r="CU162" s="81">
        <v>0</v>
      </c>
      <c r="CV162" s="81">
        <v>1</v>
      </c>
      <c r="CW162" s="81">
        <v>1</v>
      </c>
      <c r="CX162" s="81">
        <v>1</v>
      </c>
      <c r="CY162" s="81">
        <v>1</v>
      </c>
      <c r="CZ162" s="81">
        <v>1</v>
      </c>
      <c r="DA162" s="81">
        <v>1</v>
      </c>
    </row>
    <row r="163" spans="1:105" ht="12" customHeight="1" x14ac:dyDescent="0.3">
      <c r="A163" s="81" t="s">
        <v>838</v>
      </c>
      <c r="B163" s="81" t="s">
        <v>1446</v>
      </c>
      <c r="C163" s="81" t="s">
        <v>1452</v>
      </c>
      <c r="D163" s="81" t="s">
        <v>839</v>
      </c>
      <c r="E163" s="81" t="s">
        <v>398</v>
      </c>
      <c r="F163" s="81" t="s">
        <v>398</v>
      </c>
      <c r="G163" s="81"/>
      <c r="H163" s="94">
        <v>17</v>
      </c>
      <c r="I163" s="81" t="s">
        <v>3</v>
      </c>
      <c r="J163" s="81" t="s">
        <v>428</v>
      </c>
      <c r="K163" s="81">
        <v>17</v>
      </c>
      <c r="L163" s="81" t="s">
        <v>411</v>
      </c>
      <c r="M163" s="81" t="s">
        <v>431</v>
      </c>
      <c r="N163" s="81" t="s">
        <v>1430</v>
      </c>
      <c r="O163" s="81" t="s">
        <v>1453</v>
      </c>
      <c r="P163" s="81" t="s">
        <v>414</v>
      </c>
      <c r="Q163" s="81" t="s">
        <v>751</v>
      </c>
      <c r="R163" s="81">
        <v>0</v>
      </c>
      <c r="S163" s="81">
        <v>0</v>
      </c>
      <c r="T163" s="81">
        <v>0</v>
      </c>
      <c r="U163" s="81">
        <v>1</v>
      </c>
      <c r="V163" s="81">
        <v>0</v>
      </c>
      <c r="W163" s="81">
        <v>1</v>
      </c>
      <c r="X163" s="81">
        <v>0</v>
      </c>
      <c r="Y163" s="81">
        <v>0</v>
      </c>
      <c r="Z163" s="81">
        <v>0</v>
      </c>
      <c r="AA163" s="81">
        <v>1</v>
      </c>
      <c r="AB163" s="81">
        <v>0</v>
      </c>
      <c r="AC163" s="81">
        <v>0</v>
      </c>
      <c r="AD163" s="81">
        <v>0</v>
      </c>
      <c r="AE163" s="81">
        <v>0</v>
      </c>
      <c r="AF163" s="81">
        <v>0</v>
      </c>
      <c r="AG163" s="81">
        <v>1</v>
      </c>
      <c r="AH163" s="81">
        <v>0</v>
      </c>
      <c r="AI163" s="81">
        <v>0</v>
      </c>
      <c r="AJ163" s="81">
        <v>0</v>
      </c>
      <c r="AK163" s="81">
        <v>0</v>
      </c>
      <c r="AL163" s="81">
        <v>0</v>
      </c>
      <c r="AM163" s="81">
        <v>1</v>
      </c>
      <c r="AN163" s="81">
        <v>0</v>
      </c>
      <c r="AO163" s="81">
        <v>0</v>
      </c>
      <c r="AP163" s="81">
        <v>0</v>
      </c>
      <c r="AQ163" s="81">
        <v>0</v>
      </c>
      <c r="AR163" s="81">
        <v>0</v>
      </c>
      <c r="AS163" s="81">
        <v>0</v>
      </c>
      <c r="AT163" s="81">
        <v>0</v>
      </c>
      <c r="AU163" s="81">
        <v>0</v>
      </c>
      <c r="AV163" s="81">
        <v>0</v>
      </c>
      <c r="AW163" s="81">
        <v>0</v>
      </c>
      <c r="AX163" s="81">
        <v>0</v>
      </c>
      <c r="AY163" s="81">
        <v>0</v>
      </c>
      <c r="AZ163" s="81">
        <v>0</v>
      </c>
      <c r="BA163" s="81">
        <v>0</v>
      </c>
      <c r="BB163" s="81">
        <v>1</v>
      </c>
      <c r="BC163" s="81">
        <v>0</v>
      </c>
      <c r="BD163" s="81">
        <v>0</v>
      </c>
      <c r="BE163" s="81">
        <v>0</v>
      </c>
      <c r="BF163" s="81">
        <v>0</v>
      </c>
      <c r="BG163" s="81">
        <v>1</v>
      </c>
      <c r="BH163" s="81">
        <v>0</v>
      </c>
      <c r="BI163" s="81">
        <v>0</v>
      </c>
      <c r="BJ163" s="81">
        <v>0</v>
      </c>
      <c r="BK163" s="81">
        <v>0</v>
      </c>
      <c r="BL163" s="81">
        <v>0</v>
      </c>
      <c r="BM163" s="81">
        <v>0</v>
      </c>
      <c r="BN163" s="81">
        <v>0</v>
      </c>
      <c r="BO163" s="81">
        <v>1</v>
      </c>
      <c r="BP163" s="81">
        <v>1</v>
      </c>
      <c r="BQ163" s="81">
        <v>1</v>
      </c>
      <c r="BR163" s="81">
        <v>1</v>
      </c>
      <c r="BS163" s="81">
        <v>1</v>
      </c>
      <c r="BT163" s="81">
        <v>1</v>
      </c>
      <c r="BU163" s="81">
        <v>1</v>
      </c>
      <c r="BV163" s="81">
        <v>1</v>
      </c>
      <c r="BW163" s="81">
        <v>1</v>
      </c>
      <c r="BX163" s="81">
        <v>1</v>
      </c>
      <c r="BY163" s="81">
        <v>1</v>
      </c>
      <c r="BZ163" s="81">
        <v>1</v>
      </c>
      <c r="CA163" s="81">
        <v>1</v>
      </c>
      <c r="CB163" s="81">
        <v>1</v>
      </c>
      <c r="CC163" s="81">
        <v>1</v>
      </c>
      <c r="CD163" s="81">
        <v>1</v>
      </c>
      <c r="CE163" s="81">
        <v>1</v>
      </c>
      <c r="CF163" s="81">
        <v>1</v>
      </c>
      <c r="CG163" s="81">
        <v>1</v>
      </c>
      <c r="CH163" s="81">
        <v>0</v>
      </c>
      <c r="CI163" s="81">
        <v>0</v>
      </c>
      <c r="CJ163" s="81">
        <v>0</v>
      </c>
      <c r="CK163" s="81">
        <v>0</v>
      </c>
      <c r="CL163" s="81">
        <v>0</v>
      </c>
      <c r="CM163" s="81">
        <v>0</v>
      </c>
      <c r="CN163" s="81">
        <v>0</v>
      </c>
      <c r="CO163" s="81">
        <v>2</v>
      </c>
      <c r="CP163" s="81">
        <v>2</v>
      </c>
      <c r="CQ163" s="81">
        <v>1</v>
      </c>
      <c r="CR163" s="81">
        <v>2</v>
      </c>
      <c r="CS163" s="81">
        <v>1</v>
      </c>
      <c r="CT163" s="81">
        <v>1</v>
      </c>
      <c r="CU163" s="81">
        <v>0</v>
      </c>
      <c r="CV163" s="81">
        <v>1</v>
      </c>
      <c r="CW163" s="81">
        <v>1</v>
      </c>
      <c r="CX163" s="81">
        <v>1</v>
      </c>
      <c r="CY163" s="81">
        <v>1</v>
      </c>
      <c r="CZ163" s="81">
        <v>1</v>
      </c>
      <c r="DA163" s="81">
        <v>1</v>
      </c>
    </row>
    <row r="164" spans="1:105" ht="12" customHeight="1" x14ac:dyDescent="0.3">
      <c r="A164" s="81" t="s">
        <v>840</v>
      </c>
      <c r="B164" s="81" t="s">
        <v>1446</v>
      </c>
      <c r="C164" s="81" t="s">
        <v>1455</v>
      </c>
      <c r="D164" s="81" t="s">
        <v>841</v>
      </c>
      <c r="E164" s="81" t="s">
        <v>409</v>
      </c>
      <c r="F164" s="81" t="s">
        <v>409</v>
      </c>
      <c r="G164" s="81"/>
      <c r="H164" s="94">
        <v>14</v>
      </c>
      <c r="I164" s="81" t="s">
        <v>0</v>
      </c>
      <c r="J164" s="81" t="s">
        <v>408</v>
      </c>
      <c r="K164" s="81">
        <v>14</v>
      </c>
      <c r="L164" s="81" t="s">
        <v>411</v>
      </c>
      <c r="M164" s="81" t="s">
        <v>412</v>
      </c>
      <c r="N164" s="81" t="s">
        <v>1430</v>
      </c>
      <c r="O164" s="81" t="s">
        <v>1456</v>
      </c>
      <c r="P164" s="81" t="s">
        <v>414</v>
      </c>
      <c r="Q164" s="81" t="s">
        <v>842</v>
      </c>
      <c r="R164" s="81">
        <v>0</v>
      </c>
      <c r="S164" s="81">
        <v>0</v>
      </c>
      <c r="T164" s="81">
        <v>0</v>
      </c>
      <c r="U164" s="81">
        <v>1</v>
      </c>
      <c r="V164" s="81">
        <v>0</v>
      </c>
      <c r="W164" s="81">
        <v>0</v>
      </c>
      <c r="X164" s="81">
        <v>0</v>
      </c>
      <c r="Y164" s="81">
        <v>0</v>
      </c>
      <c r="Z164" s="81">
        <v>0</v>
      </c>
      <c r="AA164" s="81">
        <v>1</v>
      </c>
      <c r="AB164" s="81">
        <v>0</v>
      </c>
      <c r="AC164" s="81">
        <v>0</v>
      </c>
      <c r="AD164" s="81">
        <v>0</v>
      </c>
      <c r="AE164" s="81">
        <v>0</v>
      </c>
      <c r="AF164" s="81">
        <v>0</v>
      </c>
      <c r="AG164" s="81">
        <v>1</v>
      </c>
      <c r="AH164" s="81">
        <v>0</v>
      </c>
      <c r="AI164" s="81">
        <v>0</v>
      </c>
      <c r="AJ164" s="81">
        <v>0</v>
      </c>
      <c r="AK164" s="81">
        <v>0</v>
      </c>
      <c r="AL164" s="81">
        <v>0</v>
      </c>
      <c r="AM164" s="81">
        <v>1</v>
      </c>
      <c r="AN164" s="81">
        <v>0</v>
      </c>
      <c r="AO164" s="81">
        <v>0</v>
      </c>
      <c r="AP164" s="81">
        <v>0</v>
      </c>
      <c r="AQ164" s="81">
        <v>0</v>
      </c>
      <c r="AR164" s="81">
        <v>0</v>
      </c>
      <c r="AS164" s="81">
        <v>0</v>
      </c>
      <c r="AT164" s="81">
        <v>0</v>
      </c>
      <c r="AU164" s="81">
        <v>0</v>
      </c>
      <c r="AV164" s="81">
        <v>0</v>
      </c>
      <c r="AW164" s="81">
        <v>0</v>
      </c>
      <c r="AX164" s="81">
        <v>0</v>
      </c>
      <c r="AY164" s="81">
        <v>0</v>
      </c>
      <c r="AZ164" s="81">
        <v>0</v>
      </c>
      <c r="BA164" s="81">
        <v>0</v>
      </c>
      <c r="BB164" s="81">
        <v>0</v>
      </c>
      <c r="BC164" s="81">
        <v>0</v>
      </c>
      <c r="BD164" s="81">
        <v>0</v>
      </c>
      <c r="BE164" s="81">
        <v>0</v>
      </c>
      <c r="BF164" s="81">
        <v>0</v>
      </c>
      <c r="BG164" s="81">
        <v>0</v>
      </c>
      <c r="BH164" s="81">
        <v>0</v>
      </c>
      <c r="BI164" s="81">
        <v>0</v>
      </c>
      <c r="BJ164" s="81">
        <v>0</v>
      </c>
      <c r="BK164" s="81">
        <v>0</v>
      </c>
      <c r="BL164" s="81">
        <v>0</v>
      </c>
      <c r="BM164" s="81">
        <v>0</v>
      </c>
      <c r="BN164" s="81">
        <v>0</v>
      </c>
      <c r="BO164" s="81">
        <v>0</v>
      </c>
      <c r="BP164" s="81">
        <v>0</v>
      </c>
      <c r="BQ164" s="81">
        <v>0</v>
      </c>
      <c r="BR164" s="81">
        <v>1</v>
      </c>
      <c r="BS164" s="81">
        <v>0</v>
      </c>
      <c r="BT164" s="81">
        <v>1</v>
      </c>
      <c r="BU164" s="81">
        <v>0</v>
      </c>
      <c r="BV164" s="81">
        <v>0</v>
      </c>
      <c r="BW164" s="81">
        <v>1</v>
      </c>
      <c r="BX164" s="81">
        <v>0</v>
      </c>
      <c r="BY164" s="81">
        <v>0</v>
      </c>
      <c r="BZ164" s="81">
        <v>1</v>
      </c>
      <c r="CA164" s="81">
        <v>0</v>
      </c>
      <c r="CB164" s="81">
        <v>1</v>
      </c>
      <c r="CC164" s="81">
        <v>0</v>
      </c>
      <c r="CD164" s="81">
        <v>1</v>
      </c>
      <c r="CE164" s="81">
        <v>0</v>
      </c>
      <c r="CF164" s="81">
        <v>1</v>
      </c>
      <c r="CG164" s="81">
        <v>1</v>
      </c>
      <c r="CH164" s="81">
        <v>0</v>
      </c>
      <c r="CI164" s="81">
        <v>0</v>
      </c>
      <c r="CJ164" s="81">
        <v>0</v>
      </c>
      <c r="CK164" s="81">
        <v>0</v>
      </c>
      <c r="CL164" s="81">
        <v>0</v>
      </c>
      <c r="CM164" s="81">
        <v>0</v>
      </c>
      <c r="CN164" s="81">
        <v>0</v>
      </c>
      <c r="CO164" s="81">
        <v>1</v>
      </c>
      <c r="CP164" s="81">
        <v>1</v>
      </c>
      <c r="CQ164" s="81">
        <v>0</v>
      </c>
      <c r="CR164" s="81">
        <v>1</v>
      </c>
      <c r="CS164" s="81">
        <v>1</v>
      </c>
      <c r="CT164" s="81">
        <v>0</v>
      </c>
      <c r="CU164" s="81">
        <v>0</v>
      </c>
      <c r="CV164" s="81">
        <v>1</v>
      </c>
      <c r="CW164" s="81">
        <v>1</v>
      </c>
      <c r="CX164" s="81">
        <v>1</v>
      </c>
      <c r="CY164" s="81">
        <v>0</v>
      </c>
      <c r="CZ164" s="81">
        <v>1</v>
      </c>
      <c r="DA164" s="81">
        <v>1</v>
      </c>
    </row>
    <row r="165" spans="1:105" ht="12" customHeight="1" x14ac:dyDescent="0.3">
      <c r="A165" s="81" t="s">
        <v>843</v>
      </c>
      <c r="B165" s="81" t="s">
        <v>1446</v>
      </c>
      <c r="C165" s="81" t="s">
        <v>1455</v>
      </c>
      <c r="D165" s="81" t="s">
        <v>844</v>
      </c>
      <c r="E165" s="81" t="s">
        <v>409</v>
      </c>
      <c r="F165" s="81" t="s">
        <v>409</v>
      </c>
      <c r="G165" s="81"/>
      <c r="H165" s="94">
        <v>14</v>
      </c>
      <c r="I165" s="81" t="s">
        <v>0</v>
      </c>
      <c r="J165" s="81" t="s">
        <v>408</v>
      </c>
      <c r="K165" s="81">
        <v>14</v>
      </c>
      <c r="L165" s="81" t="s">
        <v>411</v>
      </c>
      <c r="M165" s="81" t="s">
        <v>412</v>
      </c>
      <c r="N165" s="81" t="s">
        <v>1430</v>
      </c>
      <c r="O165" s="81" t="s">
        <v>1454</v>
      </c>
      <c r="P165" s="81" t="s">
        <v>414</v>
      </c>
      <c r="Q165" s="81" t="s">
        <v>786</v>
      </c>
      <c r="R165" s="81">
        <v>0</v>
      </c>
      <c r="S165" s="81">
        <v>0</v>
      </c>
      <c r="T165" s="81">
        <v>0</v>
      </c>
      <c r="U165" s="81">
        <v>1</v>
      </c>
      <c r="V165" s="81">
        <v>0</v>
      </c>
      <c r="W165" s="81">
        <v>0</v>
      </c>
      <c r="X165" s="81">
        <v>0</v>
      </c>
      <c r="Y165" s="81">
        <v>0</v>
      </c>
      <c r="Z165" s="81">
        <v>0</v>
      </c>
      <c r="AA165" s="81">
        <v>1</v>
      </c>
      <c r="AB165" s="81">
        <v>0</v>
      </c>
      <c r="AC165" s="81">
        <v>0</v>
      </c>
      <c r="AD165" s="81">
        <v>0</v>
      </c>
      <c r="AE165" s="81">
        <v>0</v>
      </c>
      <c r="AF165" s="81">
        <v>0</v>
      </c>
      <c r="AG165" s="81">
        <v>1</v>
      </c>
      <c r="AH165" s="81">
        <v>0</v>
      </c>
      <c r="AI165" s="81">
        <v>0</v>
      </c>
      <c r="AJ165" s="81">
        <v>0</v>
      </c>
      <c r="AK165" s="81">
        <v>0</v>
      </c>
      <c r="AL165" s="81">
        <v>0</v>
      </c>
      <c r="AM165" s="81">
        <v>1</v>
      </c>
      <c r="AN165" s="81">
        <v>0</v>
      </c>
      <c r="AO165" s="81">
        <v>0</v>
      </c>
      <c r="AP165" s="81">
        <v>0</v>
      </c>
      <c r="AQ165" s="81">
        <v>0</v>
      </c>
      <c r="AR165" s="81">
        <v>0</v>
      </c>
      <c r="AS165" s="81">
        <v>0</v>
      </c>
      <c r="AT165" s="81">
        <v>0</v>
      </c>
      <c r="AU165" s="81">
        <v>0</v>
      </c>
      <c r="AV165" s="81">
        <v>0</v>
      </c>
      <c r="AW165" s="81">
        <v>0</v>
      </c>
      <c r="AX165" s="81">
        <v>0</v>
      </c>
      <c r="AY165" s="81">
        <v>0</v>
      </c>
      <c r="AZ165" s="81">
        <v>0</v>
      </c>
      <c r="BA165" s="81">
        <v>0</v>
      </c>
      <c r="BB165" s="81">
        <v>0</v>
      </c>
      <c r="BC165" s="81">
        <v>0</v>
      </c>
      <c r="BD165" s="81">
        <v>0</v>
      </c>
      <c r="BE165" s="81">
        <v>0</v>
      </c>
      <c r="BF165" s="81">
        <v>0</v>
      </c>
      <c r="BG165" s="81">
        <v>0</v>
      </c>
      <c r="BH165" s="81">
        <v>0</v>
      </c>
      <c r="BI165" s="81">
        <v>0</v>
      </c>
      <c r="BJ165" s="81">
        <v>0</v>
      </c>
      <c r="BK165" s="81">
        <v>0</v>
      </c>
      <c r="BL165" s="81">
        <v>0</v>
      </c>
      <c r="BM165" s="81">
        <v>0</v>
      </c>
      <c r="BN165" s="81">
        <v>0</v>
      </c>
      <c r="BO165" s="81">
        <v>0</v>
      </c>
      <c r="BP165" s="81">
        <v>0</v>
      </c>
      <c r="BQ165" s="81">
        <v>0</v>
      </c>
      <c r="BR165" s="81">
        <v>1</v>
      </c>
      <c r="BS165" s="81">
        <v>0</v>
      </c>
      <c r="BT165" s="81">
        <v>1</v>
      </c>
      <c r="BU165" s="81">
        <v>0</v>
      </c>
      <c r="BV165" s="81">
        <v>0</v>
      </c>
      <c r="BW165" s="81">
        <v>1</v>
      </c>
      <c r="BX165" s="81">
        <v>0</v>
      </c>
      <c r="BY165" s="81">
        <v>0</v>
      </c>
      <c r="BZ165" s="81">
        <v>1</v>
      </c>
      <c r="CA165" s="81">
        <v>0</v>
      </c>
      <c r="CB165" s="81">
        <v>1</v>
      </c>
      <c r="CC165" s="81">
        <v>0</v>
      </c>
      <c r="CD165" s="81">
        <v>1</v>
      </c>
      <c r="CE165" s="81">
        <v>0</v>
      </c>
      <c r="CF165" s="81">
        <v>1</v>
      </c>
      <c r="CG165" s="81">
        <v>1</v>
      </c>
      <c r="CH165" s="81">
        <v>0</v>
      </c>
      <c r="CI165" s="81">
        <v>0</v>
      </c>
      <c r="CJ165" s="81">
        <v>0</v>
      </c>
      <c r="CK165" s="81">
        <v>0</v>
      </c>
      <c r="CL165" s="81">
        <v>0</v>
      </c>
      <c r="CM165" s="81">
        <v>0</v>
      </c>
      <c r="CN165" s="81">
        <v>0</v>
      </c>
      <c r="CO165" s="81">
        <v>1</v>
      </c>
      <c r="CP165" s="81">
        <v>1</v>
      </c>
      <c r="CQ165" s="81">
        <v>0</v>
      </c>
      <c r="CR165" s="81">
        <v>1</v>
      </c>
      <c r="CS165" s="81">
        <v>1</v>
      </c>
      <c r="CT165" s="81">
        <v>0</v>
      </c>
      <c r="CU165" s="81">
        <v>0</v>
      </c>
      <c r="CV165" s="81">
        <v>1</v>
      </c>
      <c r="CW165" s="81">
        <v>1</v>
      </c>
      <c r="CX165" s="81">
        <v>1</v>
      </c>
      <c r="CY165" s="81">
        <v>0</v>
      </c>
      <c r="CZ165" s="81">
        <v>1</v>
      </c>
      <c r="DA165" s="81">
        <v>1</v>
      </c>
    </row>
    <row r="166" spans="1:105" ht="12" customHeight="1" x14ac:dyDescent="0.3">
      <c r="A166" s="81" t="s">
        <v>845</v>
      </c>
      <c r="B166" s="81" t="s">
        <v>1446</v>
      </c>
      <c r="C166" s="81" t="s">
        <v>1455</v>
      </c>
      <c r="D166" s="81" t="s">
        <v>846</v>
      </c>
      <c r="E166" s="81" t="s">
        <v>409</v>
      </c>
      <c r="F166" s="81" t="s">
        <v>409</v>
      </c>
      <c r="G166" s="81"/>
      <c r="H166" s="94">
        <v>14</v>
      </c>
      <c r="I166" s="81" t="s">
        <v>0</v>
      </c>
      <c r="J166" s="81" t="s">
        <v>408</v>
      </c>
      <c r="K166" s="81">
        <v>14</v>
      </c>
      <c r="L166" s="81" t="s">
        <v>411</v>
      </c>
      <c r="M166" s="81" t="s">
        <v>412</v>
      </c>
      <c r="N166" s="81" t="s">
        <v>1430</v>
      </c>
      <c r="O166" s="81" t="s">
        <v>1454</v>
      </c>
      <c r="P166" s="81" t="s">
        <v>414</v>
      </c>
      <c r="Q166" s="81" t="s">
        <v>786</v>
      </c>
      <c r="R166" s="81">
        <v>0</v>
      </c>
      <c r="S166" s="81">
        <v>0</v>
      </c>
      <c r="T166" s="81">
        <v>0</v>
      </c>
      <c r="U166" s="81">
        <v>1</v>
      </c>
      <c r="V166" s="81">
        <v>0</v>
      </c>
      <c r="W166" s="81">
        <v>0</v>
      </c>
      <c r="X166" s="81">
        <v>0</v>
      </c>
      <c r="Y166" s="81">
        <v>0</v>
      </c>
      <c r="Z166" s="81">
        <v>0</v>
      </c>
      <c r="AA166" s="81">
        <v>1</v>
      </c>
      <c r="AB166" s="81">
        <v>0</v>
      </c>
      <c r="AC166" s="81">
        <v>0</v>
      </c>
      <c r="AD166" s="81">
        <v>0</v>
      </c>
      <c r="AE166" s="81">
        <v>0</v>
      </c>
      <c r="AF166" s="81">
        <v>0</v>
      </c>
      <c r="AG166" s="81">
        <v>1</v>
      </c>
      <c r="AH166" s="81">
        <v>0</v>
      </c>
      <c r="AI166" s="81">
        <v>0</v>
      </c>
      <c r="AJ166" s="81">
        <v>0</v>
      </c>
      <c r="AK166" s="81">
        <v>0</v>
      </c>
      <c r="AL166" s="81">
        <v>0</v>
      </c>
      <c r="AM166" s="81">
        <v>1</v>
      </c>
      <c r="AN166" s="81">
        <v>0</v>
      </c>
      <c r="AO166" s="81">
        <v>0</v>
      </c>
      <c r="AP166" s="81">
        <v>0</v>
      </c>
      <c r="AQ166" s="81">
        <v>0</v>
      </c>
      <c r="AR166" s="81">
        <v>0</v>
      </c>
      <c r="AS166" s="81">
        <v>0</v>
      </c>
      <c r="AT166" s="81">
        <v>0</v>
      </c>
      <c r="AU166" s="81">
        <v>0</v>
      </c>
      <c r="AV166" s="81">
        <v>0</v>
      </c>
      <c r="AW166" s="81">
        <v>0</v>
      </c>
      <c r="AX166" s="81">
        <v>0</v>
      </c>
      <c r="AY166" s="81">
        <v>0</v>
      </c>
      <c r="AZ166" s="81">
        <v>0</v>
      </c>
      <c r="BA166" s="81">
        <v>0</v>
      </c>
      <c r="BB166" s="81">
        <v>0</v>
      </c>
      <c r="BC166" s="81">
        <v>0</v>
      </c>
      <c r="BD166" s="81">
        <v>0</v>
      </c>
      <c r="BE166" s="81">
        <v>0</v>
      </c>
      <c r="BF166" s="81">
        <v>0</v>
      </c>
      <c r="BG166" s="81">
        <v>0</v>
      </c>
      <c r="BH166" s="81">
        <v>0</v>
      </c>
      <c r="BI166" s="81">
        <v>0</v>
      </c>
      <c r="BJ166" s="81">
        <v>0</v>
      </c>
      <c r="BK166" s="81">
        <v>0</v>
      </c>
      <c r="BL166" s="81">
        <v>0</v>
      </c>
      <c r="BM166" s="81">
        <v>0</v>
      </c>
      <c r="BN166" s="81">
        <v>0</v>
      </c>
      <c r="BO166" s="81">
        <v>0</v>
      </c>
      <c r="BP166" s="81">
        <v>0</v>
      </c>
      <c r="BQ166" s="81">
        <v>0</v>
      </c>
      <c r="BR166" s="81">
        <v>1</v>
      </c>
      <c r="BS166" s="81">
        <v>0</v>
      </c>
      <c r="BT166" s="81">
        <v>1</v>
      </c>
      <c r="BU166" s="81">
        <v>0</v>
      </c>
      <c r="BV166" s="81">
        <v>0</v>
      </c>
      <c r="BW166" s="81">
        <v>1</v>
      </c>
      <c r="BX166" s="81">
        <v>0</v>
      </c>
      <c r="BY166" s="81">
        <v>0</v>
      </c>
      <c r="BZ166" s="81">
        <v>1</v>
      </c>
      <c r="CA166" s="81">
        <v>0</v>
      </c>
      <c r="CB166" s="81">
        <v>1</v>
      </c>
      <c r="CC166" s="81">
        <v>0</v>
      </c>
      <c r="CD166" s="81">
        <v>1</v>
      </c>
      <c r="CE166" s="81">
        <v>0</v>
      </c>
      <c r="CF166" s="81">
        <v>1</v>
      </c>
      <c r="CG166" s="81">
        <v>1</v>
      </c>
      <c r="CH166" s="81">
        <v>0</v>
      </c>
      <c r="CI166" s="81">
        <v>0</v>
      </c>
      <c r="CJ166" s="81">
        <v>0</v>
      </c>
      <c r="CK166" s="81">
        <v>0</v>
      </c>
      <c r="CL166" s="81">
        <v>0</v>
      </c>
      <c r="CM166" s="81">
        <v>0</v>
      </c>
      <c r="CN166" s="81">
        <v>0</v>
      </c>
      <c r="CO166" s="81">
        <v>1</v>
      </c>
      <c r="CP166" s="81">
        <v>1</v>
      </c>
      <c r="CQ166" s="81">
        <v>0</v>
      </c>
      <c r="CR166" s="81">
        <v>1</v>
      </c>
      <c r="CS166" s="81">
        <v>1</v>
      </c>
      <c r="CT166" s="81">
        <v>0</v>
      </c>
      <c r="CU166" s="81">
        <v>0</v>
      </c>
      <c r="CV166" s="81">
        <v>1</v>
      </c>
      <c r="CW166" s="81">
        <v>1</v>
      </c>
      <c r="CX166" s="81">
        <v>1</v>
      </c>
      <c r="CY166" s="81">
        <v>0</v>
      </c>
      <c r="CZ166" s="81">
        <v>1</v>
      </c>
      <c r="DA166" s="81">
        <v>1</v>
      </c>
    </row>
    <row r="167" spans="1:105" ht="12" customHeight="1" x14ac:dyDescent="0.3">
      <c r="A167" s="81" t="s">
        <v>847</v>
      </c>
      <c r="B167" s="81" t="s">
        <v>1446</v>
      </c>
      <c r="C167" s="81" t="s">
        <v>1455</v>
      </c>
      <c r="D167" s="81" t="s">
        <v>848</v>
      </c>
      <c r="E167" s="81" t="s">
        <v>409</v>
      </c>
      <c r="F167" s="81" t="s">
        <v>409</v>
      </c>
      <c r="G167" s="81"/>
      <c r="H167" s="94">
        <v>14</v>
      </c>
      <c r="I167" s="81" t="s">
        <v>0</v>
      </c>
      <c r="J167" s="81" t="s">
        <v>408</v>
      </c>
      <c r="K167" s="81">
        <v>14</v>
      </c>
      <c r="L167" s="81" t="s">
        <v>411</v>
      </c>
      <c r="M167" s="81" t="s">
        <v>412</v>
      </c>
      <c r="N167" s="81" t="s">
        <v>1430</v>
      </c>
      <c r="O167" s="81" t="s">
        <v>1454</v>
      </c>
      <c r="P167" s="81" t="s">
        <v>414</v>
      </c>
      <c r="Q167" s="81" t="s">
        <v>786</v>
      </c>
      <c r="R167" s="81">
        <v>0</v>
      </c>
      <c r="S167" s="81">
        <v>0</v>
      </c>
      <c r="T167" s="81">
        <v>0</v>
      </c>
      <c r="U167" s="81">
        <v>1</v>
      </c>
      <c r="V167" s="81">
        <v>0</v>
      </c>
      <c r="W167" s="81">
        <v>0</v>
      </c>
      <c r="X167" s="81">
        <v>0</v>
      </c>
      <c r="Y167" s="81">
        <v>0</v>
      </c>
      <c r="Z167" s="81">
        <v>0</v>
      </c>
      <c r="AA167" s="81">
        <v>1</v>
      </c>
      <c r="AB167" s="81">
        <v>0</v>
      </c>
      <c r="AC167" s="81">
        <v>0</v>
      </c>
      <c r="AD167" s="81">
        <v>0</v>
      </c>
      <c r="AE167" s="81">
        <v>0</v>
      </c>
      <c r="AF167" s="81">
        <v>0</v>
      </c>
      <c r="AG167" s="81">
        <v>1</v>
      </c>
      <c r="AH167" s="81">
        <v>0</v>
      </c>
      <c r="AI167" s="81">
        <v>0</v>
      </c>
      <c r="AJ167" s="81">
        <v>0</v>
      </c>
      <c r="AK167" s="81">
        <v>0</v>
      </c>
      <c r="AL167" s="81">
        <v>0</v>
      </c>
      <c r="AM167" s="81">
        <v>1</v>
      </c>
      <c r="AN167" s="81">
        <v>0</v>
      </c>
      <c r="AO167" s="81">
        <v>0</v>
      </c>
      <c r="AP167" s="81">
        <v>0</v>
      </c>
      <c r="AQ167" s="81">
        <v>0</v>
      </c>
      <c r="AR167" s="81">
        <v>0</v>
      </c>
      <c r="AS167" s="81">
        <v>0</v>
      </c>
      <c r="AT167" s="81">
        <v>0</v>
      </c>
      <c r="AU167" s="81">
        <v>0</v>
      </c>
      <c r="AV167" s="81">
        <v>0</v>
      </c>
      <c r="AW167" s="81">
        <v>0</v>
      </c>
      <c r="AX167" s="81">
        <v>0</v>
      </c>
      <c r="AY167" s="81">
        <v>0</v>
      </c>
      <c r="AZ167" s="81">
        <v>0</v>
      </c>
      <c r="BA167" s="81">
        <v>0</v>
      </c>
      <c r="BB167" s="81">
        <v>0</v>
      </c>
      <c r="BC167" s="81">
        <v>0</v>
      </c>
      <c r="BD167" s="81">
        <v>0</v>
      </c>
      <c r="BE167" s="81">
        <v>0</v>
      </c>
      <c r="BF167" s="81">
        <v>0</v>
      </c>
      <c r="BG167" s="81">
        <v>0</v>
      </c>
      <c r="BH167" s="81">
        <v>0</v>
      </c>
      <c r="BI167" s="81">
        <v>0</v>
      </c>
      <c r="BJ167" s="81">
        <v>0</v>
      </c>
      <c r="BK167" s="81">
        <v>0</v>
      </c>
      <c r="BL167" s="81">
        <v>0</v>
      </c>
      <c r="BM167" s="81">
        <v>0</v>
      </c>
      <c r="BN167" s="81">
        <v>0</v>
      </c>
      <c r="BO167" s="81">
        <v>0</v>
      </c>
      <c r="BP167" s="81">
        <v>0</v>
      </c>
      <c r="BQ167" s="81">
        <v>0</v>
      </c>
      <c r="BR167" s="81">
        <v>1</v>
      </c>
      <c r="BS167" s="81">
        <v>0</v>
      </c>
      <c r="BT167" s="81">
        <v>1</v>
      </c>
      <c r="BU167" s="81">
        <v>0</v>
      </c>
      <c r="BV167" s="81">
        <v>0</v>
      </c>
      <c r="BW167" s="81">
        <v>1</v>
      </c>
      <c r="BX167" s="81">
        <v>0</v>
      </c>
      <c r="BY167" s="81">
        <v>0</v>
      </c>
      <c r="BZ167" s="81">
        <v>1</v>
      </c>
      <c r="CA167" s="81">
        <v>0</v>
      </c>
      <c r="CB167" s="81">
        <v>1</v>
      </c>
      <c r="CC167" s="81">
        <v>0</v>
      </c>
      <c r="CD167" s="81">
        <v>1</v>
      </c>
      <c r="CE167" s="81">
        <v>0</v>
      </c>
      <c r="CF167" s="81">
        <v>1</v>
      </c>
      <c r="CG167" s="81">
        <v>1</v>
      </c>
      <c r="CH167" s="81">
        <v>0</v>
      </c>
      <c r="CI167" s="81">
        <v>0</v>
      </c>
      <c r="CJ167" s="81">
        <v>0</v>
      </c>
      <c r="CK167" s="81">
        <v>0</v>
      </c>
      <c r="CL167" s="81">
        <v>0</v>
      </c>
      <c r="CM167" s="81">
        <v>0</v>
      </c>
      <c r="CN167" s="81">
        <v>0</v>
      </c>
      <c r="CO167" s="81">
        <v>1</v>
      </c>
      <c r="CP167" s="81">
        <v>1</v>
      </c>
      <c r="CQ167" s="81">
        <v>0</v>
      </c>
      <c r="CR167" s="81">
        <v>1</v>
      </c>
      <c r="CS167" s="81">
        <v>1</v>
      </c>
      <c r="CT167" s="81">
        <v>0</v>
      </c>
      <c r="CU167" s="81">
        <v>0</v>
      </c>
      <c r="CV167" s="81">
        <v>1</v>
      </c>
      <c r="CW167" s="81">
        <v>1</v>
      </c>
      <c r="CX167" s="81">
        <v>1</v>
      </c>
      <c r="CY167" s="81">
        <v>0</v>
      </c>
      <c r="CZ167" s="81">
        <v>1</v>
      </c>
      <c r="DA167" s="81">
        <v>1</v>
      </c>
    </row>
  </sheetData>
  <conditionalFormatting sqref="N2:N167">
    <cfRule type="expression" dxfId="4" priority="1">
      <formula>N2="Alta"</formula>
    </cfRule>
    <cfRule type="expression" dxfId="3" priority="2">
      <formula>N2="Media"</formula>
    </cfRule>
    <cfRule type="expression" dxfId="2" priority="3">
      <formula>N2="Media-Alta"</formula>
    </cfRule>
    <cfRule type="expression" dxfId="1" priority="4">
      <formula>N2="Baja"</formula>
    </cfRule>
  </conditionalFormatting>
  <conditionalFormatting sqref="P2:P167">
    <cfRule type="expression" dxfId="0" priority="5">
      <formula>P2="SÍ"</formula>
    </cfRule>
  </conditionalFormatting>
  <dataValidations count="1">
    <dataValidation type="list" sqref="P2:P167" xr:uid="{00000000-0002-0000-1000-000000000000}">
      <formula1>"SÍ,NO,REVISADO,DUDOSO"</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67"/>
  <sheetViews>
    <sheetView workbookViewId="0"/>
  </sheetViews>
  <sheetFormatPr baseColWidth="10" defaultColWidth="8.88671875" defaultRowHeight="14.4" x14ac:dyDescent="0.3"/>
  <cols>
    <col min="1" max="1" width="7.77734375" customWidth="1"/>
    <col min="2" max="2" width="30.77734375" customWidth="1"/>
    <col min="3" max="3" width="27.77734375" customWidth="1"/>
    <col min="4" max="4" width="58" customWidth="1"/>
    <col min="5" max="5" width="5" customWidth="1"/>
    <col min="6" max="6" width="6.109375" customWidth="1"/>
    <col min="7" max="7" width="4.88671875" customWidth="1"/>
    <col min="8" max="8" width="27.33203125" customWidth="1"/>
    <col min="9" max="9" width="12.88671875" customWidth="1"/>
    <col min="10" max="10" width="177.88671875" customWidth="1"/>
  </cols>
  <sheetData>
    <row r="1" spans="1:10" ht="12" customHeight="1" x14ac:dyDescent="0.3">
      <c r="A1" s="92" t="s">
        <v>284</v>
      </c>
      <c r="B1" s="92" t="s">
        <v>1457</v>
      </c>
      <c r="C1" s="92" t="s">
        <v>1458</v>
      </c>
      <c r="D1" s="92" t="s">
        <v>1459</v>
      </c>
      <c r="E1" s="92" t="s">
        <v>1460</v>
      </c>
      <c r="F1" s="92" t="s">
        <v>1461</v>
      </c>
      <c r="G1" s="92" t="s">
        <v>1462</v>
      </c>
      <c r="H1" s="92" t="s">
        <v>1463</v>
      </c>
      <c r="I1" s="92" t="s">
        <v>1422</v>
      </c>
      <c r="J1" s="92" t="s">
        <v>229</v>
      </c>
    </row>
    <row r="2" spans="1:10" ht="12" customHeight="1" x14ac:dyDescent="0.3">
      <c r="A2" s="81" t="s">
        <v>494</v>
      </c>
      <c r="B2" s="81" t="s">
        <v>1428</v>
      </c>
      <c r="C2" s="81" t="s">
        <v>1429</v>
      </c>
      <c r="D2" s="81" t="s">
        <v>495</v>
      </c>
      <c r="E2" s="81" t="s">
        <v>393</v>
      </c>
      <c r="F2" s="81"/>
      <c r="G2" s="94">
        <v>30</v>
      </c>
      <c r="H2" s="81" t="s">
        <v>393</v>
      </c>
      <c r="I2" s="81" t="s">
        <v>18</v>
      </c>
      <c r="J2" s="81" t="s">
        <v>496</v>
      </c>
    </row>
    <row r="3" spans="1:10" ht="12" customHeight="1" x14ac:dyDescent="0.3">
      <c r="A3" s="81" t="s">
        <v>497</v>
      </c>
      <c r="B3" s="81" t="s">
        <v>1428</v>
      </c>
      <c r="C3" s="81" t="s">
        <v>1429</v>
      </c>
      <c r="D3" s="81" t="s">
        <v>498</v>
      </c>
      <c r="E3" s="81" t="s">
        <v>393</v>
      </c>
      <c r="F3" s="81"/>
      <c r="G3" s="94">
        <v>30</v>
      </c>
      <c r="H3" s="81" t="s">
        <v>393</v>
      </c>
      <c r="I3" s="81" t="s">
        <v>18</v>
      </c>
      <c r="J3" s="81" t="s">
        <v>499</v>
      </c>
    </row>
    <row r="4" spans="1:10" ht="12" customHeight="1" x14ac:dyDescent="0.3">
      <c r="A4" s="81" t="s">
        <v>500</v>
      </c>
      <c r="B4" s="81" t="s">
        <v>1428</v>
      </c>
      <c r="C4" s="81" t="s">
        <v>501</v>
      </c>
      <c r="D4" s="81" t="s">
        <v>501</v>
      </c>
      <c r="E4" s="81" t="s">
        <v>393</v>
      </c>
      <c r="F4" s="81"/>
      <c r="G4" s="94">
        <v>29</v>
      </c>
      <c r="H4" s="81" t="s">
        <v>393</v>
      </c>
      <c r="I4" s="81" t="s">
        <v>17</v>
      </c>
      <c r="J4" s="81" t="s">
        <v>502</v>
      </c>
    </row>
    <row r="5" spans="1:10" ht="12" customHeight="1" x14ac:dyDescent="0.3">
      <c r="A5" s="81" t="s">
        <v>503</v>
      </c>
      <c r="B5" s="81" t="s">
        <v>1428</v>
      </c>
      <c r="C5" s="81" t="s">
        <v>504</v>
      </c>
      <c r="D5" s="81" t="s">
        <v>504</v>
      </c>
      <c r="E5" s="81" t="s">
        <v>393</v>
      </c>
      <c r="F5" s="81" t="s">
        <v>395</v>
      </c>
      <c r="G5" s="94">
        <v>28</v>
      </c>
      <c r="H5" s="81" t="s">
        <v>393</v>
      </c>
      <c r="I5" s="81" t="s">
        <v>16</v>
      </c>
      <c r="J5" s="81" t="s">
        <v>505</v>
      </c>
    </row>
    <row r="6" spans="1:10" ht="12" customHeight="1" x14ac:dyDescent="0.3">
      <c r="A6" s="81" t="s">
        <v>506</v>
      </c>
      <c r="B6" s="81" t="s">
        <v>1428</v>
      </c>
      <c r="C6" s="81" t="s">
        <v>504</v>
      </c>
      <c r="D6" s="81" t="s">
        <v>504</v>
      </c>
      <c r="E6" s="81" t="s">
        <v>393</v>
      </c>
      <c r="F6" s="81" t="s">
        <v>395</v>
      </c>
      <c r="G6" s="94">
        <v>28</v>
      </c>
      <c r="H6" s="81" t="s">
        <v>393</v>
      </c>
      <c r="I6" s="81" t="s">
        <v>16</v>
      </c>
      <c r="J6" s="81" t="s">
        <v>505</v>
      </c>
    </row>
    <row r="7" spans="1:10" ht="12" customHeight="1" x14ac:dyDescent="0.3">
      <c r="A7" s="81" t="s">
        <v>507</v>
      </c>
      <c r="B7" s="81" t="s">
        <v>1428</v>
      </c>
      <c r="C7" s="81" t="s">
        <v>504</v>
      </c>
      <c r="D7" s="81" t="s">
        <v>508</v>
      </c>
      <c r="E7" s="81" t="s">
        <v>393</v>
      </c>
      <c r="F7" s="81"/>
      <c r="G7" s="94">
        <v>28</v>
      </c>
      <c r="H7" s="81" t="s">
        <v>393</v>
      </c>
      <c r="I7" s="81" t="s">
        <v>16</v>
      </c>
      <c r="J7" s="81" t="s">
        <v>509</v>
      </c>
    </row>
    <row r="8" spans="1:10" ht="12" customHeight="1" x14ac:dyDescent="0.3">
      <c r="A8" s="81" t="s">
        <v>510</v>
      </c>
      <c r="B8" s="81" t="s">
        <v>1428</v>
      </c>
      <c r="C8" s="81" t="s">
        <v>1435</v>
      </c>
      <c r="D8" s="81" t="s">
        <v>511</v>
      </c>
      <c r="E8" s="81" t="s">
        <v>393</v>
      </c>
      <c r="F8" s="81" t="s">
        <v>395</v>
      </c>
      <c r="G8" s="94">
        <v>27</v>
      </c>
      <c r="H8" s="81" t="s">
        <v>393</v>
      </c>
      <c r="I8" s="81" t="s">
        <v>15</v>
      </c>
      <c r="J8" s="81" t="s">
        <v>512</v>
      </c>
    </row>
    <row r="9" spans="1:10" ht="12" customHeight="1" x14ac:dyDescent="0.3">
      <c r="A9" s="81" t="s">
        <v>513</v>
      </c>
      <c r="B9" s="81" t="s">
        <v>1428</v>
      </c>
      <c r="C9" s="81" t="s">
        <v>1435</v>
      </c>
      <c r="D9" s="81" t="s">
        <v>511</v>
      </c>
      <c r="E9" s="81" t="s">
        <v>393</v>
      </c>
      <c r="F9" s="81" t="s">
        <v>395</v>
      </c>
      <c r="G9" s="94">
        <v>26</v>
      </c>
      <c r="H9" s="81" t="s">
        <v>393</v>
      </c>
      <c r="I9" s="81" t="s">
        <v>14</v>
      </c>
      <c r="J9" s="81" t="s">
        <v>514</v>
      </c>
    </row>
    <row r="10" spans="1:10" ht="12" customHeight="1" x14ac:dyDescent="0.3">
      <c r="A10" s="81" t="s">
        <v>515</v>
      </c>
      <c r="B10" s="81" t="s">
        <v>1428</v>
      </c>
      <c r="C10" s="81" t="s">
        <v>1435</v>
      </c>
      <c r="D10" s="81" t="s">
        <v>516</v>
      </c>
      <c r="E10" s="81" t="s">
        <v>393</v>
      </c>
      <c r="F10" s="81" t="s">
        <v>395</v>
      </c>
      <c r="G10" s="94">
        <v>27</v>
      </c>
      <c r="H10" s="81" t="s">
        <v>393</v>
      </c>
      <c r="I10" s="81" t="s">
        <v>15</v>
      </c>
      <c r="J10" s="81" t="s">
        <v>512</v>
      </c>
    </row>
    <row r="11" spans="1:10" ht="12" customHeight="1" x14ac:dyDescent="0.3">
      <c r="A11" s="81" t="s">
        <v>517</v>
      </c>
      <c r="B11" s="81" t="s">
        <v>1428</v>
      </c>
      <c r="C11" s="81" t="s">
        <v>1435</v>
      </c>
      <c r="D11" s="81" t="s">
        <v>518</v>
      </c>
      <c r="E11" s="81" t="s">
        <v>393</v>
      </c>
      <c r="F11" s="81" t="s">
        <v>395</v>
      </c>
      <c r="G11" s="94">
        <v>27</v>
      </c>
      <c r="H11" s="81" t="s">
        <v>393</v>
      </c>
      <c r="I11" s="81" t="s">
        <v>15</v>
      </c>
      <c r="J11" s="81" t="s">
        <v>512</v>
      </c>
    </row>
    <row r="12" spans="1:10" ht="12" customHeight="1" x14ac:dyDescent="0.3">
      <c r="A12" s="81" t="s">
        <v>519</v>
      </c>
      <c r="B12" s="81" t="s">
        <v>1428</v>
      </c>
      <c r="C12" s="81" t="s">
        <v>1435</v>
      </c>
      <c r="D12" s="81" t="s">
        <v>520</v>
      </c>
      <c r="E12" s="81" t="s">
        <v>393</v>
      </c>
      <c r="F12" s="81" t="s">
        <v>395</v>
      </c>
      <c r="G12" s="94">
        <v>27</v>
      </c>
      <c r="H12" s="81" t="s">
        <v>393</v>
      </c>
      <c r="I12" s="81" t="s">
        <v>15</v>
      </c>
      <c r="J12" s="81" t="s">
        <v>512</v>
      </c>
    </row>
    <row r="13" spans="1:10" ht="12" customHeight="1" x14ac:dyDescent="0.3">
      <c r="A13" s="81" t="s">
        <v>521</v>
      </c>
      <c r="B13" s="81" t="s">
        <v>1428</v>
      </c>
      <c r="C13" s="81" t="s">
        <v>1435</v>
      </c>
      <c r="D13" s="81" t="s">
        <v>522</v>
      </c>
      <c r="E13" s="81" t="s">
        <v>393</v>
      </c>
      <c r="F13" s="81" t="s">
        <v>395</v>
      </c>
      <c r="G13" s="94">
        <v>27</v>
      </c>
      <c r="H13" s="81" t="s">
        <v>393</v>
      </c>
      <c r="I13" s="81" t="s">
        <v>15</v>
      </c>
      <c r="J13" s="81" t="s">
        <v>512</v>
      </c>
    </row>
    <row r="14" spans="1:10" ht="12" customHeight="1" x14ac:dyDescent="0.3">
      <c r="A14" s="81" t="s">
        <v>523</v>
      </c>
      <c r="B14" s="81" t="s">
        <v>1428</v>
      </c>
      <c r="C14" s="81" t="s">
        <v>1435</v>
      </c>
      <c r="D14" s="81" t="s">
        <v>524</v>
      </c>
      <c r="E14" s="81" t="s">
        <v>393</v>
      </c>
      <c r="F14" s="81"/>
      <c r="G14" s="94">
        <v>26</v>
      </c>
      <c r="H14" s="81" t="s">
        <v>393</v>
      </c>
      <c r="I14" s="81" t="s">
        <v>14</v>
      </c>
      <c r="J14" s="81" t="s">
        <v>525</v>
      </c>
    </row>
    <row r="15" spans="1:10" ht="12" customHeight="1" x14ac:dyDescent="0.3">
      <c r="A15" s="81" t="s">
        <v>526</v>
      </c>
      <c r="B15" s="81" t="s">
        <v>1428</v>
      </c>
      <c r="C15" s="81" t="s">
        <v>1435</v>
      </c>
      <c r="D15" s="81" t="s">
        <v>527</v>
      </c>
      <c r="E15" s="81"/>
      <c r="F15" s="81" t="s">
        <v>395</v>
      </c>
      <c r="G15" s="94">
        <v>26</v>
      </c>
      <c r="H15" s="81" t="s">
        <v>395</v>
      </c>
      <c r="I15" s="81" t="s">
        <v>14</v>
      </c>
      <c r="J15" s="81" t="s">
        <v>528</v>
      </c>
    </row>
    <row r="16" spans="1:10" ht="12" customHeight="1" x14ac:dyDescent="0.3">
      <c r="A16" s="81" t="s">
        <v>529</v>
      </c>
      <c r="B16" s="81" t="s">
        <v>1438</v>
      </c>
      <c r="C16" s="81" t="s">
        <v>1439</v>
      </c>
      <c r="D16" s="81" t="s">
        <v>530</v>
      </c>
      <c r="E16" s="81" t="s">
        <v>393</v>
      </c>
      <c r="F16" s="81"/>
      <c r="G16" s="94">
        <v>25</v>
      </c>
      <c r="H16" s="81" t="s">
        <v>393</v>
      </c>
      <c r="I16" s="81" t="s">
        <v>13</v>
      </c>
      <c r="J16" s="81" t="s">
        <v>531</v>
      </c>
    </row>
    <row r="17" spans="1:10" ht="12" customHeight="1" x14ac:dyDescent="0.3">
      <c r="A17" s="81" t="s">
        <v>532</v>
      </c>
      <c r="B17" s="81" t="s">
        <v>1438</v>
      </c>
      <c r="C17" s="81" t="s">
        <v>1439</v>
      </c>
      <c r="D17" s="81" t="s">
        <v>533</v>
      </c>
      <c r="E17" s="81" t="s">
        <v>393</v>
      </c>
      <c r="F17" s="81"/>
      <c r="G17" s="94">
        <v>25</v>
      </c>
      <c r="H17" s="81" t="s">
        <v>393</v>
      </c>
      <c r="I17" s="81" t="s">
        <v>13</v>
      </c>
      <c r="J17" s="81" t="s">
        <v>531</v>
      </c>
    </row>
    <row r="18" spans="1:10" ht="12" customHeight="1" x14ac:dyDescent="0.3">
      <c r="A18" s="81" t="s">
        <v>534</v>
      </c>
      <c r="B18" s="81" t="s">
        <v>1438</v>
      </c>
      <c r="C18" s="81" t="s">
        <v>1439</v>
      </c>
      <c r="D18" s="81" t="s">
        <v>535</v>
      </c>
      <c r="E18" s="81" t="s">
        <v>393</v>
      </c>
      <c r="F18" s="81"/>
      <c r="G18" s="94">
        <v>25</v>
      </c>
      <c r="H18" s="81" t="s">
        <v>393</v>
      </c>
      <c r="I18" s="81" t="s">
        <v>13</v>
      </c>
      <c r="J18" s="81" t="s">
        <v>531</v>
      </c>
    </row>
    <row r="19" spans="1:10" ht="12" customHeight="1" x14ac:dyDescent="0.3">
      <c r="A19" s="81" t="s">
        <v>536</v>
      </c>
      <c r="B19" s="81" t="s">
        <v>1438</v>
      </c>
      <c r="C19" s="81" t="s">
        <v>1439</v>
      </c>
      <c r="D19" s="81" t="s">
        <v>537</v>
      </c>
      <c r="E19" s="81" t="s">
        <v>393</v>
      </c>
      <c r="F19" s="81"/>
      <c r="G19" s="94">
        <v>25</v>
      </c>
      <c r="H19" s="81" t="s">
        <v>393</v>
      </c>
      <c r="I19" s="81" t="s">
        <v>13</v>
      </c>
      <c r="J19" s="81" t="s">
        <v>531</v>
      </c>
    </row>
    <row r="20" spans="1:10" ht="12" customHeight="1" x14ac:dyDescent="0.3">
      <c r="A20" s="81" t="s">
        <v>538</v>
      </c>
      <c r="B20" s="81" t="s">
        <v>1438</v>
      </c>
      <c r="C20" s="81" t="s">
        <v>1439</v>
      </c>
      <c r="D20" s="81" t="s">
        <v>539</v>
      </c>
      <c r="E20" s="81" t="s">
        <v>393</v>
      </c>
      <c r="F20" s="81"/>
      <c r="G20" s="94">
        <v>25</v>
      </c>
      <c r="H20" s="81" t="s">
        <v>393</v>
      </c>
      <c r="I20" s="81" t="s">
        <v>13</v>
      </c>
      <c r="J20" s="81" t="s">
        <v>531</v>
      </c>
    </row>
    <row r="21" spans="1:10" ht="12" customHeight="1" x14ac:dyDescent="0.3">
      <c r="A21" s="81" t="s">
        <v>540</v>
      </c>
      <c r="B21" s="81" t="s">
        <v>1438</v>
      </c>
      <c r="C21" s="81" t="s">
        <v>1439</v>
      </c>
      <c r="D21" s="81" t="s">
        <v>541</v>
      </c>
      <c r="E21" s="81" t="s">
        <v>393</v>
      </c>
      <c r="F21" s="81"/>
      <c r="G21" s="94">
        <v>25</v>
      </c>
      <c r="H21" s="81" t="s">
        <v>393</v>
      </c>
      <c r="I21" s="81" t="s">
        <v>13</v>
      </c>
      <c r="J21" s="81" t="s">
        <v>531</v>
      </c>
    </row>
    <row r="22" spans="1:10" ht="12" customHeight="1" x14ac:dyDescent="0.3">
      <c r="A22" s="81" t="s">
        <v>542</v>
      </c>
      <c r="B22" s="81" t="s">
        <v>1438</v>
      </c>
      <c r="C22" s="81" t="s">
        <v>1439</v>
      </c>
      <c r="D22" s="81" t="s">
        <v>543</v>
      </c>
      <c r="E22" s="81" t="s">
        <v>393</v>
      </c>
      <c r="F22" s="81"/>
      <c r="G22" s="94">
        <v>25</v>
      </c>
      <c r="H22" s="81" t="s">
        <v>393</v>
      </c>
      <c r="I22" s="81" t="s">
        <v>13</v>
      </c>
      <c r="J22" s="81" t="s">
        <v>531</v>
      </c>
    </row>
    <row r="23" spans="1:10" ht="12" customHeight="1" x14ac:dyDescent="0.3">
      <c r="A23" s="81" t="s">
        <v>544</v>
      </c>
      <c r="B23" s="81" t="s">
        <v>1438</v>
      </c>
      <c r="C23" s="81" t="s">
        <v>1439</v>
      </c>
      <c r="D23" s="81" t="s">
        <v>545</v>
      </c>
      <c r="E23" s="81" t="s">
        <v>393</v>
      </c>
      <c r="F23" s="81"/>
      <c r="G23" s="94">
        <v>25</v>
      </c>
      <c r="H23" s="81" t="s">
        <v>393</v>
      </c>
      <c r="I23" s="81" t="s">
        <v>13</v>
      </c>
      <c r="J23" s="81" t="s">
        <v>531</v>
      </c>
    </row>
    <row r="24" spans="1:10" ht="12" customHeight="1" x14ac:dyDescent="0.3">
      <c r="A24" s="81" t="s">
        <v>546</v>
      </c>
      <c r="B24" s="81" t="s">
        <v>1438</v>
      </c>
      <c r="C24" s="81" t="s">
        <v>1439</v>
      </c>
      <c r="D24" s="81" t="s">
        <v>547</v>
      </c>
      <c r="E24" s="81" t="s">
        <v>393</v>
      </c>
      <c r="F24" s="81"/>
      <c r="G24" s="94">
        <v>25</v>
      </c>
      <c r="H24" s="81" t="s">
        <v>393</v>
      </c>
      <c r="I24" s="81" t="s">
        <v>13</v>
      </c>
      <c r="J24" s="81" t="s">
        <v>531</v>
      </c>
    </row>
    <row r="25" spans="1:10" ht="12" customHeight="1" x14ac:dyDescent="0.3">
      <c r="A25" s="81" t="s">
        <v>548</v>
      </c>
      <c r="B25" s="81" t="s">
        <v>1438</v>
      </c>
      <c r="C25" s="81" t="s">
        <v>1439</v>
      </c>
      <c r="D25" s="81" t="s">
        <v>549</v>
      </c>
      <c r="E25" s="81" t="s">
        <v>393</v>
      </c>
      <c r="F25" s="81"/>
      <c r="G25" s="94">
        <v>25</v>
      </c>
      <c r="H25" s="81" t="s">
        <v>393</v>
      </c>
      <c r="I25" s="81" t="s">
        <v>13</v>
      </c>
      <c r="J25" s="81" t="s">
        <v>531</v>
      </c>
    </row>
    <row r="26" spans="1:10" ht="12" customHeight="1" x14ac:dyDescent="0.3">
      <c r="A26" s="81" t="s">
        <v>550</v>
      </c>
      <c r="B26" s="81" t="s">
        <v>1438</v>
      </c>
      <c r="C26" s="81" t="s">
        <v>1439</v>
      </c>
      <c r="D26" s="81" t="s">
        <v>551</v>
      </c>
      <c r="E26" s="81" t="s">
        <v>393</v>
      </c>
      <c r="F26" s="81"/>
      <c r="G26" s="94">
        <v>25</v>
      </c>
      <c r="H26" s="81" t="s">
        <v>393</v>
      </c>
      <c r="I26" s="81" t="s">
        <v>13</v>
      </c>
      <c r="J26" s="81" t="s">
        <v>531</v>
      </c>
    </row>
    <row r="27" spans="1:10" ht="12" customHeight="1" x14ac:dyDescent="0.3">
      <c r="A27" s="81" t="s">
        <v>552</v>
      </c>
      <c r="B27" s="81" t="s">
        <v>1438</v>
      </c>
      <c r="C27" s="81" t="s">
        <v>1439</v>
      </c>
      <c r="D27" s="81" t="s">
        <v>553</v>
      </c>
      <c r="E27" s="81" t="s">
        <v>393</v>
      </c>
      <c r="F27" s="81"/>
      <c r="G27" s="94">
        <v>25</v>
      </c>
      <c r="H27" s="81" t="s">
        <v>393</v>
      </c>
      <c r="I27" s="81" t="s">
        <v>13</v>
      </c>
      <c r="J27" s="81" t="s">
        <v>531</v>
      </c>
    </row>
    <row r="28" spans="1:10" ht="12" customHeight="1" x14ac:dyDescent="0.3">
      <c r="A28" s="81" t="s">
        <v>554</v>
      </c>
      <c r="B28" s="81" t="s">
        <v>1438</v>
      </c>
      <c r="C28" s="81" t="s">
        <v>1439</v>
      </c>
      <c r="D28" s="81" t="s">
        <v>555</v>
      </c>
      <c r="E28" s="81" t="s">
        <v>393</v>
      </c>
      <c r="F28" s="81"/>
      <c r="G28" s="94">
        <v>25</v>
      </c>
      <c r="H28" s="81" t="s">
        <v>393</v>
      </c>
      <c r="I28" s="81" t="s">
        <v>13</v>
      </c>
      <c r="J28" s="81" t="s">
        <v>531</v>
      </c>
    </row>
    <row r="29" spans="1:10" ht="12" customHeight="1" x14ac:dyDescent="0.3">
      <c r="A29" s="81" t="s">
        <v>556</v>
      </c>
      <c r="B29" s="81" t="s">
        <v>1438</v>
      </c>
      <c r="C29" s="81" t="s">
        <v>1439</v>
      </c>
      <c r="D29" s="81" t="s">
        <v>557</v>
      </c>
      <c r="E29" s="81" t="s">
        <v>393</v>
      </c>
      <c r="F29" s="81"/>
      <c r="G29" s="94">
        <v>25</v>
      </c>
      <c r="H29" s="81" t="s">
        <v>393</v>
      </c>
      <c r="I29" s="81" t="s">
        <v>13</v>
      </c>
      <c r="J29" s="81" t="s">
        <v>531</v>
      </c>
    </row>
    <row r="30" spans="1:10" ht="12" customHeight="1" x14ac:dyDescent="0.3">
      <c r="A30" s="81" t="s">
        <v>558</v>
      </c>
      <c r="B30" s="81" t="s">
        <v>1438</v>
      </c>
      <c r="C30" s="81" t="s">
        <v>1439</v>
      </c>
      <c r="D30" s="81" t="s">
        <v>559</v>
      </c>
      <c r="E30" s="81" t="s">
        <v>393</v>
      </c>
      <c r="F30" s="81"/>
      <c r="G30" s="94">
        <v>25</v>
      </c>
      <c r="H30" s="81" t="s">
        <v>393</v>
      </c>
      <c r="I30" s="81" t="s">
        <v>13</v>
      </c>
      <c r="J30" s="81" t="s">
        <v>531</v>
      </c>
    </row>
    <row r="31" spans="1:10" ht="12" customHeight="1" x14ac:dyDescent="0.3">
      <c r="A31" s="81" t="s">
        <v>560</v>
      </c>
      <c r="B31" s="81" t="s">
        <v>1438</v>
      </c>
      <c r="C31" s="81" t="s">
        <v>1439</v>
      </c>
      <c r="D31" s="81" t="s">
        <v>561</v>
      </c>
      <c r="E31" s="81" t="s">
        <v>393</v>
      </c>
      <c r="F31" s="81"/>
      <c r="G31" s="94">
        <v>25</v>
      </c>
      <c r="H31" s="81" t="s">
        <v>393</v>
      </c>
      <c r="I31" s="81" t="s">
        <v>13</v>
      </c>
      <c r="J31" s="81" t="s">
        <v>531</v>
      </c>
    </row>
    <row r="32" spans="1:10" ht="12" customHeight="1" x14ac:dyDescent="0.3">
      <c r="A32" s="81" t="s">
        <v>562</v>
      </c>
      <c r="B32" s="81" t="s">
        <v>1438</v>
      </c>
      <c r="C32" s="81" t="s">
        <v>1439</v>
      </c>
      <c r="D32" s="81" t="s">
        <v>563</v>
      </c>
      <c r="E32" s="81" t="s">
        <v>393</v>
      </c>
      <c r="F32" s="81"/>
      <c r="G32" s="94">
        <v>25</v>
      </c>
      <c r="H32" s="81" t="s">
        <v>393</v>
      </c>
      <c r="I32" s="81" t="s">
        <v>13</v>
      </c>
      <c r="J32" s="81" t="s">
        <v>531</v>
      </c>
    </row>
    <row r="33" spans="1:10" ht="12" customHeight="1" x14ac:dyDescent="0.3">
      <c r="A33" s="81" t="s">
        <v>564</v>
      </c>
      <c r="B33" s="81" t="s">
        <v>1438</v>
      </c>
      <c r="C33" s="81" t="s">
        <v>1439</v>
      </c>
      <c r="D33" s="81" t="s">
        <v>565</v>
      </c>
      <c r="E33" s="81" t="s">
        <v>393</v>
      </c>
      <c r="F33" s="81"/>
      <c r="G33" s="94">
        <v>25</v>
      </c>
      <c r="H33" s="81" t="s">
        <v>393</v>
      </c>
      <c r="I33" s="81" t="s">
        <v>13</v>
      </c>
      <c r="J33" s="81" t="s">
        <v>531</v>
      </c>
    </row>
    <row r="34" spans="1:10" ht="12" customHeight="1" x14ac:dyDescent="0.3">
      <c r="A34" s="81" t="s">
        <v>566</v>
      </c>
      <c r="B34" s="81" t="s">
        <v>1438</v>
      </c>
      <c r="C34" s="81" t="s">
        <v>1439</v>
      </c>
      <c r="D34" s="81" t="s">
        <v>567</v>
      </c>
      <c r="E34" s="81" t="s">
        <v>393</v>
      </c>
      <c r="F34" s="81"/>
      <c r="G34" s="94">
        <v>25</v>
      </c>
      <c r="H34" s="81" t="s">
        <v>393</v>
      </c>
      <c r="I34" s="81" t="s">
        <v>13</v>
      </c>
      <c r="J34" s="81" t="s">
        <v>531</v>
      </c>
    </row>
    <row r="35" spans="1:10" ht="12" customHeight="1" x14ac:dyDescent="0.3">
      <c r="A35" s="81" t="s">
        <v>568</v>
      </c>
      <c r="B35" s="81" t="s">
        <v>1438</v>
      </c>
      <c r="C35" s="81" t="s">
        <v>1439</v>
      </c>
      <c r="D35" s="81" t="s">
        <v>569</v>
      </c>
      <c r="E35" s="81" t="s">
        <v>393</v>
      </c>
      <c r="F35" s="81"/>
      <c r="G35" s="94">
        <v>25</v>
      </c>
      <c r="H35" s="81" t="s">
        <v>393</v>
      </c>
      <c r="I35" s="81" t="s">
        <v>13</v>
      </c>
      <c r="J35" s="81" t="s">
        <v>531</v>
      </c>
    </row>
    <row r="36" spans="1:10" ht="12" customHeight="1" x14ac:dyDescent="0.3">
      <c r="A36" s="81" t="s">
        <v>570</v>
      </c>
      <c r="B36" s="81" t="s">
        <v>1438</v>
      </c>
      <c r="C36" s="81" t="s">
        <v>1439</v>
      </c>
      <c r="D36" s="81" t="s">
        <v>571</v>
      </c>
      <c r="E36" s="81" t="s">
        <v>393</v>
      </c>
      <c r="F36" s="81"/>
      <c r="G36" s="94">
        <v>25</v>
      </c>
      <c r="H36" s="81" t="s">
        <v>393</v>
      </c>
      <c r="I36" s="81" t="s">
        <v>13</v>
      </c>
      <c r="J36" s="81" t="s">
        <v>531</v>
      </c>
    </row>
    <row r="37" spans="1:10" ht="12" customHeight="1" x14ac:dyDescent="0.3">
      <c r="A37" s="81" t="s">
        <v>572</v>
      </c>
      <c r="B37" s="81" t="s">
        <v>1438</v>
      </c>
      <c r="C37" s="81" t="s">
        <v>1441</v>
      </c>
      <c r="D37" s="81" t="s">
        <v>573</v>
      </c>
      <c r="E37" s="81" t="s">
        <v>395</v>
      </c>
      <c r="F37" s="81"/>
      <c r="G37" s="94">
        <v>24</v>
      </c>
      <c r="H37" s="81" t="s">
        <v>395</v>
      </c>
      <c r="I37" s="81" t="s">
        <v>12</v>
      </c>
      <c r="J37" s="81" t="s">
        <v>574</v>
      </c>
    </row>
    <row r="38" spans="1:10" ht="12" customHeight="1" x14ac:dyDescent="0.3">
      <c r="A38" s="81" t="s">
        <v>575</v>
      </c>
      <c r="B38" s="81" t="s">
        <v>1438</v>
      </c>
      <c r="C38" s="81" t="s">
        <v>1441</v>
      </c>
      <c r="D38" s="81" t="s">
        <v>576</v>
      </c>
      <c r="E38" s="81" t="s">
        <v>395</v>
      </c>
      <c r="F38" s="81"/>
      <c r="G38" s="94">
        <v>24</v>
      </c>
      <c r="H38" s="81" t="s">
        <v>395</v>
      </c>
      <c r="I38" s="81" t="s">
        <v>12</v>
      </c>
      <c r="J38" s="81" t="s">
        <v>574</v>
      </c>
    </row>
    <row r="39" spans="1:10" ht="12" customHeight="1" x14ac:dyDescent="0.3">
      <c r="A39" s="81" t="s">
        <v>577</v>
      </c>
      <c r="B39" s="81" t="s">
        <v>1438</v>
      </c>
      <c r="C39" s="81" t="s">
        <v>1441</v>
      </c>
      <c r="D39" s="81" t="s">
        <v>578</v>
      </c>
      <c r="E39" s="81" t="s">
        <v>395</v>
      </c>
      <c r="F39" s="81"/>
      <c r="G39" s="94">
        <v>24</v>
      </c>
      <c r="H39" s="81" t="s">
        <v>395</v>
      </c>
      <c r="I39" s="81" t="s">
        <v>12</v>
      </c>
      <c r="J39" s="81" t="s">
        <v>574</v>
      </c>
    </row>
    <row r="40" spans="1:10" ht="12" customHeight="1" x14ac:dyDescent="0.3">
      <c r="A40" s="81" t="s">
        <v>579</v>
      </c>
      <c r="B40" s="81" t="s">
        <v>1438</v>
      </c>
      <c r="C40" s="81" t="s">
        <v>1441</v>
      </c>
      <c r="D40" s="81" t="s">
        <v>580</v>
      </c>
      <c r="E40" s="81" t="s">
        <v>395</v>
      </c>
      <c r="F40" s="81"/>
      <c r="G40" s="94">
        <v>24</v>
      </c>
      <c r="H40" s="81" t="s">
        <v>395</v>
      </c>
      <c r="I40" s="81" t="s">
        <v>12</v>
      </c>
      <c r="J40" s="81" t="s">
        <v>574</v>
      </c>
    </row>
    <row r="41" spans="1:10" ht="12" customHeight="1" x14ac:dyDescent="0.3">
      <c r="A41" s="81" t="s">
        <v>581</v>
      </c>
      <c r="B41" s="81" t="s">
        <v>1438</v>
      </c>
      <c r="C41" s="81" t="s">
        <v>1441</v>
      </c>
      <c r="D41" s="81" t="s">
        <v>582</v>
      </c>
      <c r="E41" s="81" t="s">
        <v>395</v>
      </c>
      <c r="F41" s="81"/>
      <c r="G41" s="94">
        <v>24</v>
      </c>
      <c r="H41" s="81" t="s">
        <v>395</v>
      </c>
      <c r="I41" s="81" t="s">
        <v>12</v>
      </c>
      <c r="J41" s="81" t="s">
        <v>574</v>
      </c>
    </row>
    <row r="42" spans="1:10" ht="12" customHeight="1" x14ac:dyDescent="0.3">
      <c r="A42" s="81" t="s">
        <v>583</v>
      </c>
      <c r="B42" s="81" t="s">
        <v>1438</v>
      </c>
      <c r="C42" s="81" t="s">
        <v>1441</v>
      </c>
      <c r="D42" s="81" t="s">
        <v>584</v>
      </c>
      <c r="E42" s="81" t="s">
        <v>395</v>
      </c>
      <c r="F42" s="81"/>
      <c r="G42" s="94">
        <v>24</v>
      </c>
      <c r="H42" s="81" t="s">
        <v>395</v>
      </c>
      <c r="I42" s="81" t="s">
        <v>12</v>
      </c>
      <c r="J42" s="81" t="s">
        <v>574</v>
      </c>
    </row>
    <row r="43" spans="1:10" ht="12" customHeight="1" x14ac:dyDescent="0.3">
      <c r="A43" s="81" t="s">
        <v>585</v>
      </c>
      <c r="B43" s="81" t="s">
        <v>1438</v>
      </c>
      <c r="C43" s="81" t="s">
        <v>1441</v>
      </c>
      <c r="D43" s="81" t="s">
        <v>586</v>
      </c>
      <c r="E43" s="81" t="s">
        <v>395</v>
      </c>
      <c r="F43" s="81"/>
      <c r="G43" s="94">
        <v>24</v>
      </c>
      <c r="H43" s="81" t="s">
        <v>395</v>
      </c>
      <c r="I43" s="81" t="s">
        <v>12</v>
      </c>
      <c r="J43" s="81" t="s">
        <v>574</v>
      </c>
    </row>
    <row r="44" spans="1:10" ht="12" customHeight="1" x14ac:dyDescent="0.3">
      <c r="A44" s="81" t="s">
        <v>587</v>
      </c>
      <c r="B44" s="81" t="s">
        <v>1438</v>
      </c>
      <c r="C44" s="81" t="s">
        <v>1441</v>
      </c>
      <c r="D44" s="81" t="s">
        <v>588</v>
      </c>
      <c r="E44" s="81" t="s">
        <v>395</v>
      </c>
      <c r="F44" s="81"/>
      <c r="G44" s="94">
        <v>24</v>
      </c>
      <c r="H44" s="81" t="s">
        <v>395</v>
      </c>
      <c r="I44" s="81" t="s">
        <v>12</v>
      </c>
      <c r="J44" s="81" t="s">
        <v>574</v>
      </c>
    </row>
    <row r="45" spans="1:10" ht="12" customHeight="1" x14ac:dyDescent="0.3">
      <c r="A45" s="81" t="s">
        <v>589</v>
      </c>
      <c r="B45" s="81" t="s">
        <v>1438</v>
      </c>
      <c r="C45" s="81" t="s">
        <v>1441</v>
      </c>
      <c r="D45" s="81" t="s">
        <v>590</v>
      </c>
      <c r="E45" s="81" t="s">
        <v>395</v>
      </c>
      <c r="F45" s="81"/>
      <c r="G45" s="94">
        <v>24</v>
      </c>
      <c r="H45" s="81" t="s">
        <v>395</v>
      </c>
      <c r="I45" s="81" t="s">
        <v>12</v>
      </c>
      <c r="J45" s="81" t="s">
        <v>574</v>
      </c>
    </row>
    <row r="46" spans="1:10" ht="12" customHeight="1" x14ac:dyDescent="0.3">
      <c r="A46" s="81" t="s">
        <v>591</v>
      </c>
      <c r="B46" s="81" t="s">
        <v>1438</v>
      </c>
      <c r="C46" s="81" t="s">
        <v>1441</v>
      </c>
      <c r="D46" s="81" t="s">
        <v>592</v>
      </c>
      <c r="E46" s="81" t="s">
        <v>395</v>
      </c>
      <c r="F46" s="81"/>
      <c r="G46" s="94">
        <v>24</v>
      </c>
      <c r="H46" s="81" t="s">
        <v>395</v>
      </c>
      <c r="I46" s="81" t="s">
        <v>12</v>
      </c>
      <c r="J46" s="81" t="s">
        <v>574</v>
      </c>
    </row>
    <row r="47" spans="1:10" ht="12" customHeight="1" x14ac:dyDescent="0.3">
      <c r="A47" s="81" t="s">
        <v>593</v>
      </c>
      <c r="B47" s="81" t="s">
        <v>1438</v>
      </c>
      <c r="C47" s="81" t="s">
        <v>1441</v>
      </c>
      <c r="D47" s="81" t="s">
        <v>594</v>
      </c>
      <c r="E47" s="81" t="s">
        <v>395</v>
      </c>
      <c r="F47" s="81"/>
      <c r="G47" s="94">
        <v>24</v>
      </c>
      <c r="H47" s="81" t="s">
        <v>395</v>
      </c>
      <c r="I47" s="81" t="s">
        <v>12</v>
      </c>
      <c r="J47" s="81" t="s">
        <v>574</v>
      </c>
    </row>
    <row r="48" spans="1:10" ht="12" customHeight="1" x14ac:dyDescent="0.3">
      <c r="A48" s="81" t="s">
        <v>595</v>
      </c>
      <c r="B48" s="81" t="s">
        <v>1438</v>
      </c>
      <c r="C48" s="81" t="s">
        <v>1441</v>
      </c>
      <c r="D48" s="81" t="s">
        <v>596</v>
      </c>
      <c r="E48" s="81" t="s">
        <v>395</v>
      </c>
      <c r="F48" s="81"/>
      <c r="G48" s="94">
        <v>24</v>
      </c>
      <c r="H48" s="81" t="s">
        <v>395</v>
      </c>
      <c r="I48" s="81" t="s">
        <v>12</v>
      </c>
      <c r="J48" s="81" t="s">
        <v>574</v>
      </c>
    </row>
    <row r="49" spans="1:10" ht="12" customHeight="1" x14ac:dyDescent="0.3">
      <c r="A49" s="81" t="s">
        <v>597</v>
      </c>
      <c r="B49" s="81" t="s">
        <v>1438</v>
      </c>
      <c r="C49" s="81" t="s">
        <v>1441</v>
      </c>
      <c r="D49" s="81" t="s">
        <v>598</v>
      </c>
      <c r="E49" s="81" t="s">
        <v>395</v>
      </c>
      <c r="F49" s="81"/>
      <c r="G49" s="94">
        <v>24</v>
      </c>
      <c r="H49" s="81" t="s">
        <v>395</v>
      </c>
      <c r="I49" s="81" t="s">
        <v>12</v>
      </c>
      <c r="J49" s="81" t="s">
        <v>574</v>
      </c>
    </row>
    <row r="50" spans="1:10" ht="12" customHeight="1" x14ac:dyDescent="0.3">
      <c r="A50" s="81" t="s">
        <v>599</v>
      </c>
      <c r="B50" s="81" t="s">
        <v>1438</v>
      </c>
      <c r="C50" s="81" t="s">
        <v>1441</v>
      </c>
      <c r="D50" s="81" t="s">
        <v>600</v>
      </c>
      <c r="E50" s="81" t="s">
        <v>395</v>
      </c>
      <c r="F50" s="81"/>
      <c r="G50" s="94">
        <v>24</v>
      </c>
      <c r="H50" s="81" t="s">
        <v>395</v>
      </c>
      <c r="I50" s="81" t="s">
        <v>12</v>
      </c>
      <c r="J50" s="81" t="s">
        <v>574</v>
      </c>
    </row>
    <row r="51" spans="1:10" ht="12" customHeight="1" x14ac:dyDescent="0.3">
      <c r="A51" s="81" t="s">
        <v>601</v>
      </c>
      <c r="B51" s="81" t="s">
        <v>1438</v>
      </c>
      <c r="C51" s="81" t="s">
        <v>1441</v>
      </c>
      <c r="D51" s="81" t="s">
        <v>602</v>
      </c>
      <c r="E51" s="81" t="s">
        <v>395</v>
      </c>
      <c r="F51" s="81"/>
      <c r="G51" s="94">
        <v>24</v>
      </c>
      <c r="H51" s="81" t="s">
        <v>395</v>
      </c>
      <c r="I51" s="81" t="s">
        <v>12</v>
      </c>
      <c r="J51" s="81" t="s">
        <v>574</v>
      </c>
    </row>
    <row r="52" spans="1:10" ht="12" customHeight="1" x14ac:dyDescent="0.3">
      <c r="A52" s="81" t="s">
        <v>603</v>
      </c>
      <c r="B52" s="81" t="s">
        <v>1438</v>
      </c>
      <c r="C52" s="81" t="s">
        <v>1441</v>
      </c>
      <c r="D52" s="81" t="s">
        <v>604</v>
      </c>
      <c r="E52" s="81" t="s">
        <v>395</v>
      </c>
      <c r="F52" s="81"/>
      <c r="G52" s="94">
        <v>24</v>
      </c>
      <c r="H52" s="81" t="s">
        <v>395</v>
      </c>
      <c r="I52" s="81" t="s">
        <v>12</v>
      </c>
      <c r="J52" s="81" t="s">
        <v>574</v>
      </c>
    </row>
    <row r="53" spans="1:10" ht="12" customHeight="1" x14ac:dyDescent="0.3">
      <c r="A53" s="81" t="s">
        <v>605</v>
      </c>
      <c r="B53" s="81" t="s">
        <v>1438</v>
      </c>
      <c r="C53" s="81" t="s">
        <v>1441</v>
      </c>
      <c r="D53" s="81" t="s">
        <v>606</v>
      </c>
      <c r="E53" s="81" t="s">
        <v>395</v>
      </c>
      <c r="F53" s="81"/>
      <c r="G53" s="94">
        <v>24</v>
      </c>
      <c r="H53" s="81" t="s">
        <v>395</v>
      </c>
      <c r="I53" s="81" t="s">
        <v>12</v>
      </c>
      <c r="J53" s="81" t="s">
        <v>574</v>
      </c>
    </row>
    <row r="54" spans="1:10" ht="12" customHeight="1" x14ac:dyDescent="0.3">
      <c r="A54" s="81" t="s">
        <v>607</v>
      </c>
      <c r="B54" s="81" t="s">
        <v>1438</v>
      </c>
      <c r="C54" s="81" t="s">
        <v>1441</v>
      </c>
      <c r="D54" s="81" t="s">
        <v>608</v>
      </c>
      <c r="E54" s="81" t="s">
        <v>395</v>
      </c>
      <c r="F54" s="81"/>
      <c r="G54" s="94">
        <v>24</v>
      </c>
      <c r="H54" s="81" t="s">
        <v>395</v>
      </c>
      <c r="I54" s="81" t="s">
        <v>12</v>
      </c>
      <c r="J54" s="81" t="s">
        <v>574</v>
      </c>
    </row>
    <row r="55" spans="1:10" ht="12" customHeight="1" x14ac:dyDescent="0.3">
      <c r="A55" s="81" t="s">
        <v>609</v>
      </c>
      <c r="B55" s="81" t="s">
        <v>1438</v>
      </c>
      <c r="C55" s="81" t="s">
        <v>1441</v>
      </c>
      <c r="D55" s="81" t="s">
        <v>610</v>
      </c>
      <c r="E55" s="81" t="s">
        <v>395</v>
      </c>
      <c r="F55" s="81"/>
      <c r="G55" s="94">
        <v>24</v>
      </c>
      <c r="H55" s="81" t="s">
        <v>395</v>
      </c>
      <c r="I55" s="81" t="s">
        <v>12</v>
      </c>
      <c r="J55" s="81" t="s">
        <v>574</v>
      </c>
    </row>
    <row r="56" spans="1:10" ht="12" customHeight="1" x14ac:dyDescent="0.3">
      <c r="A56" s="81" t="s">
        <v>611</v>
      </c>
      <c r="B56" s="81" t="s">
        <v>1438</v>
      </c>
      <c r="C56" s="81" t="s">
        <v>1441</v>
      </c>
      <c r="D56" s="81" t="s">
        <v>612</v>
      </c>
      <c r="E56" s="81" t="s">
        <v>395</v>
      </c>
      <c r="F56" s="81"/>
      <c r="G56" s="94">
        <v>24</v>
      </c>
      <c r="H56" s="81" t="s">
        <v>395</v>
      </c>
      <c r="I56" s="81" t="s">
        <v>12</v>
      </c>
      <c r="J56" s="81" t="s">
        <v>574</v>
      </c>
    </row>
    <row r="57" spans="1:10" ht="12" customHeight="1" x14ac:dyDescent="0.3">
      <c r="A57" s="81" t="s">
        <v>613</v>
      </c>
      <c r="B57" s="81" t="s">
        <v>1438</v>
      </c>
      <c r="C57" s="81" t="s">
        <v>1441</v>
      </c>
      <c r="D57" s="81" t="s">
        <v>614</v>
      </c>
      <c r="E57" s="81" t="s">
        <v>395</v>
      </c>
      <c r="F57" s="81"/>
      <c r="G57" s="94">
        <v>24</v>
      </c>
      <c r="H57" s="81" t="s">
        <v>395</v>
      </c>
      <c r="I57" s="81" t="s">
        <v>12</v>
      </c>
      <c r="J57" s="81" t="s">
        <v>574</v>
      </c>
    </row>
    <row r="58" spans="1:10" ht="12" customHeight="1" x14ac:dyDescent="0.3">
      <c r="A58" s="81" t="s">
        <v>615</v>
      </c>
      <c r="B58" s="81" t="s">
        <v>1438</v>
      </c>
      <c r="C58" s="81" t="s">
        <v>1441</v>
      </c>
      <c r="D58" s="81" t="s">
        <v>616</v>
      </c>
      <c r="E58" s="81" t="s">
        <v>395</v>
      </c>
      <c r="F58" s="81"/>
      <c r="G58" s="94">
        <v>24</v>
      </c>
      <c r="H58" s="81" t="s">
        <v>395</v>
      </c>
      <c r="I58" s="81" t="s">
        <v>12</v>
      </c>
      <c r="J58" s="81" t="s">
        <v>574</v>
      </c>
    </row>
    <row r="59" spans="1:10" ht="12" customHeight="1" x14ac:dyDescent="0.3">
      <c r="A59" s="81" t="s">
        <v>617</v>
      </c>
      <c r="B59" s="81" t="s">
        <v>1438</v>
      </c>
      <c r="C59" s="81" t="s">
        <v>1441</v>
      </c>
      <c r="D59" s="81" t="s">
        <v>618</v>
      </c>
      <c r="E59" s="81" t="s">
        <v>395</v>
      </c>
      <c r="F59" s="81"/>
      <c r="G59" s="94">
        <v>24</v>
      </c>
      <c r="H59" s="81" t="s">
        <v>395</v>
      </c>
      <c r="I59" s="81" t="s">
        <v>12</v>
      </c>
      <c r="J59" s="81" t="s">
        <v>574</v>
      </c>
    </row>
    <row r="60" spans="1:10" ht="12" customHeight="1" x14ac:dyDescent="0.3">
      <c r="A60" s="81" t="s">
        <v>619</v>
      </c>
      <c r="B60" s="81" t="s">
        <v>1438</v>
      </c>
      <c r="C60" s="81" t="s">
        <v>1441</v>
      </c>
      <c r="D60" s="81" t="s">
        <v>620</v>
      </c>
      <c r="E60" s="81" t="s">
        <v>395</v>
      </c>
      <c r="F60" s="81"/>
      <c r="G60" s="94">
        <v>24</v>
      </c>
      <c r="H60" s="81" t="s">
        <v>395</v>
      </c>
      <c r="I60" s="81" t="s">
        <v>12</v>
      </c>
      <c r="J60" s="81" t="s">
        <v>574</v>
      </c>
    </row>
    <row r="61" spans="1:10" ht="12" customHeight="1" x14ac:dyDescent="0.3">
      <c r="A61" s="81" t="s">
        <v>621</v>
      </c>
      <c r="B61" s="81" t="s">
        <v>1438</v>
      </c>
      <c r="C61" s="81" t="s">
        <v>1441</v>
      </c>
      <c r="D61" s="81" t="s">
        <v>622</v>
      </c>
      <c r="E61" s="81" t="s">
        <v>395</v>
      </c>
      <c r="F61" s="81"/>
      <c r="G61" s="94">
        <v>24</v>
      </c>
      <c r="H61" s="81" t="s">
        <v>395</v>
      </c>
      <c r="I61" s="81" t="s">
        <v>12</v>
      </c>
      <c r="J61" s="81" t="s">
        <v>574</v>
      </c>
    </row>
    <row r="62" spans="1:10" ht="12" customHeight="1" x14ac:dyDescent="0.3">
      <c r="A62" s="81" t="s">
        <v>623</v>
      </c>
      <c r="B62" s="81" t="s">
        <v>1438</v>
      </c>
      <c r="C62" s="81" t="s">
        <v>1441</v>
      </c>
      <c r="D62" s="81" t="s">
        <v>624</v>
      </c>
      <c r="E62" s="81" t="s">
        <v>395</v>
      </c>
      <c r="F62" s="81"/>
      <c r="G62" s="94">
        <v>24</v>
      </c>
      <c r="H62" s="81" t="s">
        <v>395</v>
      </c>
      <c r="I62" s="81" t="s">
        <v>12</v>
      </c>
      <c r="J62" s="81" t="s">
        <v>574</v>
      </c>
    </row>
    <row r="63" spans="1:10" ht="12" customHeight="1" x14ac:dyDescent="0.3">
      <c r="A63" s="81" t="s">
        <v>625</v>
      </c>
      <c r="B63" s="81" t="s">
        <v>1438</v>
      </c>
      <c r="C63" s="81" t="s">
        <v>1441</v>
      </c>
      <c r="D63" s="81" t="s">
        <v>626</v>
      </c>
      <c r="E63" s="81" t="s">
        <v>395</v>
      </c>
      <c r="F63" s="81"/>
      <c r="G63" s="94">
        <v>24</v>
      </c>
      <c r="H63" s="81" t="s">
        <v>395</v>
      </c>
      <c r="I63" s="81" t="s">
        <v>12</v>
      </c>
      <c r="J63" s="81" t="s">
        <v>574</v>
      </c>
    </row>
    <row r="64" spans="1:10" ht="12" customHeight="1" x14ac:dyDescent="0.3">
      <c r="A64" s="81" t="s">
        <v>627</v>
      </c>
      <c r="B64" s="81" t="s">
        <v>1438</v>
      </c>
      <c r="C64" s="81" t="s">
        <v>1441</v>
      </c>
      <c r="D64" s="81" t="s">
        <v>628</v>
      </c>
      <c r="E64" s="81" t="s">
        <v>395</v>
      </c>
      <c r="F64" s="81"/>
      <c r="G64" s="94">
        <v>22</v>
      </c>
      <c r="H64" s="81" t="s">
        <v>395</v>
      </c>
      <c r="I64" s="81" t="s">
        <v>12</v>
      </c>
      <c r="J64" s="81" t="s">
        <v>574</v>
      </c>
    </row>
    <row r="65" spans="1:10" ht="12" customHeight="1" x14ac:dyDescent="0.3">
      <c r="A65" s="81" t="s">
        <v>629</v>
      </c>
      <c r="B65" s="81" t="s">
        <v>1438</v>
      </c>
      <c r="C65" s="81" t="s">
        <v>1441</v>
      </c>
      <c r="D65" s="81" t="s">
        <v>630</v>
      </c>
      <c r="E65" s="81" t="s">
        <v>395</v>
      </c>
      <c r="F65" s="81"/>
      <c r="G65" s="94">
        <v>21</v>
      </c>
      <c r="H65" s="81" t="s">
        <v>395</v>
      </c>
      <c r="I65" s="81" t="s">
        <v>12</v>
      </c>
      <c r="J65" s="81" t="s">
        <v>574</v>
      </c>
    </row>
    <row r="66" spans="1:10" ht="12" customHeight="1" x14ac:dyDescent="0.3">
      <c r="A66" s="81" t="s">
        <v>631</v>
      </c>
      <c r="B66" s="81" t="s">
        <v>1443</v>
      </c>
      <c r="C66" s="81" t="s">
        <v>457</v>
      </c>
      <c r="D66" s="81" t="s">
        <v>632</v>
      </c>
      <c r="E66" s="81" t="s">
        <v>393</v>
      </c>
      <c r="F66" s="81" t="s">
        <v>395</v>
      </c>
      <c r="G66" s="94">
        <v>26</v>
      </c>
      <c r="H66" s="81" t="s">
        <v>393</v>
      </c>
      <c r="I66" s="81" t="s">
        <v>11</v>
      </c>
      <c r="J66" s="81" t="s">
        <v>633</v>
      </c>
    </row>
    <row r="67" spans="1:10" ht="12" customHeight="1" x14ac:dyDescent="0.3">
      <c r="A67" s="81" t="s">
        <v>634</v>
      </c>
      <c r="B67" s="81" t="s">
        <v>1443</v>
      </c>
      <c r="C67" s="81" t="s">
        <v>457</v>
      </c>
      <c r="D67" s="81" t="s">
        <v>635</v>
      </c>
      <c r="E67" s="81" t="s">
        <v>395</v>
      </c>
      <c r="F67" s="81"/>
      <c r="G67" s="94">
        <v>26</v>
      </c>
      <c r="H67" s="81" t="s">
        <v>395</v>
      </c>
      <c r="I67" s="81" t="s">
        <v>11</v>
      </c>
      <c r="J67" s="81" t="s">
        <v>636</v>
      </c>
    </row>
    <row r="68" spans="1:10" ht="12" customHeight="1" x14ac:dyDescent="0.3">
      <c r="A68" s="81" t="s">
        <v>637</v>
      </c>
      <c r="B68" s="81" t="s">
        <v>1443</v>
      </c>
      <c r="C68" s="81" t="s">
        <v>457</v>
      </c>
      <c r="D68" s="81" t="s">
        <v>638</v>
      </c>
      <c r="E68" s="81" t="s">
        <v>393</v>
      </c>
      <c r="F68" s="81" t="s">
        <v>395</v>
      </c>
      <c r="G68" s="94">
        <v>26</v>
      </c>
      <c r="H68" s="81" t="s">
        <v>393</v>
      </c>
      <c r="I68" s="81" t="s">
        <v>11</v>
      </c>
      <c r="J68" s="81" t="s">
        <v>633</v>
      </c>
    </row>
    <row r="69" spans="1:10" ht="12" customHeight="1" x14ac:dyDescent="0.3">
      <c r="A69" s="81" t="s">
        <v>639</v>
      </c>
      <c r="B69" s="81" t="s">
        <v>1443</v>
      </c>
      <c r="C69" s="81" t="s">
        <v>457</v>
      </c>
      <c r="D69" s="81" t="s">
        <v>640</v>
      </c>
      <c r="E69" s="81" t="s">
        <v>395</v>
      </c>
      <c r="F69" s="81"/>
      <c r="G69" s="94">
        <v>26</v>
      </c>
      <c r="H69" s="81" t="s">
        <v>395</v>
      </c>
      <c r="I69" s="81" t="s">
        <v>11</v>
      </c>
      <c r="J69" s="81" t="s">
        <v>636</v>
      </c>
    </row>
    <row r="70" spans="1:10" ht="12" customHeight="1" x14ac:dyDescent="0.3">
      <c r="A70" s="81" t="s">
        <v>641</v>
      </c>
      <c r="B70" s="81" t="s">
        <v>1443</v>
      </c>
      <c r="C70" s="81" t="s">
        <v>449</v>
      </c>
      <c r="D70" s="81" t="s">
        <v>642</v>
      </c>
      <c r="E70" s="81" t="s">
        <v>397</v>
      </c>
      <c r="F70" s="81" t="s">
        <v>396</v>
      </c>
      <c r="G70" s="94">
        <v>21</v>
      </c>
      <c r="H70" s="81" t="s">
        <v>397</v>
      </c>
      <c r="I70" s="81" t="s">
        <v>8</v>
      </c>
      <c r="J70" s="81" t="s">
        <v>643</v>
      </c>
    </row>
    <row r="71" spans="1:10" ht="12" customHeight="1" x14ac:dyDescent="0.3">
      <c r="A71" s="81" t="s">
        <v>644</v>
      </c>
      <c r="B71" s="81" t="s">
        <v>1443</v>
      </c>
      <c r="C71" s="81" t="s">
        <v>449</v>
      </c>
      <c r="D71" s="81" t="s">
        <v>645</v>
      </c>
      <c r="E71" s="81" t="s">
        <v>397</v>
      </c>
      <c r="F71" s="81"/>
      <c r="G71" s="94">
        <v>21</v>
      </c>
      <c r="H71" s="81" t="s">
        <v>397</v>
      </c>
      <c r="I71" s="81" t="s">
        <v>8</v>
      </c>
      <c r="J71" s="81" t="s">
        <v>646</v>
      </c>
    </row>
    <row r="72" spans="1:10" ht="12" customHeight="1" x14ac:dyDescent="0.3">
      <c r="A72" s="81" t="s">
        <v>647</v>
      </c>
      <c r="B72" s="81" t="s">
        <v>1443</v>
      </c>
      <c r="C72" s="81" t="s">
        <v>449</v>
      </c>
      <c r="D72" s="81" t="s">
        <v>648</v>
      </c>
      <c r="E72" s="81" t="s">
        <v>397</v>
      </c>
      <c r="F72" s="81"/>
      <c r="G72" s="94">
        <v>21</v>
      </c>
      <c r="H72" s="81" t="s">
        <v>397</v>
      </c>
      <c r="I72" s="81" t="s">
        <v>8</v>
      </c>
      <c r="J72" s="81" t="s">
        <v>646</v>
      </c>
    </row>
    <row r="73" spans="1:10" ht="12" customHeight="1" x14ac:dyDescent="0.3">
      <c r="A73" s="81" t="s">
        <v>649</v>
      </c>
      <c r="B73" s="81" t="s">
        <v>1443</v>
      </c>
      <c r="C73" s="81" t="s">
        <v>449</v>
      </c>
      <c r="D73" s="81" t="s">
        <v>650</v>
      </c>
      <c r="E73" s="81" t="s">
        <v>397</v>
      </c>
      <c r="F73" s="81" t="s">
        <v>396</v>
      </c>
      <c r="G73" s="94">
        <v>21</v>
      </c>
      <c r="H73" s="81" t="s">
        <v>397</v>
      </c>
      <c r="I73" s="81" t="s">
        <v>8</v>
      </c>
      <c r="J73" s="81" t="s">
        <v>643</v>
      </c>
    </row>
    <row r="74" spans="1:10" ht="12" customHeight="1" x14ac:dyDescent="0.3">
      <c r="A74" s="81" t="s">
        <v>651</v>
      </c>
      <c r="B74" s="81" t="s">
        <v>1443</v>
      </c>
      <c r="C74" s="81" t="s">
        <v>449</v>
      </c>
      <c r="D74" s="81" t="s">
        <v>652</v>
      </c>
      <c r="E74" s="81" t="s">
        <v>397</v>
      </c>
      <c r="F74" s="81"/>
      <c r="G74" s="94">
        <v>21</v>
      </c>
      <c r="H74" s="81" t="s">
        <v>397</v>
      </c>
      <c r="I74" s="81" t="s">
        <v>8</v>
      </c>
      <c r="J74" s="81" t="s">
        <v>646</v>
      </c>
    </row>
    <row r="75" spans="1:10" ht="12" customHeight="1" x14ac:dyDescent="0.3">
      <c r="A75" s="81" t="s">
        <v>653</v>
      </c>
      <c r="B75" s="81" t="s">
        <v>1443</v>
      </c>
      <c r="C75" s="81" t="s">
        <v>449</v>
      </c>
      <c r="D75" s="81" t="s">
        <v>654</v>
      </c>
      <c r="E75" s="81" t="s">
        <v>397</v>
      </c>
      <c r="F75" s="81"/>
      <c r="G75" s="94">
        <v>21</v>
      </c>
      <c r="H75" s="81" t="s">
        <v>397</v>
      </c>
      <c r="I75" s="81" t="s">
        <v>8</v>
      </c>
      <c r="J75" s="81" t="s">
        <v>646</v>
      </c>
    </row>
    <row r="76" spans="1:10" ht="12" customHeight="1" x14ac:dyDescent="0.3">
      <c r="A76" s="81" t="s">
        <v>655</v>
      </c>
      <c r="B76" s="81" t="s">
        <v>1443</v>
      </c>
      <c r="C76" s="81" t="s">
        <v>449</v>
      </c>
      <c r="D76" s="81" t="s">
        <v>656</v>
      </c>
      <c r="E76" s="81" t="s">
        <v>397</v>
      </c>
      <c r="F76" s="81"/>
      <c r="G76" s="94">
        <v>21</v>
      </c>
      <c r="H76" s="81" t="s">
        <v>397</v>
      </c>
      <c r="I76" s="81" t="s">
        <v>8</v>
      </c>
      <c r="J76" s="81" t="s">
        <v>646</v>
      </c>
    </row>
    <row r="77" spans="1:10" ht="12" customHeight="1" x14ac:dyDescent="0.3">
      <c r="A77" s="81" t="s">
        <v>657</v>
      </c>
      <c r="B77" s="81" t="s">
        <v>1443</v>
      </c>
      <c r="C77" s="81" t="s">
        <v>449</v>
      </c>
      <c r="D77" s="81" t="s">
        <v>658</v>
      </c>
      <c r="E77" s="81" t="s">
        <v>397</v>
      </c>
      <c r="F77" s="81"/>
      <c r="G77" s="94">
        <v>21</v>
      </c>
      <c r="H77" s="81" t="s">
        <v>397</v>
      </c>
      <c r="I77" s="81" t="s">
        <v>8</v>
      </c>
      <c r="J77" s="81" t="s">
        <v>646</v>
      </c>
    </row>
    <row r="78" spans="1:10" ht="12" customHeight="1" x14ac:dyDescent="0.3">
      <c r="A78" s="81" t="s">
        <v>659</v>
      </c>
      <c r="B78" s="81" t="s">
        <v>1443</v>
      </c>
      <c r="C78" s="81" t="s">
        <v>449</v>
      </c>
      <c r="D78" s="81" t="s">
        <v>660</v>
      </c>
      <c r="E78" s="81" t="s">
        <v>397</v>
      </c>
      <c r="F78" s="81"/>
      <c r="G78" s="94">
        <v>21</v>
      </c>
      <c r="H78" s="81" t="s">
        <v>397</v>
      </c>
      <c r="I78" s="81" t="s">
        <v>8</v>
      </c>
      <c r="J78" s="81" t="s">
        <v>646</v>
      </c>
    </row>
    <row r="79" spans="1:10" ht="12" customHeight="1" x14ac:dyDescent="0.3">
      <c r="A79" s="81" t="s">
        <v>661</v>
      </c>
      <c r="B79" s="81" t="s">
        <v>1443</v>
      </c>
      <c r="C79" s="81" t="s">
        <v>449</v>
      </c>
      <c r="D79" s="81" t="s">
        <v>662</v>
      </c>
      <c r="E79" s="81" t="s">
        <v>397</v>
      </c>
      <c r="F79" s="81" t="s">
        <v>396</v>
      </c>
      <c r="G79" s="94">
        <v>21</v>
      </c>
      <c r="H79" s="81" t="s">
        <v>397</v>
      </c>
      <c r="I79" s="81" t="s">
        <v>8</v>
      </c>
      <c r="J79" s="81" t="s">
        <v>643</v>
      </c>
    </row>
    <row r="80" spans="1:10" ht="12" customHeight="1" x14ac:dyDescent="0.3">
      <c r="A80" s="81" t="s">
        <v>663</v>
      </c>
      <c r="B80" s="81" t="s">
        <v>1443</v>
      </c>
      <c r="C80" s="81" t="s">
        <v>449</v>
      </c>
      <c r="D80" s="81" t="s">
        <v>664</v>
      </c>
      <c r="E80" s="81" t="s">
        <v>397</v>
      </c>
      <c r="F80" s="81"/>
      <c r="G80" s="94">
        <v>21</v>
      </c>
      <c r="H80" s="81" t="s">
        <v>397</v>
      </c>
      <c r="I80" s="81" t="s">
        <v>8</v>
      </c>
      <c r="J80" s="81" t="s">
        <v>646</v>
      </c>
    </row>
    <row r="81" spans="1:10" ht="12" customHeight="1" x14ac:dyDescent="0.3">
      <c r="A81" s="81" t="s">
        <v>665</v>
      </c>
      <c r="B81" s="81" t="s">
        <v>1443</v>
      </c>
      <c r="C81" s="81" t="s">
        <v>449</v>
      </c>
      <c r="D81" s="81" t="s">
        <v>666</v>
      </c>
      <c r="E81" s="81" t="s">
        <v>397</v>
      </c>
      <c r="F81" s="81"/>
      <c r="G81" s="94">
        <v>21</v>
      </c>
      <c r="H81" s="81" t="s">
        <v>397</v>
      </c>
      <c r="I81" s="81" t="s">
        <v>8</v>
      </c>
      <c r="J81" s="81" t="s">
        <v>646</v>
      </c>
    </row>
    <row r="82" spans="1:10" ht="12" customHeight="1" x14ac:dyDescent="0.3">
      <c r="A82" s="81" t="s">
        <v>667</v>
      </c>
      <c r="B82" s="81" t="s">
        <v>1443</v>
      </c>
      <c r="C82" s="81" t="s">
        <v>449</v>
      </c>
      <c r="D82" s="81" t="s">
        <v>668</v>
      </c>
      <c r="E82" s="81" t="s">
        <v>397</v>
      </c>
      <c r="F82" s="81" t="s">
        <v>398</v>
      </c>
      <c r="G82" s="94">
        <v>21</v>
      </c>
      <c r="H82" s="81" t="s">
        <v>397</v>
      </c>
      <c r="I82" s="81" t="s">
        <v>8</v>
      </c>
      <c r="J82" s="81" t="s">
        <v>669</v>
      </c>
    </row>
    <row r="83" spans="1:10" ht="12" customHeight="1" x14ac:dyDescent="0.3">
      <c r="A83" s="81" t="s">
        <v>670</v>
      </c>
      <c r="B83" s="81" t="s">
        <v>1443</v>
      </c>
      <c r="C83" s="81" t="s">
        <v>449</v>
      </c>
      <c r="D83" s="81" t="s">
        <v>671</v>
      </c>
      <c r="E83" s="81" t="s">
        <v>397</v>
      </c>
      <c r="F83" s="81"/>
      <c r="G83" s="94">
        <v>21</v>
      </c>
      <c r="H83" s="81" t="s">
        <v>397</v>
      </c>
      <c r="I83" s="81" t="s">
        <v>8</v>
      </c>
      <c r="J83" s="81" t="s">
        <v>646</v>
      </c>
    </row>
    <row r="84" spans="1:10" ht="12" customHeight="1" x14ac:dyDescent="0.3">
      <c r="A84" s="81" t="s">
        <v>672</v>
      </c>
      <c r="B84" s="81" t="s">
        <v>1443</v>
      </c>
      <c r="C84" s="81" t="s">
        <v>449</v>
      </c>
      <c r="D84" s="81" t="s">
        <v>673</v>
      </c>
      <c r="E84" s="81" t="s">
        <v>397</v>
      </c>
      <c r="F84" s="81"/>
      <c r="G84" s="94">
        <v>21</v>
      </c>
      <c r="H84" s="81" t="s">
        <v>397</v>
      </c>
      <c r="I84" s="81" t="s">
        <v>8</v>
      </c>
      <c r="J84" s="81" t="s">
        <v>646</v>
      </c>
    </row>
    <row r="85" spans="1:10" ht="12" customHeight="1" x14ac:dyDescent="0.3">
      <c r="A85" s="81" t="s">
        <v>674</v>
      </c>
      <c r="B85" s="81" t="s">
        <v>1443</v>
      </c>
      <c r="C85" s="81" t="s">
        <v>449</v>
      </c>
      <c r="D85" s="81" t="s">
        <v>675</v>
      </c>
      <c r="E85" s="81" t="s">
        <v>397</v>
      </c>
      <c r="F85" s="81"/>
      <c r="G85" s="94">
        <v>21</v>
      </c>
      <c r="H85" s="81" t="s">
        <v>397</v>
      </c>
      <c r="I85" s="81" t="s">
        <v>8</v>
      </c>
      <c r="J85" s="81" t="s">
        <v>646</v>
      </c>
    </row>
    <row r="86" spans="1:10" ht="12" customHeight="1" x14ac:dyDescent="0.3">
      <c r="A86" s="81" t="s">
        <v>676</v>
      </c>
      <c r="B86" s="81" t="s">
        <v>1443</v>
      </c>
      <c r="C86" s="81" t="s">
        <v>449</v>
      </c>
      <c r="D86" s="81" t="s">
        <v>677</v>
      </c>
      <c r="E86" s="81" t="s">
        <v>397</v>
      </c>
      <c r="F86" s="81"/>
      <c r="G86" s="94">
        <v>21</v>
      </c>
      <c r="H86" s="81" t="s">
        <v>397</v>
      </c>
      <c r="I86" s="81" t="s">
        <v>8</v>
      </c>
      <c r="J86" s="81" t="s">
        <v>646</v>
      </c>
    </row>
    <row r="87" spans="1:10" ht="12" customHeight="1" x14ac:dyDescent="0.3">
      <c r="A87" s="81" t="s">
        <v>678</v>
      </c>
      <c r="B87" s="81" t="s">
        <v>1443</v>
      </c>
      <c r="C87" s="81" t="s">
        <v>449</v>
      </c>
      <c r="D87" s="81" t="s">
        <v>679</v>
      </c>
      <c r="E87" s="81" t="s">
        <v>397</v>
      </c>
      <c r="F87" s="81"/>
      <c r="G87" s="94">
        <v>20</v>
      </c>
      <c r="H87" s="81" t="s">
        <v>397</v>
      </c>
      <c r="I87" s="81" t="s">
        <v>8</v>
      </c>
      <c r="J87" s="81" t="s">
        <v>646</v>
      </c>
    </row>
    <row r="88" spans="1:10" ht="12" customHeight="1" x14ac:dyDescent="0.3">
      <c r="A88" s="81" t="s">
        <v>680</v>
      </c>
      <c r="B88" s="81" t="s">
        <v>1443</v>
      </c>
      <c r="C88" s="81" t="s">
        <v>449</v>
      </c>
      <c r="D88" s="81" t="s">
        <v>681</v>
      </c>
      <c r="E88" s="81" t="s">
        <v>397</v>
      </c>
      <c r="F88" s="81"/>
      <c r="G88" s="94">
        <v>20</v>
      </c>
      <c r="H88" s="81" t="s">
        <v>397</v>
      </c>
      <c r="I88" s="81" t="s">
        <v>8</v>
      </c>
      <c r="J88" s="81" t="s">
        <v>646</v>
      </c>
    </row>
    <row r="89" spans="1:10" ht="12" customHeight="1" x14ac:dyDescent="0.3">
      <c r="A89" s="81" t="s">
        <v>682</v>
      </c>
      <c r="B89" s="81" t="s">
        <v>1443</v>
      </c>
      <c r="C89" s="81" t="s">
        <v>449</v>
      </c>
      <c r="D89" s="81" t="s">
        <v>683</v>
      </c>
      <c r="E89" s="81" t="s">
        <v>397</v>
      </c>
      <c r="F89" s="81"/>
      <c r="G89" s="94">
        <v>20</v>
      </c>
      <c r="H89" s="81" t="s">
        <v>397</v>
      </c>
      <c r="I89" s="81" t="s">
        <v>8</v>
      </c>
      <c r="J89" s="81" t="s">
        <v>646</v>
      </c>
    </row>
    <row r="90" spans="1:10" ht="12" customHeight="1" x14ac:dyDescent="0.3">
      <c r="A90" s="81" t="s">
        <v>684</v>
      </c>
      <c r="B90" s="81" t="s">
        <v>1443</v>
      </c>
      <c r="C90" s="81" t="s">
        <v>449</v>
      </c>
      <c r="D90" s="81" t="s">
        <v>685</v>
      </c>
      <c r="E90" s="81" t="s">
        <v>397</v>
      </c>
      <c r="F90" s="81"/>
      <c r="G90" s="94">
        <v>20</v>
      </c>
      <c r="H90" s="81" t="s">
        <v>397</v>
      </c>
      <c r="I90" s="81" t="s">
        <v>8</v>
      </c>
      <c r="J90" s="81" t="s">
        <v>646</v>
      </c>
    </row>
    <row r="91" spans="1:10" ht="12" customHeight="1" x14ac:dyDescent="0.3">
      <c r="A91" s="81" t="s">
        <v>686</v>
      </c>
      <c r="B91" s="81" t="s">
        <v>1443</v>
      </c>
      <c r="C91" s="81" t="s">
        <v>449</v>
      </c>
      <c r="D91" s="81" t="s">
        <v>687</v>
      </c>
      <c r="E91" s="81" t="s">
        <v>397</v>
      </c>
      <c r="F91" s="81"/>
      <c r="G91" s="94">
        <v>20</v>
      </c>
      <c r="H91" s="81" t="s">
        <v>397</v>
      </c>
      <c r="I91" s="81" t="s">
        <v>8</v>
      </c>
      <c r="J91" s="81" t="s">
        <v>646</v>
      </c>
    </row>
    <row r="92" spans="1:10" ht="12" customHeight="1" x14ac:dyDescent="0.3">
      <c r="A92" s="81" t="s">
        <v>688</v>
      </c>
      <c r="B92" s="81" t="s">
        <v>1446</v>
      </c>
      <c r="C92" s="81" t="s">
        <v>1447</v>
      </c>
      <c r="D92" s="81" t="s">
        <v>689</v>
      </c>
      <c r="E92" s="81" t="s">
        <v>397</v>
      </c>
      <c r="F92" s="81"/>
      <c r="G92" s="94">
        <v>20</v>
      </c>
      <c r="H92" s="81" t="s">
        <v>397</v>
      </c>
      <c r="I92" s="81" t="s">
        <v>6</v>
      </c>
      <c r="J92" s="81" t="s">
        <v>690</v>
      </c>
    </row>
    <row r="93" spans="1:10" ht="12" customHeight="1" x14ac:dyDescent="0.3">
      <c r="A93" s="81" t="s">
        <v>691</v>
      </c>
      <c r="B93" s="81" t="s">
        <v>1446</v>
      </c>
      <c r="C93" s="81" t="s">
        <v>1447</v>
      </c>
      <c r="D93" s="81" t="s">
        <v>692</v>
      </c>
      <c r="E93" s="81" t="s">
        <v>397</v>
      </c>
      <c r="F93" s="81"/>
      <c r="G93" s="94">
        <v>20</v>
      </c>
      <c r="H93" s="81" t="s">
        <v>397</v>
      </c>
      <c r="I93" s="81" t="s">
        <v>6</v>
      </c>
      <c r="J93" s="81" t="s">
        <v>690</v>
      </c>
    </row>
    <row r="94" spans="1:10" ht="12" customHeight="1" x14ac:dyDescent="0.3">
      <c r="A94" s="81" t="s">
        <v>693</v>
      </c>
      <c r="B94" s="81" t="s">
        <v>1446</v>
      </c>
      <c r="C94" s="81" t="s">
        <v>1447</v>
      </c>
      <c r="D94" s="81" t="s">
        <v>694</v>
      </c>
      <c r="E94" s="81" t="s">
        <v>397</v>
      </c>
      <c r="F94" s="81"/>
      <c r="G94" s="94">
        <v>20</v>
      </c>
      <c r="H94" s="81" t="s">
        <v>397</v>
      </c>
      <c r="I94" s="81" t="s">
        <v>6</v>
      </c>
      <c r="J94" s="81" t="s">
        <v>690</v>
      </c>
    </row>
    <row r="95" spans="1:10" ht="12" customHeight="1" x14ac:dyDescent="0.3">
      <c r="A95" s="81" t="s">
        <v>695</v>
      </c>
      <c r="B95" s="81" t="s">
        <v>1446</v>
      </c>
      <c r="C95" s="81" t="s">
        <v>1447</v>
      </c>
      <c r="D95" s="81" t="s">
        <v>696</v>
      </c>
      <c r="E95" s="81" t="s">
        <v>397</v>
      </c>
      <c r="F95" s="81"/>
      <c r="G95" s="94">
        <v>20</v>
      </c>
      <c r="H95" s="81" t="s">
        <v>397</v>
      </c>
      <c r="I95" s="81" t="s">
        <v>6</v>
      </c>
      <c r="J95" s="81" t="s">
        <v>690</v>
      </c>
    </row>
    <row r="96" spans="1:10" ht="12" customHeight="1" x14ac:dyDescent="0.3">
      <c r="A96" s="81" t="s">
        <v>697</v>
      </c>
      <c r="B96" s="81" t="s">
        <v>1446</v>
      </c>
      <c r="C96" s="81" t="s">
        <v>1447</v>
      </c>
      <c r="D96" s="81" t="s">
        <v>698</v>
      </c>
      <c r="E96" s="81" t="s">
        <v>397</v>
      </c>
      <c r="F96" s="81"/>
      <c r="G96" s="94">
        <v>20</v>
      </c>
      <c r="H96" s="81" t="s">
        <v>397</v>
      </c>
      <c r="I96" s="81" t="s">
        <v>6</v>
      </c>
      <c r="J96" s="81" t="s">
        <v>690</v>
      </c>
    </row>
    <row r="97" spans="1:10" ht="12" customHeight="1" x14ac:dyDescent="0.3">
      <c r="A97" s="81" t="s">
        <v>699</v>
      </c>
      <c r="B97" s="81" t="s">
        <v>1446</v>
      </c>
      <c r="C97" s="81" t="s">
        <v>1447</v>
      </c>
      <c r="D97" s="81" t="s">
        <v>700</v>
      </c>
      <c r="E97" s="81" t="s">
        <v>397</v>
      </c>
      <c r="F97" s="81"/>
      <c r="G97" s="94">
        <v>20</v>
      </c>
      <c r="H97" s="81" t="s">
        <v>397</v>
      </c>
      <c r="I97" s="81" t="s">
        <v>6</v>
      </c>
      <c r="J97" s="81" t="s">
        <v>690</v>
      </c>
    </row>
    <row r="98" spans="1:10" ht="12" customHeight="1" x14ac:dyDescent="0.3">
      <c r="A98" s="81" t="s">
        <v>701</v>
      </c>
      <c r="B98" s="81" t="s">
        <v>1446</v>
      </c>
      <c r="C98" s="81" t="s">
        <v>1447</v>
      </c>
      <c r="D98" s="81" t="s">
        <v>702</v>
      </c>
      <c r="E98" s="81" t="s">
        <v>397</v>
      </c>
      <c r="F98" s="81" t="s">
        <v>396</v>
      </c>
      <c r="G98" s="94">
        <v>20</v>
      </c>
      <c r="H98" s="81" t="s">
        <v>397</v>
      </c>
      <c r="I98" s="81" t="s">
        <v>6</v>
      </c>
      <c r="J98" s="81" t="s">
        <v>703</v>
      </c>
    </row>
    <row r="99" spans="1:10" ht="12" customHeight="1" x14ac:dyDescent="0.3">
      <c r="A99" s="81" t="s">
        <v>704</v>
      </c>
      <c r="B99" s="81" t="s">
        <v>1446</v>
      </c>
      <c r="C99" s="81" t="s">
        <v>1447</v>
      </c>
      <c r="D99" s="81" t="s">
        <v>705</v>
      </c>
      <c r="E99" s="81" t="s">
        <v>397</v>
      </c>
      <c r="F99" s="81"/>
      <c r="G99" s="94">
        <v>20</v>
      </c>
      <c r="H99" s="81" t="s">
        <v>397</v>
      </c>
      <c r="I99" s="81" t="s">
        <v>6</v>
      </c>
      <c r="J99" s="81" t="s">
        <v>690</v>
      </c>
    </row>
    <row r="100" spans="1:10" ht="12" customHeight="1" x14ac:dyDescent="0.3">
      <c r="A100" s="81" t="s">
        <v>706</v>
      </c>
      <c r="B100" s="81" t="s">
        <v>1446</v>
      </c>
      <c r="C100" s="81" t="s">
        <v>1447</v>
      </c>
      <c r="D100" s="81" t="s">
        <v>707</v>
      </c>
      <c r="E100" s="81" t="s">
        <v>397</v>
      </c>
      <c r="F100" s="81"/>
      <c r="G100" s="94">
        <v>20</v>
      </c>
      <c r="H100" s="81" t="s">
        <v>397</v>
      </c>
      <c r="I100" s="81" t="s">
        <v>6</v>
      </c>
      <c r="J100" s="81" t="s">
        <v>690</v>
      </c>
    </row>
    <row r="101" spans="1:10" ht="12" customHeight="1" x14ac:dyDescent="0.3">
      <c r="A101" s="81" t="s">
        <v>708</v>
      </c>
      <c r="B101" s="81" t="s">
        <v>1446</v>
      </c>
      <c r="C101" s="81" t="s">
        <v>1447</v>
      </c>
      <c r="D101" s="81" t="s">
        <v>709</v>
      </c>
      <c r="E101" s="81" t="s">
        <v>397</v>
      </c>
      <c r="F101" s="81"/>
      <c r="G101" s="94">
        <v>20</v>
      </c>
      <c r="H101" s="81" t="s">
        <v>397</v>
      </c>
      <c r="I101" s="81" t="s">
        <v>6</v>
      </c>
      <c r="J101" s="81" t="s">
        <v>690</v>
      </c>
    </row>
    <row r="102" spans="1:10" ht="12" customHeight="1" x14ac:dyDescent="0.3">
      <c r="A102" s="81" t="s">
        <v>710</v>
      </c>
      <c r="B102" s="81" t="s">
        <v>1446</v>
      </c>
      <c r="C102" s="81" t="s">
        <v>1447</v>
      </c>
      <c r="D102" s="81" t="s">
        <v>711</v>
      </c>
      <c r="E102" s="81" t="s">
        <v>397</v>
      </c>
      <c r="F102" s="81"/>
      <c r="G102" s="94">
        <v>20</v>
      </c>
      <c r="H102" s="81" t="s">
        <v>397</v>
      </c>
      <c r="I102" s="81" t="s">
        <v>6</v>
      </c>
      <c r="J102" s="81" t="s">
        <v>690</v>
      </c>
    </row>
    <row r="103" spans="1:10" ht="12" customHeight="1" x14ac:dyDescent="0.3">
      <c r="A103" s="81" t="s">
        <v>712</v>
      </c>
      <c r="B103" s="81" t="s">
        <v>1446</v>
      </c>
      <c r="C103" s="81" t="s">
        <v>1447</v>
      </c>
      <c r="D103" s="81" t="s">
        <v>713</v>
      </c>
      <c r="E103" s="81" t="s">
        <v>397</v>
      </c>
      <c r="F103" s="81"/>
      <c r="G103" s="94">
        <v>20</v>
      </c>
      <c r="H103" s="81" t="s">
        <v>397</v>
      </c>
      <c r="I103" s="81" t="s">
        <v>6</v>
      </c>
      <c r="J103" s="81" t="s">
        <v>690</v>
      </c>
    </row>
    <row r="104" spans="1:10" ht="12" customHeight="1" x14ac:dyDescent="0.3">
      <c r="A104" s="81" t="s">
        <v>714</v>
      </c>
      <c r="B104" s="81" t="s">
        <v>1446</v>
      </c>
      <c r="C104" s="81" t="s">
        <v>1447</v>
      </c>
      <c r="D104" s="81" t="s">
        <v>715</v>
      </c>
      <c r="E104" s="81" t="s">
        <v>397</v>
      </c>
      <c r="F104" s="81"/>
      <c r="G104" s="94">
        <v>20</v>
      </c>
      <c r="H104" s="81" t="s">
        <v>397</v>
      </c>
      <c r="I104" s="81" t="s">
        <v>6</v>
      </c>
      <c r="J104" s="81" t="s">
        <v>690</v>
      </c>
    </row>
    <row r="105" spans="1:10" ht="12" customHeight="1" x14ac:dyDescent="0.3">
      <c r="A105" s="81" t="s">
        <v>716</v>
      </c>
      <c r="B105" s="81" t="s">
        <v>1446</v>
      </c>
      <c r="C105" s="81" t="s">
        <v>1447</v>
      </c>
      <c r="D105" s="81" t="s">
        <v>717</v>
      </c>
      <c r="E105" s="81" t="s">
        <v>397</v>
      </c>
      <c r="F105" s="81"/>
      <c r="G105" s="94">
        <v>20</v>
      </c>
      <c r="H105" s="81" t="s">
        <v>397</v>
      </c>
      <c r="I105" s="81" t="s">
        <v>6</v>
      </c>
      <c r="J105" s="81" t="s">
        <v>690</v>
      </c>
    </row>
    <row r="106" spans="1:10" ht="12" customHeight="1" x14ac:dyDescent="0.3">
      <c r="A106" s="81" t="s">
        <v>718</v>
      </c>
      <c r="B106" s="81" t="s">
        <v>1446</v>
      </c>
      <c r="C106" s="81" t="s">
        <v>1447</v>
      </c>
      <c r="D106" s="81" t="s">
        <v>719</v>
      </c>
      <c r="E106" s="81" t="s">
        <v>397</v>
      </c>
      <c r="F106" s="81" t="s">
        <v>396</v>
      </c>
      <c r="G106" s="94">
        <v>21</v>
      </c>
      <c r="H106" s="81" t="s">
        <v>397</v>
      </c>
      <c r="I106" s="81" t="s">
        <v>7</v>
      </c>
      <c r="J106" s="81" t="s">
        <v>720</v>
      </c>
    </row>
    <row r="107" spans="1:10" ht="12" customHeight="1" x14ac:dyDescent="0.3">
      <c r="A107" s="81" t="s">
        <v>721</v>
      </c>
      <c r="B107" s="81" t="s">
        <v>1446</v>
      </c>
      <c r="C107" s="81" t="s">
        <v>1447</v>
      </c>
      <c r="D107" s="81" t="s">
        <v>722</v>
      </c>
      <c r="E107" s="81" t="s">
        <v>397</v>
      </c>
      <c r="F107" s="81"/>
      <c r="G107" s="94">
        <v>20</v>
      </c>
      <c r="H107" s="81" t="s">
        <v>397</v>
      </c>
      <c r="I107" s="81" t="s">
        <v>6</v>
      </c>
      <c r="J107" s="81" t="s">
        <v>690</v>
      </c>
    </row>
    <row r="108" spans="1:10" ht="12" customHeight="1" x14ac:dyDescent="0.3">
      <c r="A108" s="81" t="s">
        <v>723</v>
      </c>
      <c r="B108" s="81" t="s">
        <v>1446</v>
      </c>
      <c r="C108" s="81" t="s">
        <v>1447</v>
      </c>
      <c r="D108" s="81" t="s">
        <v>724</v>
      </c>
      <c r="E108" s="81" t="s">
        <v>397</v>
      </c>
      <c r="F108" s="81" t="s">
        <v>396</v>
      </c>
      <c r="G108" s="94">
        <v>20</v>
      </c>
      <c r="H108" s="81" t="s">
        <v>397</v>
      </c>
      <c r="I108" s="81" t="s">
        <v>6</v>
      </c>
      <c r="J108" s="81" t="s">
        <v>703</v>
      </c>
    </row>
    <row r="109" spans="1:10" ht="12" customHeight="1" x14ac:dyDescent="0.3">
      <c r="A109" s="81" t="s">
        <v>725</v>
      </c>
      <c r="B109" s="81" t="s">
        <v>1446</v>
      </c>
      <c r="C109" s="81" t="s">
        <v>1447</v>
      </c>
      <c r="D109" s="81" t="s">
        <v>726</v>
      </c>
      <c r="E109" s="81" t="s">
        <v>397</v>
      </c>
      <c r="F109" s="81"/>
      <c r="G109" s="94">
        <v>20</v>
      </c>
      <c r="H109" s="81" t="s">
        <v>397</v>
      </c>
      <c r="I109" s="81" t="s">
        <v>6</v>
      </c>
      <c r="J109" s="81" t="s">
        <v>690</v>
      </c>
    </row>
    <row r="110" spans="1:10" ht="12" customHeight="1" x14ac:dyDescent="0.3">
      <c r="A110" s="81" t="s">
        <v>727</v>
      </c>
      <c r="B110" s="81" t="s">
        <v>1446</v>
      </c>
      <c r="C110" s="81" t="s">
        <v>1447</v>
      </c>
      <c r="D110" s="81" t="s">
        <v>728</v>
      </c>
      <c r="E110" s="81" t="s">
        <v>397</v>
      </c>
      <c r="F110" s="81"/>
      <c r="G110" s="94">
        <v>20</v>
      </c>
      <c r="H110" s="81" t="s">
        <v>397</v>
      </c>
      <c r="I110" s="81" t="s">
        <v>6</v>
      </c>
      <c r="J110" s="81" t="s">
        <v>690</v>
      </c>
    </row>
    <row r="111" spans="1:10" ht="12" customHeight="1" x14ac:dyDescent="0.3">
      <c r="A111" s="81" t="s">
        <v>729</v>
      </c>
      <c r="B111" s="81" t="s">
        <v>1446</v>
      </c>
      <c r="C111" s="81" t="s">
        <v>1447</v>
      </c>
      <c r="D111" s="81" t="s">
        <v>730</v>
      </c>
      <c r="E111" s="81" t="s">
        <v>398</v>
      </c>
      <c r="F111" s="81"/>
      <c r="G111" s="94">
        <v>17</v>
      </c>
      <c r="H111" s="81" t="s">
        <v>398</v>
      </c>
      <c r="I111" s="81" t="s">
        <v>6</v>
      </c>
      <c r="J111" s="81" t="s">
        <v>731</v>
      </c>
    </row>
    <row r="112" spans="1:10" ht="12" customHeight="1" x14ac:dyDescent="0.3">
      <c r="A112" s="81" t="s">
        <v>732</v>
      </c>
      <c r="B112" s="81" t="s">
        <v>1446</v>
      </c>
      <c r="C112" s="81" t="s">
        <v>1447</v>
      </c>
      <c r="D112" s="81" t="s">
        <v>733</v>
      </c>
      <c r="E112" s="81" t="s">
        <v>397</v>
      </c>
      <c r="F112" s="81" t="s">
        <v>396</v>
      </c>
      <c r="G112" s="94">
        <v>20</v>
      </c>
      <c r="H112" s="81" t="s">
        <v>397</v>
      </c>
      <c r="I112" s="81" t="s">
        <v>6</v>
      </c>
      <c r="J112" s="81" t="s">
        <v>703</v>
      </c>
    </row>
    <row r="113" spans="1:10" ht="12" customHeight="1" x14ac:dyDescent="0.3">
      <c r="A113" s="81" t="s">
        <v>734</v>
      </c>
      <c r="B113" s="81" t="s">
        <v>1446</v>
      </c>
      <c r="C113" s="81" t="s">
        <v>1447</v>
      </c>
      <c r="D113" s="81" t="s">
        <v>735</v>
      </c>
      <c r="E113" s="81" t="s">
        <v>397</v>
      </c>
      <c r="F113" s="81" t="s">
        <v>396</v>
      </c>
      <c r="G113" s="94">
        <v>20</v>
      </c>
      <c r="H113" s="81" t="s">
        <v>397</v>
      </c>
      <c r="I113" s="81" t="s">
        <v>6</v>
      </c>
      <c r="J113" s="81" t="s">
        <v>703</v>
      </c>
    </row>
    <row r="114" spans="1:10" ht="12" customHeight="1" x14ac:dyDescent="0.3">
      <c r="A114" s="81" t="s">
        <v>736</v>
      </c>
      <c r="B114" s="81" t="s">
        <v>1446</v>
      </c>
      <c r="C114" s="81" t="s">
        <v>1447</v>
      </c>
      <c r="D114" s="81" t="s">
        <v>737</v>
      </c>
      <c r="E114" s="81" t="s">
        <v>397</v>
      </c>
      <c r="F114" s="81" t="s">
        <v>396</v>
      </c>
      <c r="G114" s="94">
        <v>20</v>
      </c>
      <c r="H114" s="81" t="s">
        <v>397</v>
      </c>
      <c r="I114" s="81" t="s">
        <v>6</v>
      </c>
      <c r="J114" s="81" t="s">
        <v>703</v>
      </c>
    </row>
    <row r="115" spans="1:10" ht="12" customHeight="1" x14ac:dyDescent="0.3">
      <c r="A115" s="81" t="s">
        <v>738</v>
      </c>
      <c r="B115" s="81" t="s">
        <v>1446</v>
      </c>
      <c r="C115" s="81" t="s">
        <v>1447</v>
      </c>
      <c r="D115" s="81" t="s">
        <v>739</v>
      </c>
      <c r="E115" s="81" t="s">
        <v>397</v>
      </c>
      <c r="F115" s="81" t="s">
        <v>396</v>
      </c>
      <c r="G115" s="94">
        <v>20</v>
      </c>
      <c r="H115" s="81" t="s">
        <v>397</v>
      </c>
      <c r="I115" s="81" t="s">
        <v>6</v>
      </c>
      <c r="J115" s="81" t="s">
        <v>703</v>
      </c>
    </row>
    <row r="116" spans="1:10" ht="12" customHeight="1" x14ac:dyDescent="0.3">
      <c r="A116" s="81" t="s">
        <v>740</v>
      </c>
      <c r="B116" s="81" t="s">
        <v>1446</v>
      </c>
      <c r="C116" s="81" t="s">
        <v>1447</v>
      </c>
      <c r="D116" s="81" t="s">
        <v>741</v>
      </c>
      <c r="E116" s="81" t="s">
        <v>397</v>
      </c>
      <c r="F116" s="81"/>
      <c r="G116" s="94">
        <v>20</v>
      </c>
      <c r="H116" s="81" t="s">
        <v>397</v>
      </c>
      <c r="I116" s="81" t="s">
        <v>6</v>
      </c>
      <c r="J116" s="81" t="s">
        <v>690</v>
      </c>
    </row>
    <row r="117" spans="1:10" ht="12" customHeight="1" x14ac:dyDescent="0.3">
      <c r="A117" s="81" t="s">
        <v>742</v>
      </c>
      <c r="B117" s="81" t="s">
        <v>1446</v>
      </c>
      <c r="C117" s="81" t="s">
        <v>1450</v>
      </c>
      <c r="D117" s="81" t="s">
        <v>743</v>
      </c>
      <c r="E117" s="81" t="s">
        <v>398</v>
      </c>
      <c r="F117" s="81"/>
      <c r="G117" s="94">
        <v>17</v>
      </c>
      <c r="H117" s="81" t="s">
        <v>398</v>
      </c>
      <c r="I117" s="81" t="s">
        <v>4</v>
      </c>
      <c r="J117" s="81" t="s">
        <v>744</v>
      </c>
    </row>
    <row r="118" spans="1:10" ht="12" customHeight="1" x14ac:dyDescent="0.3">
      <c r="A118" s="81" t="s">
        <v>745</v>
      </c>
      <c r="B118" s="81" t="s">
        <v>1446</v>
      </c>
      <c r="C118" s="81" t="s">
        <v>1450</v>
      </c>
      <c r="D118" s="81" t="s">
        <v>746</v>
      </c>
      <c r="E118" s="81" t="s">
        <v>398</v>
      </c>
      <c r="F118" s="81"/>
      <c r="G118" s="94">
        <v>17</v>
      </c>
      <c r="H118" s="81" t="s">
        <v>398</v>
      </c>
      <c r="I118" s="81" t="s">
        <v>4</v>
      </c>
      <c r="J118" s="81" t="s">
        <v>744</v>
      </c>
    </row>
    <row r="119" spans="1:10" ht="12" customHeight="1" x14ac:dyDescent="0.3">
      <c r="A119" s="81" t="s">
        <v>747</v>
      </c>
      <c r="B119" s="81" t="s">
        <v>1446</v>
      </c>
      <c r="C119" s="81" t="s">
        <v>1450</v>
      </c>
      <c r="D119" s="81" t="s">
        <v>748</v>
      </c>
      <c r="E119" s="81" t="s">
        <v>398</v>
      </c>
      <c r="F119" s="81"/>
      <c r="G119" s="94">
        <v>17</v>
      </c>
      <c r="H119" s="81" t="s">
        <v>398</v>
      </c>
      <c r="I119" s="81" t="s">
        <v>4</v>
      </c>
      <c r="J119" s="81" t="s">
        <v>744</v>
      </c>
    </row>
    <row r="120" spans="1:10" ht="12" customHeight="1" x14ac:dyDescent="0.3">
      <c r="A120" s="81" t="s">
        <v>749</v>
      </c>
      <c r="B120" s="81" t="s">
        <v>1446</v>
      </c>
      <c r="C120" s="81" t="s">
        <v>1452</v>
      </c>
      <c r="D120" s="81" t="s">
        <v>750</v>
      </c>
      <c r="E120" s="81" t="s">
        <v>398</v>
      </c>
      <c r="F120" s="81"/>
      <c r="G120" s="94">
        <v>17</v>
      </c>
      <c r="H120" s="81" t="s">
        <v>398</v>
      </c>
      <c r="I120" s="81" t="s">
        <v>3</v>
      </c>
      <c r="J120" s="81" t="s">
        <v>751</v>
      </c>
    </row>
    <row r="121" spans="1:10" ht="12" customHeight="1" x14ac:dyDescent="0.3">
      <c r="A121" s="81" t="s">
        <v>752</v>
      </c>
      <c r="B121" s="81" t="s">
        <v>1446</v>
      </c>
      <c r="C121" s="81" t="s">
        <v>1452</v>
      </c>
      <c r="D121" s="81" t="s">
        <v>753</v>
      </c>
      <c r="E121" s="81" t="s">
        <v>398</v>
      </c>
      <c r="F121" s="81"/>
      <c r="G121" s="94">
        <v>17</v>
      </c>
      <c r="H121" s="81" t="s">
        <v>398</v>
      </c>
      <c r="I121" s="81" t="s">
        <v>3</v>
      </c>
      <c r="J121" s="81" t="s">
        <v>751</v>
      </c>
    </row>
    <row r="122" spans="1:10" ht="12" customHeight="1" x14ac:dyDescent="0.3">
      <c r="A122" s="81" t="s">
        <v>754</v>
      </c>
      <c r="B122" s="81" t="s">
        <v>1446</v>
      </c>
      <c r="C122" s="81" t="s">
        <v>1452</v>
      </c>
      <c r="D122" s="81" t="s">
        <v>755</v>
      </c>
      <c r="E122" s="81" t="s">
        <v>398</v>
      </c>
      <c r="F122" s="81"/>
      <c r="G122" s="94">
        <v>17</v>
      </c>
      <c r="H122" s="81" t="s">
        <v>398</v>
      </c>
      <c r="I122" s="81" t="s">
        <v>3</v>
      </c>
      <c r="J122" s="81" t="s">
        <v>751</v>
      </c>
    </row>
    <row r="123" spans="1:10" ht="12" customHeight="1" x14ac:dyDescent="0.3">
      <c r="A123" s="81" t="s">
        <v>756</v>
      </c>
      <c r="B123" s="81" t="s">
        <v>1446</v>
      </c>
      <c r="C123" s="81" t="s">
        <v>1452</v>
      </c>
      <c r="D123" s="81" t="s">
        <v>757</v>
      </c>
      <c r="E123" s="81" t="s">
        <v>398</v>
      </c>
      <c r="F123" s="81"/>
      <c r="G123" s="94">
        <v>17</v>
      </c>
      <c r="H123" s="81" t="s">
        <v>398</v>
      </c>
      <c r="I123" s="81" t="s">
        <v>3</v>
      </c>
      <c r="J123" s="81" t="s">
        <v>751</v>
      </c>
    </row>
    <row r="124" spans="1:10" ht="12" customHeight="1" x14ac:dyDescent="0.3">
      <c r="A124" s="81" t="s">
        <v>758</v>
      </c>
      <c r="B124" s="81" t="s">
        <v>1446</v>
      </c>
      <c r="C124" s="81" t="s">
        <v>1452</v>
      </c>
      <c r="D124" s="81" t="s">
        <v>759</v>
      </c>
      <c r="E124" s="81" t="s">
        <v>398</v>
      </c>
      <c r="F124" s="81"/>
      <c r="G124" s="94">
        <v>17</v>
      </c>
      <c r="H124" s="81" t="s">
        <v>398</v>
      </c>
      <c r="I124" s="81" t="s">
        <v>3</v>
      </c>
      <c r="J124" s="81" t="s">
        <v>751</v>
      </c>
    </row>
    <row r="125" spans="1:10" ht="12" customHeight="1" x14ac:dyDescent="0.3">
      <c r="A125" s="81" t="s">
        <v>760</v>
      </c>
      <c r="B125" s="81" t="s">
        <v>1446</v>
      </c>
      <c r="C125" s="81" t="s">
        <v>1452</v>
      </c>
      <c r="D125" s="81" t="s">
        <v>761</v>
      </c>
      <c r="E125" s="81" t="s">
        <v>398</v>
      </c>
      <c r="F125" s="81"/>
      <c r="G125" s="94">
        <v>17</v>
      </c>
      <c r="H125" s="81" t="s">
        <v>398</v>
      </c>
      <c r="I125" s="81" t="s">
        <v>3</v>
      </c>
      <c r="J125" s="81" t="s">
        <v>751</v>
      </c>
    </row>
    <row r="126" spans="1:10" ht="12" customHeight="1" x14ac:dyDescent="0.3">
      <c r="A126" s="81" t="s">
        <v>762</v>
      </c>
      <c r="B126" s="81" t="s">
        <v>1446</v>
      </c>
      <c r="C126" s="81" t="s">
        <v>1452</v>
      </c>
      <c r="D126" s="81" t="s">
        <v>763</v>
      </c>
      <c r="E126" s="81" t="s">
        <v>398</v>
      </c>
      <c r="F126" s="81"/>
      <c r="G126" s="94">
        <v>17</v>
      </c>
      <c r="H126" s="81" t="s">
        <v>398</v>
      </c>
      <c r="I126" s="81" t="s">
        <v>3</v>
      </c>
      <c r="J126" s="81" t="s">
        <v>751</v>
      </c>
    </row>
    <row r="127" spans="1:10" ht="12" customHeight="1" x14ac:dyDescent="0.3">
      <c r="A127" s="81" t="s">
        <v>764</v>
      </c>
      <c r="B127" s="81" t="s">
        <v>1446</v>
      </c>
      <c r="C127" s="81" t="s">
        <v>1452</v>
      </c>
      <c r="D127" s="81" t="s">
        <v>765</v>
      </c>
      <c r="E127" s="81" t="s">
        <v>398</v>
      </c>
      <c r="F127" s="81"/>
      <c r="G127" s="94">
        <v>17</v>
      </c>
      <c r="H127" s="81" t="s">
        <v>398</v>
      </c>
      <c r="I127" s="81" t="s">
        <v>3</v>
      </c>
      <c r="J127" s="81" t="s">
        <v>751</v>
      </c>
    </row>
    <row r="128" spans="1:10" ht="12" customHeight="1" x14ac:dyDescent="0.3">
      <c r="A128" s="81" t="s">
        <v>766</v>
      </c>
      <c r="B128" s="81" t="s">
        <v>1446</v>
      </c>
      <c r="C128" s="81" t="s">
        <v>1452</v>
      </c>
      <c r="D128" s="81" t="s">
        <v>767</v>
      </c>
      <c r="E128" s="81" t="s">
        <v>398</v>
      </c>
      <c r="F128" s="81"/>
      <c r="G128" s="94">
        <v>17</v>
      </c>
      <c r="H128" s="81" t="s">
        <v>398</v>
      </c>
      <c r="I128" s="81" t="s">
        <v>3</v>
      </c>
      <c r="J128" s="81" t="s">
        <v>751</v>
      </c>
    </row>
    <row r="129" spans="1:10" ht="12" customHeight="1" x14ac:dyDescent="0.3">
      <c r="A129" s="81" t="s">
        <v>768</v>
      </c>
      <c r="B129" s="81" t="s">
        <v>1446</v>
      </c>
      <c r="C129" s="81" t="s">
        <v>1452</v>
      </c>
      <c r="D129" s="81" t="s">
        <v>769</v>
      </c>
      <c r="E129" s="81" t="s">
        <v>398</v>
      </c>
      <c r="F129" s="81"/>
      <c r="G129" s="94">
        <v>17</v>
      </c>
      <c r="H129" s="81" t="s">
        <v>398</v>
      </c>
      <c r="I129" s="81" t="s">
        <v>3</v>
      </c>
      <c r="J129" s="81" t="s">
        <v>751</v>
      </c>
    </row>
    <row r="130" spans="1:10" ht="12" customHeight="1" x14ac:dyDescent="0.3">
      <c r="A130" s="81" t="s">
        <v>770</v>
      </c>
      <c r="B130" s="81" t="s">
        <v>1446</v>
      </c>
      <c r="C130" s="81" t="s">
        <v>1452</v>
      </c>
      <c r="D130" s="81" t="s">
        <v>771</v>
      </c>
      <c r="E130" s="81" t="s">
        <v>398</v>
      </c>
      <c r="F130" s="81"/>
      <c r="G130" s="94">
        <v>17</v>
      </c>
      <c r="H130" s="81" t="s">
        <v>398</v>
      </c>
      <c r="I130" s="81" t="s">
        <v>3</v>
      </c>
      <c r="J130" s="81" t="s">
        <v>751</v>
      </c>
    </row>
    <row r="131" spans="1:10" ht="12" customHeight="1" x14ac:dyDescent="0.3">
      <c r="A131" s="81" t="s">
        <v>772</v>
      </c>
      <c r="B131" s="81" t="s">
        <v>1446</v>
      </c>
      <c r="C131" s="81" t="s">
        <v>1452</v>
      </c>
      <c r="D131" s="81" t="s">
        <v>773</v>
      </c>
      <c r="E131" s="81" t="s">
        <v>398</v>
      </c>
      <c r="F131" s="81"/>
      <c r="G131" s="94">
        <v>17</v>
      </c>
      <c r="H131" s="81" t="s">
        <v>398</v>
      </c>
      <c r="I131" s="81" t="s">
        <v>3</v>
      </c>
      <c r="J131" s="81" t="s">
        <v>751</v>
      </c>
    </row>
    <row r="132" spans="1:10" ht="12" customHeight="1" x14ac:dyDescent="0.3">
      <c r="A132" s="81" t="s">
        <v>774</v>
      </c>
      <c r="B132" s="81" t="s">
        <v>1446</v>
      </c>
      <c r="C132" s="81" t="s">
        <v>1452</v>
      </c>
      <c r="D132" s="81" t="s">
        <v>775</v>
      </c>
      <c r="E132" s="81" t="s">
        <v>398</v>
      </c>
      <c r="F132" s="81"/>
      <c r="G132" s="94">
        <v>17</v>
      </c>
      <c r="H132" s="81" t="s">
        <v>398</v>
      </c>
      <c r="I132" s="81" t="s">
        <v>3</v>
      </c>
      <c r="J132" s="81" t="s">
        <v>751</v>
      </c>
    </row>
    <row r="133" spans="1:10" ht="12" customHeight="1" x14ac:dyDescent="0.3">
      <c r="A133" s="81" t="s">
        <v>776</v>
      </c>
      <c r="B133" s="81" t="s">
        <v>1446</v>
      </c>
      <c r="C133" s="81" t="s">
        <v>1452</v>
      </c>
      <c r="D133" s="81" t="s">
        <v>777</v>
      </c>
      <c r="E133" s="81" t="s">
        <v>398</v>
      </c>
      <c r="F133" s="81"/>
      <c r="G133" s="94">
        <v>17</v>
      </c>
      <c r="H133" s="81" t="s">
        <v>398</v>
      </c>
      <c r="I133" s="81" t="s">
        <v>3</v>
      </c>
      <c r="J133" s="81" t="s">
        <v>751</v>
      </c>
    </row>
    <row r="134" spans="1:10" ht="12" customHeight="1" x14ac:dyDescent="0.3">
      <c r="A134" s="81" t="s">
        <v>778</v>
      </c>
      <c r="B134" s="81" t="s">
        <v>1446</v>
      </c>
      <c r="C134" s="81" t="s">
        <v>1452</v>
      </c>
      <c r="D134" s="81" t="s">
        <v>779</v>
      </c>
      <c r="E134" s="81" t="s">
        <v>398</v>
      </c>
      <c r="F134" s="81"/>
      <c r="G134" s="94">
        <v>17</v>
      </c>
      <c r="H134" s="81" t="s">
        <v>398</v>
      </c>
      <c r="I134" s="81" t="s">
        <v>3</v>
      </c>
      <c r="J134" s="81" t="s">
        <v>751</v>
      </c>
    </row>
    <row r="135" spans="1:10" ht="12" customHeight="1" x14ac:dyDescent="0.3">
      <c r="A135" s="81" t="s">
        <v>780</v>
      </c>
      <c r="B135" s="81" t="s">
        <v>1446</v>
      </c>
      <c r="C135" s="81" t="s">
        <v>1452</v>
      </c>
      <c r="D135" s="81" t="s">
        <v>781</v>
      </c>
      <c r="E135" s="81" t="s">
        <v>398</v>
      </c>
      <c r="F135" s="81"/>
      <c r="G135" s="94">
        <v>17</v>
      </c>
      <c r="H135" s="81" t="s">
        <v>398</v>
      </c>
      <c r="I135" s="81" t="s">
        <v>3</v>
      </c>
      <c r="J135" s="81" t="s">
        <v>751</v>
      </c>
    </row>
    <row r="136" spans="1:10" ht="12" customHeight="1" x14ac:dyDescent="0.3">
      <c r="A136" s="81" t="s">
        <v>782</v>
      </c>
      <c r="B136" s="81" t="s">
        <v>1446</v>
      </c>
      <c r="C136" s="81" t="s">
        <v>1452</v>
      </c>
      <c r="D136" s="81" t="s">
        <v>783</v>
      </c>
      <c r="E136" s="81" t="s">
        <v>398</v>
      </c>
      <c r="F136" s="81"/>
      <c r="G136" s="94">
        <v>17</v>
      </c>
      <c r="H136" s="81" t="s">
        <v>398</v>
      </c>
      <c r="I136" s="81" t="s">
        <v>3</v>
      </c>
      <c r="J136" s="81" t="s">
        <v>751</v>
      </c>
    </row>
    <row r="137" spans="1:10" ht="12" customHeight="1" x14ac:dyDescent="0.3">
      <c r="A137" s="81" t="s">
        <v>784</v>
      </c>
      <c r="B137" s="81" t="s">
        <v>1446</v>
      </c>
      <c r="C137" s="81" t="s">
        <v>1452</v>
      </c>
      <c r="D137" s="81" t="s">
        <v>785</v>
      </c>
      <c r="E137" s="81" t="s">
        <v>409</v>
      </c>
      <c r="F137" s="81"/>
      <c r="G137" s="94">
        <v>14</v>
      </c>
      <c r="H137" s="81" t="s">
        <v>409</v>
      </c>
      <c r="I137" s="81" t="s">
        <v>0</v>
      </c>
      <c r="J137" s="81" t="s">
        <v>786</v>
      </c>
    </row>
    <row r="138" spans="1:10" ht="12" customHeight="1" x14ac:dyDescent="0.3">
      <c r="A138" s="81" t="s">
        <v>787</v>
      </c>
      <c r="B138" s="81" t="s">
        <v>1446</v>
      </c>
      <c r="C138" s="81" t="s">
        <v>1452</v>
      </c>
      <c r="D138" s="81" t="s">
        <v>788</v>
      </c>
      <c r="E138" s="81" t="s">
        <v>409</v>
      </c>
      <c r="F138" s="81"/>
      <c r="G138" s="94">
        <v>14</v>
      </c>
      <c r="H138" s="81" t="s">
        <v>409</v>
      </c>
      <c r="I138" s="81" t="s">
        <v>0</v>
      </c>
      <c r="J138" s="81" t="s">
        <v>786</v>
      </c>
    </row>
    <row r="139" spans="1:10" ht="12" customHeight="1" x14ac:dyDescent="0.3">
      <c r="A139" s="81" t="s">
        <v>789</v>
      </c>
      <c r="B139" s="81" t="s">
        <v>1446</v>
      </c>
      <c r="C139" s="81" t="s">
        <v>1452</v>
      </c>
      <c r="D139" s="81" t="s">
        <v>790</v>
      </c>
      <c r="E139" s="81" t="s">
        <v>409</v>
      </c>
      <c r="F139" s="81"/>
      <c r="G139" s="94">
        <v>14</v>
      </c>
      <c r="H139" s="81" t="s">
        <v>409</v>
      </c>
      <c r="I139" s="81" t="s">
        <v>0</v>
      </c>
      <c r="J139" s="81" t="s">
        <v>786</v>
      </c>
    </row>
    <row r="140" spans="1:10" ht="12" customHeight="1" x14ac:dyDescent="0.3">
      <c r="A140" s="81" t="s">
        <v>791</v>
      </c>
      <c r="B140" s="81" t="s">
        <v>1446</v>
      </c>
      <c r="C140" s="81" t="s">
        <v>1452</v>
      </c>
      <c r="D140" s="81" t="s">
        <v>792</v>
      </c>
      <c r="E140" s="81" t="s">
        <v>409</v>
      </c>
      <c r="F140" s="81"/>
      <c r="G140" s="94">
        <v>14</v>
      </c>
      <c r="H140" s="81" t="s">
        <v>409</v>
      </c>
      <c r="I140" s="81" t="s">
        <v>0</v>
      </c>
      <c r="J140" s="81" t="s">
        <v>786</v>
      </c>
    </row>
    <row r="141" spans="1:10" ht="12" customHeight="1" x14ac:dyDescent="0.3">
      <c r="A141" s="81" t="s">
        <v>793</v>
      </c>
      <c r="B141" s="81" t="s">
        <v>1446</v>
      </c>
      <c r="C141" s="81" t="s">
        <v>1452</v>
      </c>
      <c r="D141" s="81" t="s">
        <v>794</v>
      </c>
      <c r="E141" s="81" t="s">
        <v>409</v>
      </c>
      <c r="F141" s="81"/>
      <c r="G141" s="94">
        <v>14</v>
      </c>
      <c r="H141" s="81" t="s">
        <v>409</v>
      </c>
      <c r="I141" s="81" t="s">
        <v>0</v>
      </c>
      <c r="J141" s="81" t="s">
        <v>786</v>
      </c>
    </row>
    <row r="142" spans="1:10" ht="12" customHeight="1" x14ac:dyDescent="0.3">
      <c r="A142" s="81" t="s">
        <v>795</v>
      </c>
      <c r="B142" s="81" t="s">
        <v>1446</v>
      </c>
      <c r="C142" s="81" t="s">
        <v>1452</v>
      </c>
      <c r="D142" s="81" t="s">
        <v>796</v>
      </c>
      <c r="E142" s="81" t="s">
        <v>409</v>
      </c>
      <c r="F142" s="81"/>
      <c r="G142" s="94">
        <v>14</v>
      </c>
      <c r="H142" s="81" t="s">
        <v>409</v>
      </c>
      <c r="I142" s="81" t="s">
        <v>0</v>
      </c>
      <c r="J142" s="81" t="s">
        <v>786</v>
      </c>
    </row>
    <row r="143" spans="1:10" ht="12" customHeight="1" x14ac:dyDescent="0.3">
      <c r="A143" s="81" t="s">
        <v>797</v>
      </c>
      <c r="B143" s="81" t="s">
        <v>1446</v>
      </c>
      <c r="C143" s="81" t="s">
        <v>1452</v>
      </c>
      <c r="D143" s="81" t="s">
        <v>798</v>
      </c>
      <c r="E143" s="81" t="s">
        <v>409</v>
      </c>
      <c r="F143" s="81"/>
      <c r="G143" s="94">
        <v>14</v>
      </c>
      <c r="H143" s="81" t="s">
        <v>409</v>
      </c>
      <c r="I143" s="81" t="s">
        <v>0</v>
      </c>
      <c r="J143" s="81" t="s">
        <v>786</v>
      </c>
    </row>
    <row r="144" spans="1:10" ht="12" customHeight="1" x14ac:dyDescent="0.3">
      <c r="A144" s="81" t="s">
        <v>799</v>
      </c>
      <c r="B144" s="81" t="s">
        <v>1446</v>
      </c>
      <c r="C144" s="81" t="s">
        <v>1452</v>
      </c>
      <c r="D144" s="81" t="s">
        <v>800</v>
      </c>
      <c r="E144" s="81" t="s">
        <v>409</v>
      </c>
      <c r="F144" s="81"/>
      <c r="G144" s="94">
        <v>14</v>
      </c>
      <c r="H144" s="81" t="s">
        <v>409</v>
      </c>
      <c r="I144" s="81" t="s">
        <v>0</v>
      </c>
      <c r="J144" s="81" t="s">
        <v>786</v>
      </c>
    </row>
    <row r="145" spans="1:10" ht="12" customHeight="1" x14ac:dyDescent="0.3">
      <c r="A145" s="81" t="s">
        <v>801</v>
      </c>
      <c r="B145" s="81" t="s">
        <v>1446</v>
      </c>
      <c r="C145" s="81" t="s">
        <v>1452</v>
      </c>
      <c r="D145" s="81" t="s">
        <v>802</v>
      </c>
      <c r="E145" s="81" t="s">
        <v>409</v>
      </c>
      <c r="F145" s="81"/>
      <c r="G145" s="94">
        <v>14</v>
      </c>
      <c r="H145" s="81" t="s">
        <v>409</v>
      </c>
      <c r="I145" s="81" t="s">
        <v>0</v>
      </c>
      <c r="J145" s="81" t="s">
        <v>786</v>
      </c>
    </row>
    <row r="146" spans="1:10" ht="12" customHeight="1" x14ac:dyDescent="0.3">
      <c r="A146" s="81" t="s">
        <v>803</v>
      </c>
      <c r="B146" s="81" t="s">
        <v>1446</v>
      </c>
      <c r="C146" s="81" t="s">
        <v>1452</v>
      </c>
      <c r="D146" s="81" t="s">
        <v>804</v>
      </c>
      <c r="E146" s="81" t="s">
        <v>409</v>
      </c>
      <c r="F146" s="81"/>
      <c r="G146" s="94">
        <v>14</v>
      </c>
      <c r="H146" s="81" t="s">
        <v>409</v>
      </c>
      <c r="I146" s="81" t="s">
        <v>0</v>
      </c>
      <c r="J146" s="81" t="s">
        <v>786</v>
      </c>
    </row>
    <row r="147" spans="1:10" ht="12" customHeight="1" x14ac:dyDescent="0.3">
      <c r="A147" s="81" t="s">
        <v>805</v>
      </c>
      <c r="B147" s="81" t="s">
        <v>1446</v>
      </c>
      <c r="C147" s="81" t="s">
        <v>1452</v>
      </c>
      <c r="D147" s="81" t="s">
        <v>806</v>
      </c>
      <c r="E147" s="81" t="s">
        <v>398</v>
      </c>
      <c r="F147" s="81"/>
      <c r="G147" s="94">
        <v>14</v>
      </c>
      <c r="H147" s="81" t="s">
        <v>398</v>
      </c>
      <c r="I147" s="81" t="s">
        <v>0</v>
      </c>
      <c r="J147" s="81" t="s">
        <v>807</v>
      </c>
    </row>
    <row r="148" spans="1:10" ht="12" customHeight="1" x14ac:dyDescent="0.3">
      <c r="A148" s="81" t="s">
        <v>808</v>
      </c>
      <c r="B148" s="81" t="s">
        <v>1446</v>
      </c>
      <c r="C148" s="81" t="s">
        <v>1452</v>
      </c>
      <c r="D148" s="81" t="s">
        <v>809</v>
      </c>
      <c r="E148" s="81" t="s">
        <v>409</v>
      </c>
      <c r="F148" s="81"/>
      <c r="G148" s="94">
        <v>14</v>
      </c>
      <c r="H148" s="81" t="s">
        <v>409</v>
      </c>
      <c r="I148" s="81" t="s">
        <v>0</v>
      </c>
      <c r="J148" s="81" t="s">
        <v>786</v>
      </c>
    </row>
    <row r="149" spans="1:10" ht="12" customHeight="1" x14ac:dyDescent="0.3">
      <c r="A149" s="81" t="s">
        <v>810</v>
      </c>
      <c r="B149" s="81" t="s">
        <v>1446</v>
      </c>
      <c r="C149" s="81" t="s">
        <v>1452</v>
      </c>
      <c r="D149" s="81" t="s">
        <v>811</v>
      </c>
      <c r="E149" s="81" t="s">
        <v>409</v>
      </c>
      <c r="F149" s="81"/>
      <c r="G149" s="94">
        <v>14</v>
      </c>
      <c r="H149" s="81" t="s">
        <v>409</v>
      </c>
      <c r="I149" s="81" t="s">
        <v>0</v>
      </c>
      <c r="J149" s="81" t="s">
        <v>786</v>
      </c>
    </row>
    <row r="150" spans="1:10" ht="12" customHeight="1" x14ac:dyDescent="0.3">
      <c r="A150" s="81" t="s">
        <v>812</v>
      </c>
      <c r="B150" s="81" t="s">
        <v>1446</v>
      </c>
      <c r="C150" s="81" t="s">
        <v>1452</v>
      </c>
      <c r="D150" s="81" t="s">
        <v>813</v>
      </c>
      <c r="E150" s="81" t="s">
        <v>398</v>
      </c>
      <c r="F150" s="81"/>
      <c r="G150" s="94">
        <v>17</v>
      </c>
      <c r="H150" s="81" t="s">
        <v>398</v>
      </c>
      <c r="I150" s="81" t="s">
        <v>3</v>
      </c>
      <c r="J150" s="81" t="s">
        <v>751</v>
      </c>
    </row>
    <row r="151" spans="1:10" ht="12" customHeight="1" x14ac:dyDescent="0.3">
      <c r="A151" s="81" t="s">
        <v>814</v>
      </c>
      <c r="B151" s="81" t="s">
        <v>1446</v>
      </c>
      <c r="C151" s="81" t="s">
        <v>1452</v>
      </c>
      <c r="D151" s="81" t="s">
        <v>815</v>
      </c>
      <c r="E151" s="81" t="s">
        <v>398</v>
      </c>
      <c r="F151" s="81"/>
      <c r="G151" s="94">
        <v>17</v>
      </c>
      <c r="H151" s="81" t="s">
        <v>398</v>
      </c>
      <c r="I151" s="81" t="s">
        <v>3</v>
      </c>
      <c r="J151" s="81" t="s">
        <v>751</v>
      </c>
    </row>
    <row r="152" spans="1:10" ht="12" customHeight="1" x14ac:dyDescent="0.3">
      <c r="A152" s="81" t="s">
        <v>816</v>
      </c>
      <c r="B152" s="81" t="s">
        <v>1446</v>
      </c>
      <c r="C152" s="81" t="s">
        <v>1452</v>
      </c>
      <c r="D152" s="81" t="s">
        <v>817</v>
      </c>
      <c r="E152" s="81" t="s">
        <v>398</v>
      </c>
      <c r="F152" s="81"/>
      <c r="G152" s="94">
        <v>17</v>
      </c>
      <c r="H152" s="81" t="s">
        <v>398</v>
      </c>
      <c r="I152" s="81" t="s">
        <v>3</v>
      </c>
      <c r="J152" s="81" t="s">
        <v>751</v>
      </c>
    </row>
    <row r="153" spans="1:10" ht="12" customHeight="1" x14ac:dyDescent="0.3">
      <c r="A153" s="81" t="s">
        <v>818</v>
      </c>
      <c r="B153" s="81" t="s">
        <v>1446</v>
      </c>
      <c r="C153" s="81" t="s">
        <v>1452</v>
      </c>
      <c r="D153" s="81" t="s">
        <v>819</v>
      </c>
      <c r="E153" s="81" t="s">
        <v>398</v>
      </c>
      <c r="F153" s="81"/>
      <c r="G153" s="94">
        <v>17</v>
      </c>
      <c r="H153" s="81" t="s">
        <v>398</v>
      </c>
      <c r="I153" s="81" t="s">
        <v>3</v>
      </c>
      <c r="J153" s="81" t="s">
        <v>751</v>
      </c>
    </row>
    <row r="154" spans="1:10" ht="12" customHeight="1" x14ac:dyDescent="0.3">
      <c r="A154" s="81" t="s">
        <v>820</v>
      </c>
      <c r="B154" s="81" t="s">
        <v>1446</v>
      </c>
      <c r="C154" s="81" t="s">
        <v>1452</v>
      </c>
      <c r="D154" s="81" t="s">
        <v>821</v>
      </c>
      <c r="E154" s="81" t="s">
        <v>398</v>
      </c>
      <c r="F154" s="81"/>
      <c r="G154" s="94">
        <v>17</v>
      </c>
      <c r="H154" s="81" t="s">
        <v>398</v>
      </c>
      <c r="I154" s="81" t="s">
        <v>3</v>
      </c>
      <c r="J154" s="81" t="s">
        <v>751</v>
      </c>
    </row>
    <row r="155" spans="1:10" ht="12" customHeight="1" x14ac:dyDescent="0.3">
      <c r="A155" s="81" t="s">
        <v>822</v>
      </c>
      <c r="B155" s="81" t="s">
        <v>1446</v>
      </c>
      <c r="C155" s="81" t="s">
        <v>1452</v>
      </c>
      <c r="D155" s="81" t="s">
        <v>823</v>
      </c>
      <c r="E155" s="81" t="s">
        <v>398</v>
      </c>
      <c r="F155" s="81"/>
      <c r="G155" s="94">
        <v>17</v>
      </c>
      <c r="H155" s="81" t="s">
        <v>398</v>
      </c>
      <c r="I155" s="81" t="s">
        <v>3</v>
      </c>
      <c r="J155" s="81" t="s">
        <v>751</v>
      </c>
    </row>
    <row r="156" spans="1:10" ht="12" customHeight="1" x14ac:dyDescent="0.3">
      <c r="A156" s="81" t="s">
        <v>824</v>
      </c>
      <c r="B156" s="81" t="s">
        <v>1446</v>
      </c>
      <c r="C156" s="81" t="s">
        <v>1452</v>
      </c>
      <c r="D156" s="81" t="s">
        <v>825</v>
      </c>
      <c r="E156" s="81" t="s">
        <v>398</v>
      </c>
      <c r="F156" s="81"/>
      <c r="G156" s="94">
        <v>17</v>
      </c>
      <c r="H156" s="81" t="s">
        <v>398</v>
      </c>
      <c r="I156" s="81" t="s">
        <v>3</v>
      </c>
      <c r="J156" s="81" t="s">
        <v>751</v>
      </c>
    </row>
    <row r="157" spans="1:10" ht="12" customHeight="1" x14ac:dyDescent="0.3">
      <c r="A157" s="81" t="s">
        <v>826</v>
      </c>
      <c r="B157" s="81" t="s">
        <v>1446</v>
      </c>
      <c r="C157" s="81" t="s">
        <v>1452</v>
      </c>
      <c r="D157" s="81" t="s">
        <v>827</v>
      </c>
      <c r="E157" s="81" t="s">
        <v>398</v>
      </c>
      <c r="F157" s="81"/>
      <c r="G157" s="94">
        <v>17</v>
      </c>
      <c r="H157" s="81" t="s">
        <v>398</v>
      </c>
      <c r="I157" s="81" t="s">
        <v>3</v>
      </c>
      <c r="J157" s="81" t="s">
        <v>751</v>
      </c>
    </row>
    <row r="158" spans="1:10" ht="12" customHeight="1" x14ac:dyDescent="0.3">
      <c r="A158" s="81" t="s">
        <v>828</v>
      </c>
      <c r="B158" s="81" t="s">
        <v>1446</v>
      </c>
      <c r="C158" s="81" t="s">
        <v>1452</v>
      </c>
      <c r="D158" s="81" t="s">
        <v>829</v>
      </c>
      <c r="E158" s="81" t="s">
        <v>398</v>
      </c>
      <c r="F158" s="81"/>
      <c r="G158" s="94">
        <v>17</v>
      </c>
      <c r="H158" s="81" t="s">
        <v>398</v>
      </c>
      <c r="I158" s="81" t="s">
        <v>3</v>
      </c>
      <c r="J158" s="81" t="s">
        <v>751</v>
      </c>
    </row>
    <row r="159" spans="1:10" ht="12" customHeight="1" x14ac:dyDescent="0.3">
      <c r="A159" s="81" t="s">
        <v>830</v>
      </c>
      <c r="B159" s="81" t="s">
        <v>1446</v>
      </c>
      <c r="C159" s="81" t="s">
        <v>1452</v>
      </c>
      <c r="D159" s="81" t="s">
        <v>831</v>
      </c>
      <c r="E159" s="81" t="s">
        <v>398</v>
      </c>
      <c r="F159" s="81"/>
      <c r="G159" s="94">
        <v>17</v>
      </c>
      <c r="H159" s="81" t="s">
        <v>398</v>
      </c>
      <c r="I159" s="81" t="s">
        <v>3</v>
      </c>
      <c r="J159" s="81" t="s">
        <v>751</v>
      </c>
    </row>
    <row r="160" spans="1:10" ht="12" customHeight="1" x14ac:dyDescent="0.3">
      <c r="A160" s="81" t="s">
        <v>832</v>
      </c>
      <c r="B160" s="81" t="s">
        <v>1446</v>
      </c>
      <c r="C160" s="81" t="s">
        <v>1452</v>
      </c>
      <c r="D160" s="81" t="s">
        <v>833</v>
      </c>
      <c r="E160" s="81" t="s">
        <v>398</v>
      </c>
      <c r="F160" s="81"/>
      <c r="G160" s="94">
        <v>17</v>
      </c>
      <c r="H160" s="81" t="s">
        <v>398</v>
      </c>
      <c r="I160" s="81" t="s">
        <v>3</v>
      </c>
      <c r="J160" s="81" t="s">
        <v>751</v>
      </c>
    </row>
    <row r="161" spans="1:10" ht="12" customHeight="1" x14ac:dyDescent="0.3">
      <c r="A161" s="81" t="s">
        <v>834</v>
      </c>
      <c r="B161" s="81" t="s">
        <v>1446</v>
      </c>
      <c r="C161" s="81" t="s">
        <v>1452</v>
      </c>
      <c r="D161" s="81" t="s">
        <v>835</v>
      </c>
      <c r="E161" s="81" t="s">
        <v>398</v>
      </c>
      <c r="F161" s="81"/>
      <c r="G161" s="94">
        <v>17</v>
      </c>
      <c r="H161" s="81" t="s">
        <v>398</v>
      </c>
      <c r="I161" s="81" t="s">
        <v>3</v>
      </c>
      <c r="J161" s="81" t="s">
        <v>751</v>
      </c>
    </row>
    <row r="162" spans="1:10" ht="12" customHeight="1" x14ac:dyDescent="0.3">
      <c r="A162" s="81" t="s">
        <v>836</v>
      </c>
      <c r="B162" s="81" t="s">
        <v>1446</v>
      </c>
      <c r="C162" s="81" t="s">
        <v>1452</v>
      </c>
      <c r="D162" s="81" t="s">
        <v>837</v>
      </c>
      <c r="E162" s="81" t="s">
        <v>398</v>
      </c>
      <c r="F162" s="81"/>
      <c r="G162" s="94">
        <v>17</v>
      </c>
      <c r="H162" s="81" t="s">
        <v>398</v>
      </c>
      <c r="I162" s="81" t="s">
        <v>3</v>
      </c>
      <c r="J162" s="81" t="s">
        <v>751</v>
      </c>
    </row>
    <row r="163" spans="1:10" ht="12" customHeight="1" x14ac:dyDescent="0.3">
      <c r="A163" s="81" t="s">
        <v>838</v>
      </c>
      <c r="B163" s="81" t="s">
        <v>1446</v>
      </c>
      <c r="C163" s="81" t="s">
        <v>1452</v>
      </c>
      <c r="D163" s="81" t="s">
        <v>839</v>
      </c>
      <c r="E163" s="81" t="s">
        <v>398</v>
      </c>
      <c r="F163" s="81"/>
      <c r="G163" s="94">
        <v>17</v>
      </c>
      <c r="H163" s="81" t="s">
        <v>398</v>
      </c>
      <c r="I163" s="81" t="s">
        <v>3</v>
      </c>
      <c r="J163" s="81" t="s">
        <v>751</v>
      </c>
    </row>
    <row r="164" spans="1:10" ht="12" customHeight="1" x14ac:dyDescent="0.3">
      <c r="A164" s="81" t="s">
        <v>840</v>
      </c>
      <c r="B164" s="81" t="s">
        <v>1446</v>
      </c>
      <c r="C164" s="81" t="s">
        <v>1455</v>
      </c>
      <c r="D164" s="81" t="s">
        <v>841</v>
      </c>
      <c r="E164" s="81" t="s">
        <v>409</v>
      </c>
      <c r="F164" s="81"/>
      <c r="G164" s="94">
        <v>14</v>
      </c>
      <c r="H164" s="81" t="s">
        <v>409</v>
      </c>
      <c r="I164" s="81" t="s">
        <v>0</v>
      </c>
      <c r="J164" s="81" t="s">
        <v>842</v>
      </c>
    </row>
    <row r="165" spans="1:10" ht="12" customHeight="1" x14ac:dyDescent="0.3">
      <c r="A165" s="81" t="s">
        <v>843</v>
      </c>
      <c r="B165" s="81" t="s">
        <v>1446</v>
      </c>
      <c r="C165" s="81" t="s">
        <v>1455</v>
      </c>
      <c r="D165" s="81" t="s">
        <v>844</v>
      </c>
      <c r="E165" s="81" t="s">
        <v>409</v>
      </c>
      <c r="F165" s="81"/>
      <c r="G165" s="94">
        <v>14</v>
      </c>
      <c r="H165" s="81" t="s">
        <v>409</v>
      </c>
      <c r="I165" s="81" t="s">
        <v>0</v>
      </c>
      <c r="J165" s="81" t="s">
        <v>786</v>
      </c>
    </row>
    <row r="166" spans="1:10" ht="12" customHeight="1" x14ac:dyDescent="0.3">
      <c r="A166" s="81" t="s">
        <v>845</v>
      </c>
      <c r="B166" s="81" t="s">
        <v>1446</v>
      </c>
      <c r="C166" s="81" t="s">
        <v>1455</v>
      </c>
      <c r="D166" s="81" t="s">
        <v>846</v>
      </c>
      <c r="E166" s="81" t="s">
        <v>409</v>
      </c>
      <c r="F166" s="81"/>
      <c r="G166" s="94">
        <v>14</v>
      </c>
      <c r="H166" s="81" t="s">
        <v>409</v>
      </c>
      <c r="I166" s="81" t="s">
        <v>0</v>
      </c>
      <c r="J166" s="81" t="s">
        <v>786</v>
      </c>
    </row>
    <row r="167" spans="1:10" ht="12" customHeight="1" x14ac:dyDescent="0.3">
      <c r="A167" s="81" t="s">
        <v>847</v>
      </c>
      <c r="B167" s="81" t="s">
        <v>1446</v>
      </c>
      <c r="C167" s="81" t="s">
        <v>1455</v>
      </c>
      <c r="D167" s="81" t="s">
        <v>848</v>
      </c>
      <c r="E167" s="81" t="s">
        <v>409</v>
      </c>
      <c r="F167" s="81"/>
      <c r="G167" s="94">
        <v>14</v>
      </c>
      <c r="H167" s="81" t="s">
        <v>409</v>
      </c>
      <c r="I167" s="81" t="s">
        <v>0</v>
      </c>
      <c r="J167" s="81" t="s">
        <v>786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80"/>
  <sheetViews>
    <sheetView workbookViewId="0"/>
  </sheetViews>
  <sheetFormatPr baseColWidth="10" defaultColWidth="8.88671875" defaultRowHeight="14.4" x14ac:dyDescent="0.3"/>
  <cols>
    <col min="1" max="1" width="66.77734375" customWidth="1"/>
    <col min="2" max="2" width="125.6640625" customWidth="1"/>
    <col min="3" max="3" width="7.88671875" customWidth="1"/>
    <col min="5" max="5" width="24" customWidth="1"/>
    <col min="6" max="6" width="7.88671875" customWidth="1"/>
  </cols>
  <sheetData>
    <row r="1" spans="1:8" ht="24" customHeight="1" x14ac:dyDescent="0.3">
      <c r="A1" s="102" t="s">
        <v>1464</v>
      </c>
      <c r="B1" s="102"/>
      <c r="C1" s="102"/>
      <c r="D1" s="102"/>
      <c r="E1" s="102"/>
      <c r="F1" s="102"/>
      <c r="G1" s="103"/>
      <c r="H1" s="103"/>
    </row>
    <row r="2" spans="1:8" ht="12" customHeight="1" x14ac:dyDescent="0.3">
      <c r="A2" s="81" t="s">
        <v>1465</v>
      </c>
      <c r="B2" s="81" t="s">
        <v>1466</v>
      </c>
      <c r="C2" s="81"/>
      <c r="D2" s="81"/>
      <c r="E2" s="81"/>
      <c r="F2" s="81"/>
      <c r="G2" s="81"/>
      <c r="H2" s="81"/>
    </row>
    <row r="3" spans="1:8" ht="12" customHeight="1" x14ac:dyDescent="0.3">
      <c r="A3" s="81" t="s">
        <v>1467</v>
      </c>
      <c r="B3" s="81" t="s">
        <v>1468</v>
      </c>
      <c r="C3" s="81"/>
      <c r="D3" s="81"/>
      <c r="E3" s="81"/>
      <c r="F3" s="81"/>
      <c r="G3" s="81"/>
      <c r="H3" s="81"/>
    </row>
    <row r="4" spans="1:8" ht="12" customHeight="1" x14ac:dyDescent="0.3">
      <c r="A4" s="81" t="s">
        <v>1469</v>
      </c>
      <c r="B4" s="81">
        <v>166</v>
      </c>
      <c r="C4" s="81"/>
      <c r="D4" s="81"/>
      <c r="E4" s="81"/>
      <c r="F4" s="81"/>
      <c r="G4" s="81"/>
      <c r="H4" s="81"/>
    </row>
    <row r="5" spans="1:8" ht="12" customHeight="1" x14ac:dyDescent="0.3">
      <c r="A5" s="81" t="s">
        <v>1470</v>
      </c>
      <c r="B5" s="81" t="s">
        <v>1471</v>
      </c>
      <c r="C5" s="81"/>
      <c r="D5" s="81"/>
      <c r="E5" s="81"/>
      <c r="F5" s="81"/>
      <c r="G5" s="81"/>
      <c r="H5" s="81"/>
    </row>
    <row r="6" spans="1:8" ht="12" customHeight="1" x14ac:dyDescent="0.3">
      <c r="A6" s="81"/>
      <c r="B6" s="81"/>
      <c r="C6" s="81"/>
      <c r="D6" s="81"/>
      <c r="E6" s="81"/>
      <c r="F6" s="81"/>
      <c r="G6" s="81"/>
      <c r="H6" s="81"/>
    </row>
    <row r="7" spans="1:8" ht="12" customHeight="1" x14ac:dyDescent="0.3">
      <c r="A7" s="82" t="s">
        <v>1472</v>
      </c>
      <c r="B7" s="82"/>
      <c r="C7" s="82"/>
      <c r="D7" s="82"/>
      <c r="E7" s="82" t="s">
        <v>1473</v>
      </c>
      <c r="F7" s="82"/>
      <c r="G7" s="82"/>
      <c r="H7" s="82"/>
    </row>
    <row r="8" spans="1:8" ht="12" customHeight="1" x14ac:dyDescent="0.3">
      <c r="A8" s="82" t="s">
        <v>1474</v>
      </c>
      <c r="B8" s="82" t="s">
        <v>1475</v>
      </c>
      <c r="C8" s="82" t="s">
        <v>1476</v>
      </c>
      <c r="D8" s="82"/>
      <c r="E8" s="82" t="s">
        <v>931</v>
      </c>
      <c r="F8" s="82" t="s">
        <v>1476</v>
      </c>
      <c r="G8" s="82"/>
      <c r="H8" s="82"/>
    </row>
    <row r="9" spans="1:8" ht="12" customHeight="1" x14ac:dyDescent="0.3">
      <c r="A9" s="81" t="s">
        <v>0</v>
      </c>
      <c r="B9" s="81" t="s">
        <v>408</v>
      </c>
      <c r="C9" s="81">
        <v>17</v>
      </c>
      <c r="D9" s="81"/>
      <c r="E9" s="81" t="s">
        <v>483</v>
      </c>
      <c r="F9" s="81">
        <v>6</v>
      </c>
      <c r="G9" s="81"/>
      <c r="H9" s="81"/>
    </row>
    <row r="10" spans="1:8" ht="12" customHeight="1" x14ac:dyDescent="0.3">
      <c r="A10" s="81" t="s">
        <v>3</v>
      </c>
      <c r="B10" s="81" t="s">
        <v>428</v>
      </c>
      <c r="C10" s="81">
        <v>31</v>
      </c>
      <c r="D10" s="81"/>
      <c r="E10" s="81" t="s">
        <v>411</v>
      </c>
      <c r="F10" s="81">
        <v>48</v>
      </c>
      <c r="G10" s="81"/>
      <c r="H10" s="81"/>
    </row>
    <row r="11" spans="1:8" ht="12" customHeight="1" x14ac:dyDescent="0.3">
      <c r="A11" s="81" t="s">
        <v>4</v>
      </c>
      <c r="B11" s="81" t="s">
        <v>433</v>
      </c>
      <c r="C11" s="81">
        <v>3</v>
      </c>
      <c r="D11" s="81"/>
      <c r="E11" s="81" t="s">
        <v>435</v>
      </c>
      <c r="F11" s="81">
        <v>78</v>
      </c>
      <c r="G11" s="81"/>
      <c r="H11" s="81"/>
    </row>
    <row r="12" spans="1:8" ht="12" customHeight="1" x14ac:dyDescent="0.3">
      <c r="A12" s="81" t="s">
        <v>6</v>
      </c>
      <c r="B12" s="81" t="s">
        <v>438</v>
      </c>
      <c r="C12" s="81">
        <v>24</v>
      </c>
      <c r="D12" s="81"/>
      <c r="E12" s="81" t="s">
        <v>451</v>
      </c>
      <c r="F12" s="81">
        <v>34</v>
      </c>
      <c r="G12" s="81"/>
      <c r="H12" s="81"/>
    </row>
    <row r="13" spans="1:8" ht="12" customHeight="1" x14ac:dyDescent="0.3">
      <c r="A13" s="81" t="s">
        <v>7</v>
      </c>
      <c r="B13" s="81" t="s">
        <v>438</v>
      </c>
      <c r="C13" s="81">
        <v>1</v>
      </c>
      <c r="D13" s="81"/>
      <c r="E13" s="81"/>
      <c r="F13" s="81"/>
      <c r="G13" s="81"/>
      <c r="H13" s="81"/>
    </row>
    <row r="14" spans="1:8" ht="12" customHeight="1" x14ac:dyDescent="0.3">
      <c r="A14" s="81" t="s">
        <v>8</v>
      </c>
      <c r="B14" s="81" t="s">
        <v>449</v>
      </c>
      <c r="C14" s="81">
        <v>22</v>
      </c>
      <c r="D14" s="81"/>
      <c r="E14" s="81"/>
      <c r="F14" s="81"/>
      <c r="G14" s="81"/>
      <c r="H14" s="81"/>
    </row>
    <row r="15" spans="1:8" ht="12" customHeight="1" x14ac:dyDescent="0.3">
      <c r="A15" s="81" t="s">
        <v>11</v>
      </c>
      <c r="B15" s="81" t="s">
        <v>457</v>
      </c>
      <c r="C15" s="81">
        <v>4</v>
      </c>
      <c r="D15" s="81"/>
      <c r="E15" s="81"/>
      <c r="F15" s="81"/>
      <c r="G15" s="81"/>
      <c r="H15" s="81"/>
    </row>
    <row r="16" spans="1:8" ht="12" customHeight="1" x14ac:dyDescent="0.3">
      <c r="A16" s="81" t="s">
        <v>12</v>
      </c>
      <c r="B16" s="81" t="s">
        <v>466</v>
      </c>
      <c r="C16" s="81">
        <v>29</v>
      </c>
      <c r="D16" s="81"/>
      <c r="E16" s="81"/>
      <c r="F16" s="81"/>
      <c r="G16" s="81"/>
      <c r="H16" s="81"/>
    </row>
    <row r="17" spans="1:8" ht="12" customHeight="1" x14ac:dyDescent="0.3">
      <c r="A17" s="81" t="s">
        <v>13</v>
      </c>
      <c r="B17" s="81" t="s">
        <v>470</v>
      </c>
      <c r="C17" s="81">
        <v>21</v>
      </c>
      <c r="D17" s="81"/>
      <c r="E17" s="81"/>
      <c r="F17" s="81"/>
      <c r="G17" s="81"/>
      <c r="H17" s="81"/>
    </row>
    <row r="18" spans="1:8" ht="12" customHeight="1" x14ac:dyDescent="0.3">
      <c r="A18" s="81" t="s">
        <v>14</v>
      </c>
      <c r="B18" s="81" t="s">
        <v>474</v>
      </c>
      <c r="C18" s="81">
        <v>3</v>
      </c>
      <c r="D18" s="81"/>
      <c r="E18" s="81"/>
      <c r="F18" s="81"/>
      <c r="G18" s="81"/>
      <c r="H18" s="81"/>
    </row>
    <row r="19" spans="1:8" ht="12" customHeight="1" x14ac:dyDescent="0.3">
      <c r="A19" s="81" t="s">
        <v>15</v>
      </c>
      <c r="B19" s="81" t="s">
        <v>474</v>
      </c>
      <c r="C19" s="81">
        <v>5</v>
      </c>
      <c r="D19" s="81"/>
      <c r="E19" s="81"/>
      <c r="F19" s="81"/>
      <c r="G19" s="81"/>
      <c r="H19" s="81"/>
    </row>
    <row r="20" spans="1:8" ht="12" customHeight="1" x14ac:dyDescent="0.3">
      <c r="A20" s="81" t="s">
        <v>16</v>
      </c>
      <c r="B20" s="81" t="s">
        <v>481</v>
      </c>
      <c r="C20" s="81">
        <v>3</v>
      </c>
      <c r="D20" s="81"/>
      <c r="E20" s="81"/>
      <c r="F20" s="81"/>
      <c r="G20" s="81"/>
      <c r="H20" s="81"/>
    </row>
    <row r="21" spans="1:8" ht="12" customHeight="1" x14ac:dyDescent="0.3">
      <c r="A21" s="81" t="s">
        <v>17</v>
      </c>
      <c r="B21" s="81" t="s">
        <v>486</v>
      </c>
      <c r="C21" s="81">
        <v>1</v>
      </c>
      <c r="D21" s="81"/>
      <c r="E21" s="81"/>
      <c r="F21" s="81"/>
      <c r="G21" s="81"/>
      <c r="H21" s="81"/>
    </row>
    <row r="22" spans="1:8" ht="12" customHeight="1" x14ac:dyDescent="0.3">
      <c r="A22" s="81" t="s">
        <v>18</v>
      </c>
      <c r="B22" s="81" t="s">
        <v>490</v>
      </c>
      <c r="C22" s="81">
        <v>2</v>
      </c>
      <c r="D22" s="81"/>
      <c r="E22" s="81"/>
      <c r="F22" s="81"/>
      <c r="G22" s="81"/>
      <c r="H22" s="81"/>
    </row>
    <row r="23" spans="1:8" ht="12" customHeight="1" x14ac:dyDescent="0.3">
      <c r="A23" s="81"/>
      <c r="B23" s="81"/>
      <c r="C23" s="81"/>
      <c r="D23" s="81"/>
      <c r="E23" s="81"/>
      <c r="F23" s="81"/>
      <c r="G23" s="81"/>
      <c r="H23" s="81"/>
    </row>
    <row r="24" spans="1:8" ht="12" customHeight="1" x14ac:dyDescent="0.3">
      <c r="A24" s="81"/>
      <c r="B24" s="81"/>
      <c r="C24" s="81"/>
      <c r="D24" s="81"/>
      <c r="E24" s="81"/>
      <c r="F24" s="81"/>
      <c r="G24" s="81"/>
      <c r="H24" s="81"/>
    </row>
    <row r="25" spans="1:8" ht="12" customHeight="1" x14ac:dyDescent="0.3">
      <c r="A25" s="81"/>
      <c r="B25" s="81"/>
      <c r="C25" s="81"/>
      <c r="D25" s="81"/>
      <c r="E25" s="81"/>
      <c r="F25" s="81"/>
      <c r="G25" s="81"/>
      <c r="H25" s="81"/>
    </row>
    <row r="26" spans="1:8" ht="12" customHeight="1" x14ac:dyDescent="0.3">
      <c r="A26" s="81"/>
      <c r="B26" s="81"/>
      <c r="C26" s="81"/>
      <c r="D26" s="81"/>
      <c r="E26" s="81"/>
      <c r="F26" s="81"/>
      <c r="G26" s="81"/>
      <c r="H26" s="81"/>
    </row>
    <row r="27" spans="1:8" ht="12" customHeight="1" x14ac:dyDescent="0.3">
      <c r="A27" s="81"/>
      <c r="B27" s="81"/>
      <c r="C27" s="81"/>
      <c r="D27" s="81"/>
      <c r="E27" s="81"/>
      <c r="F27" s="81"/>
      <c r="G27" s="81"/>
      <c r="H27" s="81"/>
    </row>
    <row r="28" spans="1:8" ht="12" customHeight="1" x14ac:dyDescent="0.3">
      <c r="A28" s="81"/>
      <c r="B28" s="81"/>
      <c r="C28" s="81"/>
      <c r="D28" s="81"/>
      <c r="E28" s="81"/>
      <c r="F28" s="81"/>
      <c r="G28" s="81"/>
      <c r="H28" s="81"/>
    </row>
    <row r="29" spans="1:8" x14ac:dyDescent="0.3">
      <c r="A29" s="71"/>
      <c r="B29" s="71"/>
      <c r="C29" s="71"/>
      <c r="D29" s="71"/>
      <c r="E29" s="71"/>
      <c r="F29" s="71"/>
      <c r="G29" s="71"/>
      <c r="H29" s="71"/>
    </row>
    <row r="30" spans="1:8" x14ac:dyDescent="0.3">
      <c r="A30" s="71"/>
      <c r="B30" s="71"/>
      <c r="C30" s="71"/>
      <c r="D30" s="71"/>
      <c r="E30" s="71"/>
      <c r="F30" s="71"/>
      <c r="G30" s="71"/>
      <c r="H30" s="71"/>
    </row>
    <row r="31" spans="1:8" x14ac:dyDescent="0.3">
      <c r="A31" s="71"/>
      <c r="B31" s="71"/>
      <c r="C31" s="71"/>
      <c r="D31" s="71"/>
      <c r="E31" s="71"/>
      <c r="F31" s="71"/>
      <c r="G31" s="71"/>
      <c r="H31" s="71"/>
    </row>
    <row r="32" spans="1:8" x14ac:dyDescent="0.3">
      <c r="A32" s="71"/>
      <c r="B32" s="71"/>
      <c r="C32" s="71"/>
      <c r="D32" s="71"/>
      <c r="E32" s="71"/>
      <c r="F32" s="71"/>
      <c r="G32" s="71"/>
      <c r="H32" s="71"/>
    </row>
    <row r="33" spans="1:8" x14ac:dyDescent="0.3">
      <c r="A33" s="71"/>
      <c r="B33" s="71"/>
      <c r="C33" s="71"/>
      <c r="D33" s="71"/>
      <c r="E33" s="71"/>
      <c r="F33" s="71"/>
      <c r="G33" s="71"/>
      <c r="H33" s="71"/>
    </row>
    <row r="34" spans="1:8" x14ac:dyDescent="0.3">
      <c r="A34" s="71"/>
      <c r="B34" s="71"/>
      <c r="C34" s="71"/>
      <c r="D34" s="71"/>
      <c r="E34" s="71"/>
      <c r="F34" s="71"/>
      <c r="G34" s="71"/>
      <c r="H34" s="71"/>
    </row>
    <row r="35" spans="1:8" x14ac:dyDescent="0.3">
      <c r="A35" s="71"/>
      <c r="B35" s="71"/>
      <c r="C35" s="71"/>
      <c r="D35" s="71"/>
      <c r="E35" s="71"/>
      <c r="F35" s="71"/>
      <c r="G35" s="71"/>
      <c r="H35" s="71"/>
    </row>
    <row r="36" spans="1:8" x14ac:dyDescent="0.3">
      <c r="A36" s="71"/>
      <c r="B36" s="71"/>
      <c r="C36" s="71"/>
      <c r="D36" s="71"/>
      <c r="E36" s="71"/>
      <c r="F36" s="71"/>
      <c r="G36" s="71"/>
      <c r="H36" s="71"/>
    </row>
    <row r="37" spans="1:8" x14ac:dyDescent="0.3">
      <c r="A37" s="71"/>
      <c r="B37" s="71"/>
      <c r="C37" s="71"/>
      <c r="D37" s="71"/>
      <c r="E37" s="71"/>
      <c r="F37" s="71"/>
      <c r="G37" s="71"/>
      <c r="H37" s="71"/>
    </row>
    <row r="38" spans="1:8" x14ac:dyDescent="0.3">
      <c r="A38" s="71"/>
      <c r="B38" s="71"/>
      <c r="C38" s="71"/>
      <c r="D38" s="71"/>
      <c r="E38" s="71"/>
      <c r="F38" s="71"/>
      <c r="G38" s="71"/>
      <c r="H38" s="71"/>
    </row>
    <row r="39" spans="1:8" x14ac:dyDescent="0.3">
      <c r="A39" s="71"/>
      <c r="B39" s="71"/>
      <c r="C39" s="71"/>
      <c r="D39" s="71"/>
      <c r="E39" s="71"/>
      <c r="F39" s="71"/>
      <c r="G39" s="71"/>
      <c r="H39" s="71"/>
    </row>
    <row r="40" spans="1:8" x14ac:dyDescent="0.3">
      <c r="A40" s="71"/>
      <c r="B40" s="71"/>
      <c r="C40" s="71"/>
      <c r="D40" s="71"/>
      <c r="E40" s="71"/>
      <c r="F40" s="71"/>
      <c r="G40" s="71"/>
      <c r="H40" s="71"/>
    </row>
    <row r="41" spans="1:8" x14ac:dyDescent="0.3">
      <c r="A41" s="71"/>
      <c r="B41" s="71"/>
      <c r="C41" s="71"/>
      <c r="D41" s="71"/>
      <c r="E41" s="71"/>
      <c r="F41" s="71"/>
      <c r="G41" s="71"/>
      <c r="H41" s="71"/>
    </row>
    <row r="42" spans="1:8" x14ac:dyDescent="0.3">
      <c r="A42" s="71"/>
      <c r="B42" s="71"/>
      <c r="C42" s="71"/>
      <c r="D42" s="71"/>
      <c r="E42" s="71"/>
      <c r="F42" s="71"/>
      <c r="G42" s="71"/>
      <c r="H42" s="71"/>
    </row>
    <row r="43" spans="1:8" x14ac:dyDescent="0.3">
      <c r="A43" s="71"/>
      <c r="B43" s="71"/>
      <c r="C43" s="71"/>
      <c r="D43" s="71"/>
      <c r="E43" s="71"/>
      <c r="F43" s="71"/>
      <c r="G43" s="71"/>
      <c r="H43" s="71"/>
    </row>
    <row r="44" spans="1:8" x14ac:dyDescent="0.3">
      <c r="A44" s="71"/>
      <c r="B44" s="71"/>
      <c r="C44" s="71"/>
      <c r="D44" s="71"/>
      <c r="E44" s="71"/>
      <c r="F44" s="71"/>
      <c r="G44" s="71"/>
      <c r="H44" s="71"/>
    </row>
    <row r="45" spans="1:8" x14ac:dyDescent="0.3">
      <c r="A45" s="71"/>
      <c r="B45" s="71"/>
      <c r="C45" s="71"/>
      <c r="D45" s="71"/>
      <c r="E45" s="71"/>
      <c r="F45" s="71"/>
      <c r="G45" s="71"/>
      <c r="H45" s="71"/>
    </row>
    <row r="46" spans="1:8" x14ac:dyDescent="0.3">
      <c r="A46" s="71"/>
      <c r="B46" s="71"/>
      <c r="C46" s="71"/>
      <c r="D46" s="71"/>
      <c r="E46" s="71"/>
      <c r="F46" s="71"/>
      <c r="G46" s="71"/>
      <c r="H46" s="71"/>
    </row>
    <row r="47" spans="1:8" x14ac:dyDescent="0.3">
      <c r="A47" s="71"/>
      <c r="B47" s="71"/>
      <c r="C47" s="71"/>
      <c r="D47" s="71"/>
      <c r="E47" s="71"/>
      <c r="F47" s="71"/>
      <c r="G47" s="71"/>
      <c r="H47" s="71"/>
    </row>
    <row r="48" spans="1:8" x14ac:dyDescent="0.3">
      <c r="A48" s="71"/>
      <c r="B48" s="71"/>
      <c r="C48" s="71"/>
      <c r="D48" s="71"/>
      <c r="E48" s="71"/>
      <c r="F48" s="71"/>
      <c r="G48" s="71"/>
      <c r="H48" s="71"/>
    </row>
    <row r="49" spans="1:8" x14ac:dyDescent="0.3">
      <c r="A49" s="71"/>
      <c r="B49" s="71"/>
      <c r="C49" s="71"/>
      <c r="D49" s="71"/>
      <c r="E49" s="71"/>
      <c r="F49" s="71"/>
      <c r="G49" s="71"/>
      <c r="H49" s="71"/>
    </row>
    <row r="50" spans="1:8" x14ac:dyDescent="0.3">
      <c r="A50" s="71"/>
      <c r="B50" s="71"/>
      <c r="C50" s="71"/>
      <c r="D50" s="71"/>
      <c r="E50" s="71"/>
      <c r="F50" s="71"/>
      <c r="G50" s="71"/>
      <c r="H50" s="71"/>
    </row>
    <row r="51" spans="1:8" x14ac:dyDescent="0.3">
      <c r="A51" s="71"/>
      <c r="B51" s="71"/>
      <c r="C51" s="71"/>
      <c r="D51" s="71"/>
      <c r="E51" s="71"/>
      <c r="F51" s="71"/>
      <c r="G51" s="71"/>
      <c r="H51" s="71"/>
    </row>
    <row r="52" spans="1:8" x14ac:dyDescent="0.3">
      <c r="A52" s="71"/>
      <c r="B52" s="71"/>
      <c r="C52" s="71"/>
      <c r="D52" s="71"/>
      <c r="E52" s="71"/>
      <c r="F52" s="71"/>
      <c r="G52" s="71"/>
      <c r="H52" s="71"/>
    </row>
    <row r="53" spans="1:8" x14ac:dyDescent="0.3">
      <c r="A53" s="71"/>
      <c r="B53" s="71"/>
      <c r="C53" s="71"/>
      <c r="D53" s="71"/>
      <c r="E53" s="71"/>
      <c r="F53" s="71"/>
      <c r="G53" s="71"/>
      <c r="H53" s="71"/>
    </row>
    <row r="54" spans="1:8" x14ac:dyDescent="0.3">
      <c r="A54" s="71"/>
      <c r="B54" s="71"/>
      <c r="C54" s="71"/>
      <c r="D54" s="71"/>
      <c r="E54" s="71"/>
      <c r="F54" s="71"/>
      <c r="G54" s="71"/>
      <c r="H54" s="71"/>
    </row>
    <row r="55" spans="1:8" x14ac:dyDescent="0.3">
      <c r="A55" s="71"/>
      <c r="B55" s="71"/>
      <c r="C55" s="71"/>
      <c r="D55" s="71"/>
      <c r="E55" s="71"/>
      <c r="F55" s="71"/>
      <c r="G55" s="71"/>
      <c r="H55" s="71"/>
    </row>
    <row r="56" spans="1:8" x14ac:dyDescent="0.3">
      <c r="A56" s="71"/>
      <c r="B56" s="71"/>
      <c r="C56" s="71"/>
      <c r="D56" s="71"/>
      <c r="E56" s="71"/>
      <c r="F56" s="71"/>
      <c r="G56" s="71"/>
      <c r="H56" s="71"/>
    </row>
    <row r="57" spans="1:8" x14ac:dyDescent="0.3">
      <c r="A57" s="71"/>
      <c r="B57" s="71"/>
      <c r="C57" s="71"/>
      <c r="D57" s="71"/>
      <c r="E57" s="71"/>
      <c r="F57" s="71"/>
      <c r="G57" s="71"/>
      <c r="H57" s="71"/>
    </row>
    <row r="58" spans="1:8" x14ac:dyDescent="0.3">
      <c r="A58" s="71"/>
      <c r="B58" s="71"/>
      <c r="C58" s="71"/>
      <c r="D58" s="71"/>
      <c r="E58" s="71"/>
      <c r="F58" s="71"/>
      <c r="G58" s="71"/>
      <c r="H58" s="71"/>
    </row>
    <row r="59" spans="1:8" x14ac:dyDescent="0.3">
      <c r="A59" s="71"/>
      <c r="B59" s="71"/>
      <c r="C59" s="71"/>
      <c r="D59" s="71"/>
      <c r="E59" s="71"/>
      <c r="F59" s="71"/>
      <c r="G59" s="71"/>
      <c r="H59" s="71"/>
    </row>
    <row r="60" spans="1:8" x14ac:dyDescent="0.3">
      <c r="A60" s="71"/>
      <c r="B60" s="71"/>
      <c r="C60" s="71"/>
      <c r="D60" s="71"/>
      <c r="E60" s="71"/>
      <c r="F60" s="71"/>
      <c r="G60" s="71"/>
      <c r="H60" s="71"/>
    </row>
    <row r="61" spans="1:8" x14ac:dyDescent="0.3">
      <c r="A61" s="71"/>
      <c r="B61" s="71"/>
      <c r="C61" s="71"/>
      <c r="D61" s="71"/>
      <c r="E61" s="71"/>
      <c r="F61" s="71"/>
      <c r="G61" s="71"/>
      <c r="H61" s="71"/>
    </row>
    <row r="62" spans="1:8" x14ac:dyDescent="0.3">
      <c r="A62" s="71"/>
      <c r="B62" s="71"/>
      <c r="C62" s="71"/>
      <c r="D62" s="71"/>
      <c r="E62" s="71"/>
      <c r="F62" s="71"/>
      <c r="G62" s="71"/>
      <c r="H62" s="71"/>
    </row>
    <row r="63" spans="1:8" x14ac:dyDescent="0.3">
      <c r="A63" s="71"/>
      <c r="B63" s="71"/>
      <c r="C63" s="71"/>
      <c r="D63" s="71"/>
      <c r="E63" s="71"/>
      <c r="F63" s="71"/>
      <c r="G63" s="71"/>
      <c r="H63" s="71"/>
    </row>
    <row r="64" spans="1:8" x14ac:dyDescent="0.3">
      <c r="A64" s="71"/>
      <c r="B64" s="71"/>
      <c r="C64" s="71"/>
      <c r="D64" s="71"/>
      <c r="E64" s="71"/>
      <c r="F64" s="71"/>
      <c r="G64" s="71"/>
      <c r="H64" s="71"/>
    </row>
    <row r="65" spans="1:8" x14ac:dyDescent="0.3">
      <c r="A65" s="71"/>
      <c r="B65" s="71"/>
      <c r="C65" s="71"/>
      <c r="D65" s="71"/>
      <c r="E65" s="71"/>
      <c r="F65" s="71"/>
      <c r="G65" s="71"/>
      <c r="H65" s="71"/>
    </row>
    <row r="66" spans="1:8" x14ac:dyDescent="0.3">
      <c r="A66" s="71"/>
      <c r="B66" s="71"/>
      <c r="C66" s="71"/>
      <c r="D66" s="71"/>
      <c r="E66" s="71"/>
      <c r="F66" s="71"/>
      <c r="G66" s="71"/>
      <c r="H66" s="71"/>
    </row>
    <row r="67" spans="1:8" x14ac:dyDescent="0.3">
      <c r="A67" s="71"/>
      <c r="B67" s="71"/>
      <c r="C67" s="71"/>
      <c r="D67" s="71"/>
      <c r="E67" s="71"/>
      <c r="F67" s="71"/>
      <c r="G67" s="71"/>
      <c r="H67" s="71"/>
    </row>
    <row r="68" spans="1:8" x14ac:dyDescent="0.3">
      <c r="A68" s="71"/>
      <c r="B68" s="71"/>
      <c r="C68" s="71"/>
      <c r="D68" s="71"/>
      <c r="E68" s="71"/>
      <c r="F68" s="71"/>
      <c r="G68" s="71"/>
      <c r="H68" s="71"/>
    </row>
    <row r="69" spans="1:8" x14ac:dyDescent="0.3">
      <c r="A69" s="71"/>
      <c r="B69" s="71"/>
      <c r="C69" s="71"/>
      <c r="D69" s="71"/>
      <c r="E69" s="71"/>
      <c r="F69" s="71"/>
      <c r="G69" s="71"/>
      <c r="H69" s="71"/>
    </row>
    <row r="70" spans="1:8" x14ac:dyDescent="0.3">
      <c r="A70" s="71"/>
      <c r="B70" s="71"/>
      <c r="C70" s="71"/>
      <c r="D70" s="71"/>
      <c r="E70" s="71"/>
      <c r="F70" s="71"/>
      <c r="G70" s="71"/>
      <c r="H70" s="71"/>
    </row>
    <row r="71" spans="1:8" x14ac:dyDescent="0.3">
      <c r="A71" s="71"/>
      <c r="B71" s="71"/>
      <c r="C71" s="71"/>
      <c r="D71" s="71"/>
      <c r="E71" s="71"/>
      <c r="F71" s="71"/>
      <c r="G71" s="71"/>
      <c r="H71" s="71"/>
    </row>
    <row r="72" spans="1:8" x14ac:dyDescent="0.3">
      <c r="A72" s="71"/>
      <c r="B72" s="71"/>
      <c r="C72" s="71"/>
      <c r="D72" s="71"/>
      <c r="E72" s="71"/>
      <c r="F72" s="71"/>
      <c r="G72" s="71"/>
      <c r="H72" s="71"/>
    </row>
    <row r="73" spans="1:8" x14ac:dyDescent="0.3">
      <c r="A73" s="71"/>
      <c r="B73" s="71"/>
      <c r="C73" s="71"/>
      <c r="D73" s="71"/>
      <c r="E73" s="71"/>
      <c r="F73" s="71"/>
      <c r="G73" s="71"/>
      <c r="H73" s="71"/>
    </row>
    <row r="74" spans="1:8" x14ac:dyDescent="0.3">
      <c r="A74" s="71"/>
      <c r="B74" s="71"/>
      <c r="C74" s="71"/>
      <c r="D74" s="71"/>
      <c r="E74" s="71"/>
      <c r="F74" s="71"/>
      <c r="G74" s="71"/>
      <c r="H74" s="71"/>
    </row>
    <row r="75" spans="1:8" x14ac:dyDescent="0.3">
      <c r="A75" s="71"/>
      <c r="B75" s="71"/>
      <c r="C75" s="71"/>
      <c r="D75" s="71"/>
      <c r="E75" s="71"/>
      <c r="F75" s="71"/>
      <c r="G75" s="71"/>
      <c r="H75" s="71"/>
    </row>
    <row r="76" spans="1:8" x14ac:dyDescent="0.3">
      <c r="A76" s="71"/>
      <c r="B76" s="71"/>
      <c r="C76" s="71"/>
      <c r="D76" s="71"/>
      <c r="E76" s="71"/>
      <c r="F76" s="71"/>
      <c r="G76" s="71"/>
      <c r="H76" s="71"/>
    </row>
    <row r="77" spans="1:8" x14ac:dyDescent="0.3">
      <c r="A77" s="71"/>
      <c r="B77" s="71"/>
      <c r="C77" s="71"/>
      <c r="D77" s="71"/>
      <c r="E77" s="71"/>
      <c r="F77" s="71"/>
      <c r="G77" s="71"/>
      <c r="H77" s="71"/>
    </row>
    <row r="78" spans="1:8" x14ac:dyDescent="0.3">
      <c r="A78" s="71"/>
      <c r="B78" s="71"/>
      <c r="C78" s="71"/>
      <c r="D78" s="71"/>
      <c r="E78" s="71"/>
      <c r="F78" s="71"/>
      <c r="G78" s="71"/>
      <c r="H78" s="71"/>
    </row>
    <row r="79" spans="1:8" x14ac:dyDescent="0.3">
      <c r="A79" s="71"/>
      <c r="B79" s="71"/>
      <c r="C79" s="71"/>
      <c r="D79" s="71"/>
      <c r="E79" s="71"/>
      <c r="F79" s="71"/>
      <c r="G79" s="71"/>
      <c r="H79" s="71"/>
    </row>
    <row r="80" spans="1:8" x14ac:dyDescent="0.3">
      <c r="A80" s="71"/>
      <c r="B80" s="71"/>
      <c r="C80" s="71"/>
      <c r="D80" s="71"/>
      <c r="E80" s="71"/>
      <c r="F80" s="71"/>
      <c r="G80" s="71"/>
      <c r="H80" s="71"/>
    </row>
  </sheetData>
  <mergeCells count="1">
    <mergeCell ref="A1:H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20"/>
  <sheetViews>
    <sheetView workbookViewId="0"/>
  </sheetViews>
  <sheetFormatPr baseColWidth="10" defaultColWidth="8.88671875" defaultRowHeight="14.4" x14ac:dyDescent="0.3"/>
  <cols>
    <col min="1" max="1" width="24" customWidth="1"/>
    <col min="2" max="2" width="80" customWidth="1"/>
  </cols>
  <sheetData>
    <row r="1" spans="1:4" ht="24" customHeight="1" x14ac:dyDescent="0.3">
      <c r="A1" s="104" t="s">
        <v>1477</v>
      </c>
      <c r="B1" s="104"/>
      <c r="C1" s="105"/>
      <c r="D1" s="105"/>
    </row>
    <row r="2" spans="1:4" ht="12" customHeight="1" x14ac:dyDescent="0.3">
      <c r="A2" s="81" t="s">
        <v>1478</v>
      </c>
      <c r="B2" s="81" t="s">
        <v>1479</v>
      </c>
      <c r="C2" s="81"/>
      <c r="D2" s="81"/>
    </row>
    <row r="3" spans="1:4" ht="12" customHeight="1" x14ac:dyDescent="0.3">
      <c r="A3" s="81" t="s">
        <v>1469</v>
      </c>
      <c r="B3" s="81">
        <v>166</v>
      </c>
      <c r="C3" s="81"/>
      <c r="D3" s="81"/>
    </row>
    <row r="4" spans="1:4" ht="12" customHeight="1" x14ac:dyDescent="0.3">
      <c r="A4" s="81" t="s">
        <v>1480</v>
      </c>
      <c r="B4" s="81" t="s">
        <v>1481</v>
      </c>
      <c r="C4" s="81"/>
      <c r="D4" s="81"/>
    </row>
    <row r="5" spans="1:4" ht="12" customHeight="1" x14ac:dyDescent="0.3">
      <c r="A5" s="81" t="s">
        <v>1482</v>
      </c>
      <c r="B5" s="81" t="s">
        <v>1483</v>
      </c>
      <c r="C5" s="81"/>
      <c r="D5" s="81"/>
    </row>
    <row r="6" spans="1:4" ht="12" customHeight="1" x14ac:dyDescent="0.3">
      <c r="A6" s="81" t="s">
        <v>386</v>
      </c>
      <c r="B6" s="81" t="s">
        <v>1484</v>
      </c>
      <c r="C6" s="81"/>
      <c r="D6" s="81"/>
    </row>
    <row r="7" spans="1:4" ht="12" customHeight="1" x14ac:dyDescent="0.3">
      <c r="A7" s="81" t="s">
        <v>1485</v>
      </c>
      <c r="B7" s="81" t="s">
        <v>1486</v>
      </c>
      <c r="C7" s="81"/>
      <c r="D7" s="81"/>
    </row>
    <row r="8" spans="1:4" x14ac:dyDescent="0.3">
      <c r="A8" s="71"/>
      <c r="B8" s="71"/>
      <c r="C8" s="71"/>
      <c r="D8" s="71"/>
    </row>
    <row r="9" spans="1:4" x14ac:dyDescent="0.3">
      <c r="A9" s="71"/>
      <c r="B9" s="71"/>
      <c r="C9" s="71"/>
      <c r="D9" s="71"/>
    </row>
    <row r="10" spans="1:4" x14ac:dyDescent="0.3">
      <c r="A10" s="71"/>
      <c r="B10" s="71"/>
      <c r="C10" s="71"/>
      <c r="D10" s="71"/>
    </row>
    <row r="11" spans="1:4" x14ac:dyDescent="0.3">
      <c r="A11" s="71"/>
      <c r="B11" s="71"/>
      <c r="C11" s="71"/>
      <c r="D11" s="71"/>
    </row>
    <row r="12" spans="1:4" x14ac:dyDescent="0.3">
      <c r="A12" s="71"/>
      <c r="B12" s="71"/>
      <c r="C12" s="71"/>
      <c r="D12" s="71"/>
    </row>
    <row r="13" spans="1:4" x14ac:dyDescent="0.3">
      <c r="A13" s="71"/>
      <c r="B13" s="71"/>
      <c r="C13" s="71"/>
      <c r="D13" s="71"/>
    </row>
    <row r="14" spans="1:4" x14ac:dyDescent="0.3">
      <c r="A14" s="71"/>
      <c r="B14" s="71"/>
      <c r="C14" s="71"/>
      <c r="D14" s="71"/>
    </row>
    <row r="15" spans="1:4" x14ac:dyDescent="0.3">
      <c r="A15" s="71"/>
      <c r="B15" s="71"/>
      <c r="C15" s="71"/>
      <c r="D15" s="71"/>
    </row>
    <row r="16" spans="1:4" x14ac:dyDescent="0.3">
      <c r="A16" s="71"/>
      <c r="B16" s="71"/>
      <c r="C16" s="71"/>
      <c r="D16" s="71"/>
    </row>
    <row r="17" spans="1:4" x14ac:dyDescent="0.3">
      <c r="A17" s="71"/>
      <c r="B17" s="71"/>
      <c r="C17" s="71"/>
      <c r="D17" s="71"/>
    </row>
    <row r="18" spans="1:4" x14ac:dyDescent="0.3">
      <c r="A18" s="71"/>
      <c r="B18" s="71"/>
      <c r="C18" s="71"/>
      <c r="D18" s="71"/>
    </row>
    <row r="19" spans="1:4" x14ac:dyDescent="0.3">
      <c r="A19" s="71"/>
      <c r="B19" s="71"/>
      <c r="C19" s="71"/>
      <c r="D19" s="71"/>
    </row>
    <row r="20" spans="1:4" x14ac:dyDescent="0.3">
      <c r="A20" s="71"/>
      <c r="B20" s="71"/>
      <c r="C20" s="71"/>
      <c r="D20" s="71"/>
    </row>
  </sheetData>
  <mergeCells count="1">
    <mergeCell ref="A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81"/>
  <sheetViews>
    <sheetView workbookViewId="0"/>
  </sheetViews>
  <sheetFormatPr baseColWidth="10" defaultColWidth="8.88671875" defaultRowHeight="14.4" x14ac:dyDescent="0.3"/>
  <cols>
    <col min="1" max="1" width="10" customWidth="1"/>
    <col min="2" max="2" width="16" customWidth="1"/>
    <col min="3" max="3" width="10" customWidth="1"/>
    <col min="4" max="5" width="12" customWidth="1"/>
    <col min="6" max="6" width="42" customWidth="1"/>
    <col min="7" max="7" width="45" customWidth="1"/>
  </cols>
  <sheetData>
    <row r="1" spans="1:7" x14ac:dyDescent="0.3">
      <c r="A1" s="86" t="s">
        <v>1487</v>
      </c>
      <c r="B1" s="86" t="s">
        <v>286</v>
      </c>
      <c r="C1" s="86" t="s">
        <v>1488</v>
      </c>
      <c r="D1" s="86" t="s">
        <v>1489</v>
      </c>
      <c r="E1" s="86" t="s">
        <v>1490</v>
      </c>
      <c r="F1" s="86" t="s">
        <v>1491</v>
      </c>
      <c r="G1" s="86" t="s">
        <v>229</v>
      </c>
    </row>
    <row r="2" spans="1:7" ht="43.2" x14ac:dyDescent="0.3">
      <c r="A2" s="87">
        <v>2026</v>
      </c>
      <c r="B2" s="87" t="s">
        <v>393</v>
      </c>
      <c r="C2" s="87">
        <v>30</v>
      </c>
      <c r="D2" s="88">
        <v>1211.77</v>
      </c>
      <c r="E2" s="88">
        <v>16964.78</v>
      </c>
      <c r="F2" s="87" t="s">
        <v>1492</v>
      </c>
      <c r="G2" s="87" t="s">
        <v>1493</v>
      </c>
    </row>
    <row r="3" spans="1:7" ht="43.2" x14ac:dyDescent="0.3">
      <c r="A3" s="87">
        <v>2026</v>
      </c>
      <c r="B3" s="87" t="s">
        <v>393</v>
      </c>
      <c r="C3" s="87">
        <v>29</v>
      </c>
      <c r="D3" s="88">
        <v>1086.8900000000001</v>
      </c>
      <c r="E3" s="88">
        <v>15216.46</v>
      </c>
      <c r="F3" s="87" t="s">
        <v>1492</v>
      </c>
      <c r="G3" s="87" t="s">
        <v>1493</v>
      </c>
    </row>
    <row r="4" spans="1:7" ht="43.2" x14ac:dyDescent="0.3">
      <c r="A4" s="87">
        <v>2026</v>
      </c>
      <c r="B4" s="87" t="s">
        <v>393</v>
      </c>
      <c r="C4" s="87">
        <v>28</v>
      </c>
      <c r="D4" s="88">
        <v>1041.22</v>
      </c>
      <c r="E4" s="88">
        <v>14577.08</v>
      </c>
      <c r="F4" s="87" t="s">
        <v>1492</v>
      </c>
      <c r="G4" s="87" t="s">
        <v>1493</v>
      </c>
    </row>
    <row r="5" spans="1:7" ht="43.2" x14ac:dyDescent="0.3">
      <c r="A5" s="87">
        <v>2026</v>
      </c>
      <c r="B5" s="87" t="s">
        <v>393</v>
      </c>
      <c r="C5" s="87">
        <v>27</v>
      </c>
      <c r="D5" s="88">
        <v>995.47</v>
      </c>
      <c r="E5" s="88">
        <v>13936.58</v>
      </c>
      <c r="F5" s="87" t="s">
        <v>1492</v>
      </c>
      <c r="G5" s="87" t="s">
        <v>1493</v>
      </c>
    </row>
    <row r="6" spans="1:7" ht="43.2" x14ac:dyDescent="0.3">
      <c r="A6" s="87">
        <v>2026</v>
      </c>
      <c r="B6" s="87" t="s">
        <v>393</v>
      </c>
      <c r="C6" s="87">
        <v>26</v>
      </c>
      <c r="D6" s="88">
        <v>873.38</v>
      </c>
      <c r="E6" s="88">
        <v>12227.32</v>
      </c>
      <c r="F6" s="87" t="s">
        <v>1492</v>
      </c>
      <c r="G6" s="87" t="s">
        <v>1493</v>
      </c>
    </row>
    <row r="7" spans="1:7" ht="43.2" x14ac:dyDescent="0.3">
      <c r="A7" s="87">
        <v>2026</v>
      </c>
      <c r="B7" s="87" t="s">
        <v>393</v>
      </c>
      <c r="C7" s="87">
        <v>25</v>
      </c>
      <c r="D7" s="88">
        <v>774.86</v>
      </c>
      <c r="E7" s="88">
        <v>10848.04</v>
      </c>
      <c r="F7" s="87" t="s">
        <v>1492</v>
      </c>
      <c r="G7" s="87" t="s">
        <v>1493</v>
      </c>
    </row>
    <row r="8" spans="1:7" ht="43.2" x14ac:dyDescent="0.3">
      <c r="A8" s="87">
        <v>2026</v>
      </c>
      <c r="B8" s="87" t="s">
        <v>393</v>
      </c>
      <c r="C8" s="87">
        <v>24</v>
      </c>
      <c r="D8" s="88">
        <v>729.14</v>
      </c>
      <c r="E8" s="88">
        <v>10207.959999999999</v>
      </c>
      <c r="F8" s="87" t="s">
        <v>1492</v>
      </c>
      <c r="G8" s="87" t="s">
        <v>1493</v>
      </c>
    </row>
    <row r="9" spans="1:7" ht="43.2" x14ac:dyDescent="0.3">
      <c r="A9" s="87">
        <v>2026</v>
      </c>
      <c r="B9" s="87" t="s">
        <v>393</v>
      </c>
      <c r="C9" s="87">
        <v>23</v>
      </c>
      <c r="D9" s="88">
        <v>683.48</v>
      </c>
      <c r="E9" s="88">
        <v>9568.7199999999993</v>
      </c>
      <c r="F9" s="87" t="s">
        <v>1492</v>
      </c>
      <c r="G9" s="87" t="s">
        <v>1493</v>
      </c>
    </row>
    <row r="10" spans="1:7" ht="43.2" x14ac:dyDescent="0.3">
      <c r="A10" s="87">
        <v>2026</v>
      </c>
      <c r="B10" s="87" t="s">
        <v>393</v>
      </c>
      <c r="C10" s="87">
        <v>22</v>
      </c>
      <c r="D10" s="88">
        <v>637.73</v>
      </c>
      <c r="E10" s="88">
        <v>8928.2199999999993</v>
      </c>
      <c r="F10" s="87" t="s">
        <v>1492</v>
      </c>
      <c r="G10" s="87" t="s">
        <v>1493</v>
      </c>
    </row>
    <row r="11" spans="1:7" ht="43.2" x14ac:dyDescent="0.3">
      <c r="A11" s="87">
        <v>2026</v>
      </c>
      <c r="B11" s="87" t="s">
        <v>393</v>
      </c>
      <c r="C11" s="87">
        <v>21</v>
      </c>
      <c r="D11" s="88">
        <v>592.11</v>
      </c>
      <c r="E11" s="88">
        <v>8289.5400000000009</v>
      </c>
      <c r="F11" s="87" t="s">
        <v>1492</v>
      </c>
      <c r="G11" s="87" t="s">
        <v>1493</v>
      </c>
    </row>
    <row r="12" spans="1:7" ht="43.2" x14ac:dyDescent="0.3">
      <c r="A12" s="87">
        <v>2026</v>
      </c>
      <c r="B12" s="87" t="s">
        <v>393</v>
      </c>
      <c r="C12" s="87">
        <v>20</v>
      </c>
      <c r="D12" s="88">
        <v>550.01</v>
      </c>
      <c r="E12" s="88">
        <v>7700.14</v>
      </c>
      <c r="F12" s="87" t="s">
        <v>1492</v>
      </c>
      <c r="G12" s="87" t="s">
        <v>1493</v>
      </c>
    </row>
    <row r="13" spans="1:7" ht="43.2" x14ac:dyDescent="0.3">
      <c r="A13" s="87">
        <v>2026</v>
      </c>
      <c r="B13" s="87" t="s">
        <v>393</v>
      </c>
      <c r="C13" s="87">
        <v>19</v>
      </c>
      <c r="D13" s="88">
        <v>521.94000000000005</v>
      </c>
      <c r="E13" s="88">
        <v>7307.16</v>
      </c>
      <c r="F13" s="87" t="s">
        <v>1492</v>
      </c>
      <c r="G13" s="87" t="s">
        <v>1493</v>
      </c>
    </row>
    <row r="14" spans="1:7" ht="43.2" x14ac:dyDescent="0.3">
      <c r="A14" s="87">
        <v>2026</v>
      </c>
      <c r="B14" s="87" t="s">
        <v>393</v>
      </c>
      <c r="C14" s="87">
        <v>18</v>
      </c>
      <c r="D14" s="88">
        <v>493.86</v>
      </c>
      <c r="E14" s="88">
        <v>6914.04</v>
      </c>
      <c r="F14" s="87" t="s">
        <v>1492</v>
      </c>
      <c r="G14" s="87" t="s">
        <v>1493</v>
      </c>
    </row>
    <row r="15" spans="1:7" ht="43.2" x14ac:dyDescent="0.3">
      <c r="A15" s="87">
        <v>2026</v>
      </c>
      <c r="B15" s="87" t="s">
        <v>393</v>
      </c>
      <c r="C15" s="87">
        <v>17</v>
      </c>
      <c r="D15" s="88">
        <v>465.75</v>
      </c>
      <c r="E15" s="88">
        <v>6520.5</v>
      </c>
      <c r="F15" s="87" t="s">
        <v>1492</v>
      </c>
      <c r="G15" s="87" t="s">
        <v>1493</v>
      </c>
    </row>
    <row r="16" spans="1:7" ht="43.2" x14ac:dyDescent="0.3">
      <c r="A16" s="87">
        <v>2026</v>
      </c>
      <c r="B16" s="87" t="s">
        <v>393</v>
      </c>
      <c r="C16" s="87">
        <v>16</v>
      </c>
      <c r="D16" s="88">
        <v>437.73</v>
      </c>
      <c r="E16" s="88">
        <v>6128.22</v>
      </c>
      <c r="F16" s="87" t="s">
        <v>1492</v>
      </c>
      <c r="G16" s="87" t="s">
        <v>1493</v>
      </c>
    </row>
    <row r="17" spans="1:7" ht="43.2" x14ac:dyDescent="0.3">
      <c r="A17" s="87">
        <v>2026</v>
      </c>
      <c r="B17" s="87" t="s">
        <v>393</v>
      </c>
      <c r="C17" s="87">
        <v>15</v>
      </c>
      <c r="D17" s="88">
        <v>409.59</v>
      </c>
      <c r="E17" s="88">
        <v>5734.26</v>
      </c>
      <c r="F17" s="87" t="s">
        <v>1492</v>
      </c>
      <c r="G17" s="87" t="s">
        <v>1493</v>
      </c>
    </row>
    <row r="18" spans="1:7" ht="43.2" x14ac:dyDescent="0.3">
      <c r="A18" s="87">
        <v>2026</v>
      </c>
      <c r="B18" s="87" t="s">
        <v>393</v>
      </c>
      <c r="C18" s="87">
        <v>14</v>
      </c>
      <c r="D18" s="88">
        <v>381.57</v>
      </c>
      <c r="E18" s="88">
        <v>5341.98</v>
      </c>
      <c r="F18" s="87" t="s">
        <v>1492</v>
      </c>
      <c r="G18" s="87" t="s">
        <v>1493</v>
      </c>
    </row>
    <row r="19" spans="1:7" ht="43.2" x14ac:dyDescent="0.3">
      <c r="A19" s="87">
        <v>2026</v>
      </c>
      <c r="B19" s="87" t="s">
        <v>393</v>
      </c>
      <c r="C19" s="87">
        <v>13</v>
      </c>
      <c r="D19" s="88">
        <v>353.44</v>
      </c>
      <c r="E19" s="88">
        <v>4948.16</v>
      </c>
      <c r="F19" s="87" t="s">
        <v>1492</v>
      </c>
      <c r="G19" s="87" t="s">
        <v>1493</v>
      </c>
    </row>
    <row r="20" spans="1:7" ht="43.2" x14ac:dyDescent="0.3">
      <c r="A20" s="87">
        <v>2026</v>
      </c>
      <c r="B20" s="87" t="s">
        <v>393</v>
      </c>
      <c r="C20" s="87">
        <v>12</v>
      </c>
      <c r="D20" s="88">
        <v>325.35000000000002</v>
      </c>
      <c r="E20" s="88">
        <v>4554.8999999999996</v>
      </c>
      <c r="F20" s="87" t="s">
        <v>1492</v>
      </c>
      <c r="G20" s="87" t="s">
        <v>1493</v>
      </c>
    </row>
    <row r="21" spans="1:7" ht="43.2" x14ac:dyDescent="0.3">
      <c r="A21" s="87">
        <v>2026</v>
      </c>
      <c r="B21" s="87" t="s">
        <v>393</v>
      </c>
      <c r="C21" s="87">
        <v>11</v>
      </c>
      <c r="D21" s="88">
        <v>297.24</v>
      </c>
      <c r="E21" s="88">
        <v>4161.3599999999997</v>
      </c>
      <c r="F21" s="87" t="s">
        <v>1492</v>
      </c>
      <c r="G21" s="87" t="s">
        <v>1493</v>
      </c>
    </row>
    <row r="22" spans="1:7" ht="43.2" x14ac:dyDescent="0.3">
      <c r="A22" s="87">
        <v>2026</v>
      </c>
      <c r="B22" s="87" t="s">
        <v>393</v>
      </c>
      <c r="C22" s="87">
        <v>10</v>
      </c>
      <c r="D22" s="88">
        <v>269.2</v>
      </c>
      <c r="E22" s="88">
        <v>3768.8</v>
      </c>
      <c r="F22" s="87" t="s">
        <v>1492</v>
      </c>
      <c r="G22" s="87" t="s">
        <v>1493</v>
      </c>
    </row>
    <row r="23" spans="1:7" ht="43.2" x14ac:dyDescent="0.3">
      <c r="A23" s="87">
        <v>2026</v>
      </c>
      <c r="B23" s="87" t="s">
        <v>393</v>
      </c>
      <c r="C23" s="87">
        <v>9</v>
      </c>
      <c r="D23" s="88">
        <v>255.17</v>
      </c>
      <c r="E23" s="88">
        <v>3572.38</v>
      </c>
      <c r="F23" s="87" t="s">
        <v>1492</v>
      </c>
      <c r="G23" s="87" t="s">
        <v>1493</v>
      </c>
    </row>
    <row r="24" spans="1:7" ht="43.2" x14ac:dyDescent="0.3">
      <c r="A24" s="87">
        <v>2026</v>
      </c>
      <c r="B24" s="87" t="s">
        <v>393</v>
      </c>
      <c r="C24" s="87">
        <v>8</v>
      </c>
      <c r="D24" s="88">
        <v>241.09</v>
      </c>
      <c r="E24" s="88">
        <v>3375.26</v>
      </c>
      <c r="F24" s="87" t="s">
        <v>1492</v>
      </c>
      <c r="G24" s="87" t="s">
        <v>1493</v>
      </c>
    </row>
    <row r="25" spans="1:7" ht="43.2" x14ac:dyDescent="0.3">
      <c r="A25" s="87">
        <v>2026</v>
      </c>
      <c r="B25" s="87" t="s">
        <v>393</v>
      </c>
      <c r="C25" s="87">
        <v>7</v>
      </c>
      <c r="D25" s="88">
        <v>227.07</v>
      </c>
      <c r="E25" s="88">
        <v>3178.98</v>
      </c>
      <c r="F25" s="87" t="s">
        <v>1492</v>
      </c>
      <c r="G25" s="87" t="s">
        <v>1493</v>
      </c>
    </row>
    <row r="26" spans="1:7" ht="43.2" x14ac:dyDescent="0.3">
      <c r="A26" s="87">
        <v>2026</v>
      </c>
      <c r="B26" s="87" t="s">
        <v>393</v>
      </c>
      <c r="C26" s="87">
        <v>6</v>
      </c>
      <c r="D26" s="88">
        <v>213.02</v>
      </c>
      <c r="E26" s="88">
        <v>2982.28</v>
      </c>
      <c r="F26" s="87" t="s">
        <v>1492</v>
      </c>
      <c r="G26" s="87" t="s">
        <v>1493</v>
      </c>
    </row>
    <row r="27" spans="1:7" ht="43.2" x14ac:dyDescent="0.3">
      <c r="A27" s="87">
        <v>2026</v>
      </c>
      <c r="B27" s="87" t="s">
        <v>393</v>
      </c>
      <c r="C27" s="87">
        <v>5</v>
      </c>
      <c r="D27" s="88">
        <v>198.97</v>
      </c>
      <c r="E27" s="88">
        <v>2785.58</v>
      </c>
      <c r="F27" s="87" t="s">
        <v>1492</v>
      </c>
      <c r="G27" s="87" t="s">
        <v>1493</v>
      </c>
    </row>
    <row r="28" spans="1:7" ht="43.2" x14ac:dyDescent="0.3">
      <c r="A28" s="87">
        <v>2026</v>
      </c>
      <c r="B28" s="87" t="s">
        <v>393</v>
      </c>
      <c r="C28" s="87">
        <v>4</v>
      </c>
      <c r="D28" s="88">
        <v>177.92</v>
      </c>
      <c r="E28" s="88">
        <v>2490.88</v>
      </c>
      <c r="F28" s="87" t="s">
        <v>1492</v>
      </c>
      <c r="G28" s="87" t="s">
        <v>1493</v>
      </c>
    </row>
    <row r="29" spans="1:7" ht="43.2" x14ac:dyDescent="0.3">
      <c r="A29" s="87">
        <v>2026</v>
      </c>
      <c r="B29" s="87" t="s">
        <v>393</v>
      </c>
      <c r="C29" s="87">
        <v>3</v>
      </c>
      <c r="D29" s="88">
        <v>156.91</v>
      </c>
      <c r="E29" s="88">
        <v>2196.7399999999998</v>
      </c>
      <c r="F29" s="87" t="s">
        <v>1492</v>
      </c>
      <c r="G29" s="87" t="s">
        <v>1493</v>
      </c>
    </row>
    <row r="30" spans="1:7" ht="43.2" x14ac:dyDescent="0.3">
      <c r="A30" s="87">
        <v>2026</v>
      </c>
      <c r="B30" s="87" t="s">
        <v>393</v>
      </c>
      <c r="C30" s="87">
        <v>2</v>
      </c>
      <c r="D30" s="88">
        <v>135.84</v>
      </c>
      <c r="E30" s="88">
        <v>1901.76</v>
      </c>
      <c r="F30" s="87" t="s">
        <v>1492</v>
      </c>
      <c r="G30" s="87" t="s">
        <v>1493</v>
      </c>
    </row>
    <row r="31" spans="1:7" ht="43.2" x14ac:dyDescent="0.3">
      <c r="A31" s="87">
        <v>2026</v>
      </c>
      <c r="B31" s="87" t="s">
        <v>393</v>
      </c>
      <c r="C31" s="87">
        <v>1</v>
      </c>
      <c r="D31" s="88">
        <v>114.81</v>
      </c>
      <c r="E31" s="88">
        <v>1607.34</v>
      </c>
      <c r="F31" s="87" t="s">
        <v>1492</v>
      </c>
      <c r="G31" s="87" t="s">
        <v>1493</v>
      </c>
    </row>
    <row r="32" spans="1:7" ht="43.2" x14ac:dyDescent="0.3">
      <c r="A32" s="87">
        <v>2026</v>
      </c>
      <c r="B32" s="87" t="s">
        <v>395</v>
      </c>
      <c r="C32" s="87">
        <v>30</v>
      </c>
      <c r="D32" s="88">
        <v>2523.13</v>
      </c>
      <c r="E32" s="88">
        <v>35323.760000000002</v>
      </c>
      <c r="F32" s="87" t="s">
        <v>1492</v>
      </c>
      <c r="G32" s="87" t="s">
        <v>1493</v>
      </c>
    </row>
    <row r="33" spans="1:7" ht="43.2" x14ac:dyDescent="0.3">
      <c r="A33" s="87">
        <v>2026</v>
      </c>
      <c r="B33" s="87" t="s">
        <v>395</v>
      </c>
      <c r="C33" s="87">
        <v>29</v>
      </c>
      <c r="D33" s="88">
        <v>2398.2399999999998</v>
      </c>
      <c r="E33" s="88">
        <v>33575.4</v>
      </c>
      <c r="F33" s="87" t="s">
        <v>1492</v>
      </c>
      <c r="G33" s="87" t="s">
        <v>1493</v>
      </c>
    </row>
    <row r="34" spans="1:7" ht="43.2" x14ac:dyDescent="0.3">
      <c r="A34" s="87">
        <v>2026</v>
      </c>
      <c r="B34" s="87" t="s">
        <v>395</v>
      </c>
      <c r="C34" s="87">
        <v>28</v>
      </c>
      <c r="D34" s="88">
        <v>2352.58</v>
      </c>
      <c r="E34" s="88">
        <v>32936.06</v>
      </c>
      <c r="F34" s="87" t="s">
        <v>1492</v>
      </c>
      <c r="G34" s="87" t="s">
        <v>1493</v>
      </c>
    </row>
    <row r="35" spans="1:7" ht="43.2" x14ac:dyDescent="0.3">
      <c r="A35" s="87">
        <v>2026</v>
      </c>
      <c r="B35" s="87" t="s">
        <v>395</v>
      </c>
      <c r="C35" s="87">
        <v>27</v>
      </c>
      <c r="D35" s="88">
        <v>2306.83</v>
      </c>
      <c r="E35" s="88">
        <v>32295.56</v>
      </c>
      <c r="F35" s="87" t="s">
        <v>1492</v>
      </c>
      <c r="G35" s="87" t="s">
        <v>1493</v>
      </c>
    </row>
    <row r="36" spans="1:7" ht="43.2" x14ac:dyDescent="0.3">
      <c r="A36" s="87">
        <v>2026</v>
      </c>
      <c r="B36" s="87" t="s">
        <v>395</v>
      </c>
      <c r="C36" s="87">
        <v>26</v>
      </c>
      <c r="D36" s="88">
        <v>2184.7399999999998</v>
      </c>
      <c r="E36" s="88">
        <v>30586.3</v>
      </c>
      <c r="F36" s="87" t="s">
        <v>1492</v>
      </c>
      <c r="G36" s="87" t="s">
        <v>1493</v>
      </c>
    </row>
    <row r="37" spans="1:7" ht="43.2" x14ac:dyDescent="0.3">
      <c r="A37" s="87">
        <v>2026</v>
      </c>
      <c r="B37" s="87" t="s">
        <v>395</v>
      </c>
      <c r="C37" s="87">
        <v>25</v>
      </c>
      <c r="D37" s="88">
        <v>2086.2199999999998</v>
      </c>
      <c r="E37" s="88">
        <v>29207.02</v>
      </c>
      <c r="F37" s="87" t="s">
        <v>1492</v>
      </c>
      <c r="G37" s="87" t="s">
        <v>1493</v>
      </c>
    </row>
    <row r="38" spans="1:7" ht="43.2" x14ac:dyDescent="0.3">
      <c r="A38" s="87">
        <v>2026</v>
      </c>
      <c r="B38" s="87" t="s">
        <v>395</v>
      </c>
      <c r="C38" s="87">
        <v>24</v>
      </c>
      <c r="D38" s="88">
        <v>2040.5</v>
      </c>
      <c r="E38" s="88">
        <v>28566.94</v>
      </c>
      <c r="F38" s="87" t="s">
        <v>1492</v>
      </c>
      <c r="G38" s="87" t="s">
        <v>1493</v>
      </c>
    </row>
    <row r="39" spans="1:7" ht="43.2" x14ac:dyDescent="0.3">
      <c r="A39" s="87">
        <v>2026</v>
      </c>
      <c r="B39" s="87" t="s">
        <v>395</v>
      </c>
      <c r="C39" s="87">
        <v>23</v>
      </c>
      <c r="D39" s="88">
        <v>1994.84</v>
      </c>
      <c r="E39" s="88">
        <v>27927.7</v>
      </c>
      <c r="F39" s="87" t="s">
        <v>1492</v>
      </c>
      <c r="G39" s="87" t="s">
        <v>1493</v>
      </c>
    </row>
    <row r="40" spans="1:7" ht="43.2" x14ac:dyDescent="0.3">
      <c r="A40" s="87">
        <v>2026</v>
      </c>
      <c r="B40" s="87" t="s">
        <v>395</v>
      </c>
      <c r="C40" s="87">
        <v>22</v>
      </c>
      <c r="D40" s="88">
        <v>1949.09</v>
      </c>
      <c r="E40" s="88">
        <v>27287.200000000001</v>
      </c>
      <c r="F40" s="87" t="s">
        <v>1492</v>
      </c>
      <c r="G40" s="87" t="s">
        <v>1493</v>
      </c>
    </row>
    <row r="41" spans="1:7" ht="43.2" x14ac:dyDescent="0.3">
      <c r="A41" s="87">
        <v>2026</v>
      </c>
      <c r="B41" s="87" t="s">
        <v>395</v>
      </c>
      <c r="C41" s="87">
        <v>21</v>
      </c>
      <c r="D41" s="88">
        <v>1903.47</v>
      </c>
      <c r="E41" s="88">
        <v>26648.52</v>
      </c>
      <c r="F41" s="87" t="s">
        <v>1492</v>
      </c>
      <c r="G41" s="87" t="s">
        <v>1493</v>
      </c>
    </row>
    <row r="42" spans="1:7" ht="43.2" x14ac:dyDescent="0.3">
      <c r="A42" s="87">
        <v>2026</v>
      </c>
      <c r="B42" s="87" t="s">
        <v>395</v>
      </c>
      <c r="C42" s="87">
        <v>20</v>
      </c>
      <c r="D42" s="88">
        <v>1861.37</v>
      </c>
      <c r="E42" s="88">
        <v>26059.119999999999</v>
      </c>
      <c r="F42" s="87" t="s">
        <v>1492</v>
      </c>
      <c r="G42" s="87" t="s">
        <v>1493</v>
      </c>
    </row>
    <row r="43" spans="1:7" ht="43.2" x14ac:dyDescent="0.3">
      <c r="A43" s="87">
        <v>2026</v>
      </c>
      <c r="B43" s="87" t="s">
        <v>395</v>
      </c>
      <c r="C43" s="87">
        <v>19</v>
      </c>
      <c r="D43" s="88">
        <v>1833.3</v>
      </c>
      <c r="E43" s="88">
        <v>25666.14</v>
      </c>
      <c r="F43" s="87" t="s">
        <v>1492</v>
      </c>
      <c r="G43" s="87" t="s">
        <v>1493</v>
      </c>
    </row>
    <row r="44" spans="1:7" ht="43.2" x14ac:dyDescent="0.3">
      <c r="A44" s="87">
        <v>2026</v>
      </c>
      <c r="B44" s="87" t="s">
        <v>395</v>
      </c>
      <c r="C44" s="87">
        <v>18</v>
      </c>
      <c r="D44" s="88">
        <v>1805.22</v>
      </c>
      <c r="E44" s="88">
        <v>25273.02</v>
      </c>
      <c r="F44" s="87" t="s">
        <v>1492</v>
      </c>
      <c r="G44" s="87" t="s">
        <v>1493</v>
      </c>
    </row>
    <row r="45" spans="1:7" ht="43.2" x14ac:dyDescent="0.3">
      <c r="A45" s="87">
        <v>2026</v>
      </c>
      <c r="B45" s="87" t="s">
        <v>395</v>
      </c>
      <c r="C45" s="87">
        <v>17</v>
      </c>
      <c r="D45" s="88">
        <v>1777.14</v>
      </c>
      <c r="E45" s="88">
        <v>24879.94</v>
      </c>
      <c r="F45" s="87" t="s">
        <v>1492</v>
      </c>
      <c r="G45" s="87" t="s">
        <v>1493</v>
      </c>
    </row>
    <row r="46" spans="1:7" ht="43.2" x14ac:dyDescent="0.3">
      <c r="A46" s="87">
        <v>2026</v>
      </c>
      <c r="B46" s="87" t="s">
        <v>395</v>
      </c>
      <c r="C46" s="87">
        <v>16</v>
      </c>
      <c r="D46" s="88">
        <v>1749.09</v>
      </c>
      <c r="E46" s="88">
        <v>24487.200000000001</v>
      </c>
      <c r="F46" s="87" t="s">
        <v>1492</v>
      </c>
      <c r="G46" s="87" t="s">
        <v>1493</v>
      </c>
    </row>
    <row r="47" spans="1:7" ht="43.2" x14ac:dyDescent="0.3">
      <c r="A47" s="87">
        <v>2026</v>
      </c>
      <c r="B47" s="87" t="s">
        <v>395</v>
      </c>
      <c r="C47" s="87">
        <v>15</v>
      </c>
      <c r="D47" s="88">
        <v>1720.95</v>
      </c>
      <c r="E47" s="88">
        <v>24093.24</v>
      </c>
      <c r="F47" s="87" t="s">
        <v>1492</v>
      </c>
      <c r="G47" s="87" t="s">
        <v>1493</v>
      </c>
    </row>
    <row r="48" spans="1:7" ht="43.2" x14ac:dyDescent="0.3">
      <c r="A48" s="87">
        <v>2026</v>
      </c>
      <c r="B48" s="87" t="s">
        <v>395</v>
      </c>
      <c r="C48" s="87">
        <v>14</v>
      </c>
      <c r="D48" s="88">
        <v>1692.93</v>
      </c>
      <c r="E48" s="88">
        <v>23700.959999999999</v>
      </c>
      <c r="F48" s="87" t="s">
        <v>1492</v>
      </c>
      <c r="G48" s="87" t="s">
        <v>1493</v>
      </c>
    </row>
    <row r="49" spans="1:7" ht="43.2" x14ac:dyDescent="0.3">
      <c r="A49" s="87">
        <v>2026</v>
      </c>
      <c r="B49" s="87" t="s">
        <v>395</v>
      </c>
      <c r="C49" s="87">
        <v>13</v>
      </c>
      <c r="D49" s="88">
        <v>1664.8</v>
      </c>
      <c r="E49" s="88">
        <v>23307.14</v>
      </c>
      <c r="F49" s="87" t="s">
        <v>1492</v>
      </c>
      <c r="G49" s="87" t="s">
        <v>1493</v>
      </c>
    </row>
    <row r="50" spans="1:7" ht="43.2" x14ac:dyDescent="0.3">
      <c r="A50" s="87">
        <v>2026</v>
      </c>
      <c r="B50" s="87" t="s">
        <v>395</v>
      </c>
      <c r="C50" s="87">
        <v>12</v>
      </c>
      <c r="D50" s="88">
        <v>1636.71</v>
      </c>
      <c r="E50" s="88">
        <v>22913.88</v>
      </c>
      <c r="F50" s="87" t="s">
        <v>1492</v>
      </c>
      <c r="G50" s="87" t="s">
        <v>1493</v>
      </c>
    </row>
    <row r="51" spans="1:7" ht="43.2" x14ac:dyDescent="0.3">
      <c r="A51" s="87">
        <v>2026</v>
      </c>
      <c r="B51" s="87" t="s">
        <v>395</v>
      </c>
      <c r="C51" s="87">
        <v>11</v>
      </c>
      <c r="D51" s="88">
        <v>1608.6</v>
      </c>
      <c r="E51" s="88">
        <v>22520.34</v>
      </c>
      <c r="F51" s="87" t="s">
        <v>1492</v>
      </c>
      <c r="G51" s="87" t="s">
        <v>1493</v>
      </c>
    </row>
    <row r="52" spans="1:7" ht="43.2" x14ac:dyDescent="0.3">
      <c r="A52" s="87">
        <v>2026</v>
      </c>
      <c r="B52" s="87" t="s">
        <v>395</v>
      </c>
      <c r="C52" s="87">
        <v>10</v>
      </c>
      <c r="D52" s="88">
        <v>1580.56</v>
      </c>
      <c r="E52" s="88">
        <v>22127.78</v>
      </c>
      <c r="F52" s="87" t="s">
        <v>1492</v>
      </c>
      <c r="G52" s="87" t="s">
        <v>1493</v>
      </c>
    </row>
    <row r="53" spans="1:7" ht="43.2" x14ac:dyDescent="0.3">
      <c r="A53" s="87">
        <v>2026</v>
      </c>
      <c r="B53" s="87" t="s">
        <v>395</v>
      </c>
      <c r="C53" s="87">
        <v>9</v>
      </c>
      <c r="D53" s="88">
        <v>1566.53</v>
      </c>
      <c r="E53" s="88">
        <v>21931.360000000001</v>
      </c>
      <c r="F53" s="87" t="s">
        <v>1492</v>
      </c>
      <c r="G53" s="87" t="s">
        <v>1493</v>
      </c>
    </row>
    <row r="54" spans="1:7" ht="43.2" x14ac:dyDescent="0.3">
      <c r="A54" s="87">
        <v>2026</v>
      </c>
      <c r="B54" s="87" t="s">
        <v>395</v>
      </c>
      <c r="C54" s="87">
        <v>8</v>
      </c>
      <c r="D54" s="88">
        <v>1552.45</v>
      </c>
      <c r="E54" s="88">
        <v>21734.240000000002</v>
      </c>
      <c r="F54" s="87" t="s">
        <v>1492</v>
      </c>
      <c r="G54" s="87" t="s">
        <v>1493</v>
      </c>
    </row>
    <row r="55" spans="1:7" ht="43.2" x14ac:dyDescent="0.3">
      <c r="A55" s="87">
        <v>2026</v>
      </c>
      <c r="B55" s="87" t="s">
        <v>395</v>
      </c>
      <c r="C55" s="87">
        <v>7</v>
      </c>
      <c r="D55" s="88">
        <v>1538.43</v>
      </c>
      <c r="E55" s="88">
        <v>21537.96</v>
      </c>
      <c r="F55" s="87" t="s">
        <v>1492</v>
      </c>
      <c r="G55" s="87" t="s">
        <v>1493</v>
      </c>
    </row>
    <row r="56" spans="1:7" ht="43.2" x14ac:dyDescent="0.3">
      <c r="A56" s="87">
        <v>2026</v>
      </c>
      <c r="B56" s="87" t="s">
        <v>395</v>
      </c>
      <c r="C56" s="87">
        <v>6</v>
      </c>
      <c r="D56" s="88">
        <v>1524.38</v>
      </c>
      <c r="E56" s="88">
        <v>21341.26</v>
      </c>
      <c r="F56" s="87" t="s">
        <v>1492</v>
      </c>
      <c r="G56" s="87" t="s">
        <v>1493</v>
      </c>
    </row>
    <row r="57" spans="1:7" ht="43.2" x14ac:dyDescent="0.3">
      <c r="A57" s="87">
        <v>2026</v>
      </c>
      <c r="B57" s="87" t="s">
        <v>395</v>
      </c>
      <c r="C57" s="87">
        <v>5</v>
      </c>
      <c r="D57" s="88">
        <v>1510.33</v>
      </c>
      <c r="E57" s="88">
        <v>21144.560000000001</v>
      </c>
      <c r="F57" s="87" t="s">
        <v>1492</v>
      </c>
      <c r="G57" s="87" t="s">
        <v>1493</v>
      </c>
    </row>
    <row r="58" spans="1:7" ht="43.2" x14ac:dyDescent="0.3">
      <c r="A58" s="87">
        <v>2026</v>
      </c>
      <c r="B58" s="87" t="s">
        <v>395</v>
      </c>
      <c r="C58" s="87">
        <v>4</v>
      </c>
      <c r="D58" s="88">
        <v>1489.28</v>
      </c>
      <c r="E58" s="88">
        <v>20849.86</v>
      </c>
      <c r="F58" s="87" t="s">
        <v>1492</v>
      </c>
      <c r="G58" s="87" t="s">
        <v>1493</v>
      </c>
    </row>
    <row r="59" spans="1:7" ht="43.2" x14ac:dyDescent="0.3">
      <c r="A59" s="87">
        <v>2026</v>
      </c>
      <c r="B59" s="87" t="s">
        <v>395</v>
      </c>
      <c r="C59" s="87">
        <v>3</v>
      </c>
      <c r="D59" s="88">
        <v>1468.27</v>
      </c>
      <c r="E59" s="88">
        <v>20555.72</v>
      </c>
      <c r="F59" s="87" t="s">
        <v>1492</v>
      </c>
      <c r="G59" s="87" t="s">
        <v>1493</v>
      </c>
    </row>
    <row r="60" spans="1:7" ht="43.2" x14ac:dyDescent="0.3">
      <c r="A60" s="87">
        <v>2026</v>
      </c>
      <c r="B60" s="87" t="s">
        <v>395</v>
      </c>
      <c r="C60" s="87">
        <v>2</v>
      </c>
      <c r="D60" s="88">
        <v>1447.2</v>
      </c>
      <c r="E60" s="88">
        <v>20260.740000000002</v>
      </c>
      <c r="F60" s="87" t="s">
        <v>1492</v>
      </c>
      <c r="G60" s="87" t="s">
        <v>1493</v>
      </c>
    </row>
    <row r="61" spans="1:7" ht="43.2" x14ac:dyDescent="0.3">
      <c r="A61" s="87">
        <v>2026</v>
      </c>
      <c r="B61" s="87" t="s">
        <v>395</v>
      </c>
      <c r="C61" s="87">
        <v>1</v>
      </c>
      <c r="D61" s="88">
        <v>1426.17</v>
      </c>
      <c r="E61" s="88">
        <v>19966.32</v>
      </c>
      <c r="F61" s="87" t="s">
        <v>1492</v>
      </c>
      <c r="G61" s="87" t="s">
        <v>1493</v>
      </c>
    </row>
    <row r="62" spans="1:7" ht="43.2" x14ac:dyDescent="0.3">
      <c r="A62" s="87">
        <v>2026</v>
      </c>
      <c r="B62" s="87" t="s">
        <v>396</v>
      </c>
      <c r="C62" s="87">
        <v>30</v>
      </c>
      <c r="D62" s="88">
        <v>2364.91</v>
      </c>
      <c r="E62" s="88">
        <v>33108.68</v>
      </c>
      <c r="F62" s="87" t="s">
        <v>1492</v>
      </c>
      <c r="G62" s="87" t="s">
        <v>1493</v>
      </c>
    </row>
    <row r="63" spans="1:7" ht="43.2" x14ac:dyDescent="0.3">
      <c r="A63" s="87">
        <v>2026</v>
      </c>
      <c r="B63" s="87" t="s">
        <v>396</v>
      </c>
      <c r="C63" s="87">
        <v>29</v>
      </c>
      <c r="D63" s="88">
        <v>2240.0300000000002</v>
      </c>
      <c r="E63" s="88">
        <v>31360.36</v>
      </c>
      <c r="F63" s="87" t="s">
        <v>1492</v>
      </c>
      <c r="G63" s="87" t="s">
        <v>1493</v>
      </c>
    </row>
    <row r="64" spans="1:7" ht="43.2" x14ac:dyDescent="0.3">
      <c r="A64" s="87">
        <v>2026</v>
      </c>
      <c r="B64" s="87" t="s">
        <v>396</v>
      </c>
      <c r="C64" s="87">
        <v>28</v>
      </c>
      <c r="D64" s="88">
        <v>2194.36</v>
      </c>
      <c r="E64" s="88">
        <v>30720.98</v>
      </c>
      <c r="F64" s="87" t="s">
        <v>1492</v>
      </c>
      <c r="G64" s="87" t="s">
        <v>1493</v>
      </c>
    </row>
    <row r="65" spans="1:7" ht="43.2" x14ac:dyDescent="0.3">
      <c r="A65" s="87">
        <v>2026</v>
      </c>
      <c r="B65" s="87" t="s">
        <v>396</v>
      </c>
      <c r="C65" s="87">
        <v>27</v>
      </c>
      <c r="D65" s="88">
        <v>2148.61</v>
      </c>
      <c r="E65" s="88">
        <v>30080.48</v>
      </c>
      <c r="F65" s="87" t="s">
        <v>1492</v>
      </c>
      <c r="G65" s="87" t="s">
        <v>1493</v>
      </c>
    </row>
    <row r="66" spans="1:7" ht="43.2" x14ac:dyDescent="0.3">
      <c r="A66" s="87">
        <v>2026</v>
      </c>
      <c r="B66" s="87" t="s">
        <v>396</v>
      </c>
      <c r="C66" s="87">
        <v>26</v>
      </c>
      <c r="D66" s="88">
        <v>2026.52</v>
      </c>
      <c r="E66" s="88">
        <v>28371.22</v>
      </c>
      <c r="F66" s="87" t="s">
        <v>1492</v>
      </c>
      <c r="G66" s="87" t="s">
        <v>1493</v>
      </c>
    </row>
    <row r="67" spans="1:7" ht="43.2" x14ac:dyDescent="0.3">
      <c r="A67" s="87">
        <v>2026</v>
      </c>
      <c r="B67" s="87" t="s">
        <v>396</v>
      </c>
      <c r="C67" s="87">
        <v>25</v>
      </c>
      <c r="D67" s="88">
        <v>1928</v>
      </c>
      <c r="E67" s="88">
        <v>26991.94</v>
      </c>
      <c r="F67" s="87" t="s">
        <v>1492</v>
      </c>
      <c r="G67" s="87" t="s">
        <v>1493</v>
      </c>
    </row>
    <row r="68" spans="1:7" ht="43.2" x14ac:dyDescent="0.3">
      <c r="A68" s="87">
        <v>2026</v>
      </c>
      <c r="B68" s="87" t="s">
        <v>396</v>
      </c>
      <c r="C68" s="87">
        <v>24</v>
      </c>
      <c r="D68" s="88">
        <v>1882.28</v>
      </c>
      <c r="E68" s="88">
        <v>26351.86</v>
      </c>
      <c r="F68" s="87" t="s">
        <v>1492</v>
      </c>
      <c r="G68" s="87" t="s">
        <v>1493</v>
      </c>
    </row>
    <row r="69" spans="1:7" ht="43.2" x14ac:dyDescent="0.3">
      <c r="A69" s="87">
        <v>2026</v>
      </c>
      <c r="B69" s="87" t="s">
        <v>396</v>
      </c>
      <c r="C69" s="87">
        <v>23</v>
      </c>
      <c r="D69" s="88">
        <v>1836.62</v>
      </c>
      <c r="E69" s="88">
        <v>25712.62</v>
      </c>
      <c r="F69" s="87" t="s">
        <v>1492</v>
      </c>
      <c r="G69" s="87" t="s">
        <v>1493</v>
      </c>
    </row>
    <row r="70" spans="1:7" ht="43.2" x14ac:dyDescent="0.3">
      <c r="A70" s="87">
        <v>2026</v>
      </c>
      <c r="B70" s="87" t="s">
        <v>396</v>
      </c>
      <c r="C70" s="87">
        <v>22</v>
      </c>
      <c r="D70" s="88">
        <v>1790.87</v>
      </c>
      <c r="E70" s="88">
        <v>25072.12</v>
      </c>
      <c r="F70" s="87" t="s">
        <v>1492</v>
      </c>
      <c r="G70" s="87" t="s">
        <v>1493</v>
      </c>
    </row>
    <row r="71" spans="1:7" ht="43.2" x14ac:dyDescent="0.3">
      <c r="A71" s="87">
        <v>2026</v>
      </c>
      <c r="B71" s="87" t="s">
        <v>396</v>
      </c>
      <c r="C71" s="87">
        <v>21</v>
      </c>
      <c r="D71" s="88">
        <v>1745.25</v>
      </c>
      <c r="E71" s="88">
        <v>24433.439999999999</v>
      </c>
      <c r="F71" s="87" t="s">
        <v>1492</v>
      </c>
      <c r="G71" s="87" t="s">
        <v>1493</v>
      </c>
    </row>
    <row r="72" spans="1:7" ht="43.2" x14ac:dyDescent="0.3">
      <c r="A72" s="87">
        <v>2026</v>
      </c>
      <c r="B72" s="87" t="s">
        <v>396</v>
      </c>
      <c r="C72" s="87">
        <v>20</v>
      </c>
      <c r="D72" s="88">
        <v>1703.15</v>
      </c>
      <c r="E72" s="88">
        <v>23844.04</v>
      </c>
      <c r="F72" s="87" t="s">
        <v>1492</v>
      </c>
      <c r="G72" s="87" t="s">
        <v>1493</v>
      </c>
    </row>
    <row r="73" spans="1:7" ht="43.2" x14ac:dyDescent="0.3">
      <c r="A73" s="87">
        <v>2026</v>
      </c>
      <c r="B73" s="87" t="s">
        <v>396</v>
      </c>
      <c r="C73" s="87">
        <v>19</v>
      </c>
      <c r="D73" s="88">
        <v>1675.08</v>
      </c>
      <c r="E73" s="88">
        <v>23451.06</v>
      </c>
      <c r="F73" s="87" t="s">
        <v>1492</v>
      </c>
      <c r="G73" s="87" t="s">
        <v>1493</v>
      </c>
    </row>
    <row r="74" spans="1:7" ht="43.2" x14ac:dyDescent="0.3">
      <c r="A74" s="87">
        <v>2026</v>
      </c>
      <c r="B74" s="87" t="s">
        <v>396</v>
      </c>
      <c r="C74" s="87">
        <v>18</v>
      </c>
      <c r="D74" s="88">
        <v>1647</v>
      </c>
      <c r="E74" s="88">
        <v>23057.94</v>
      </c>
      <c r="F74" s="87" t="s">
        <v>1492</v>
      </c>
      <c r="G74" s="87" t="s">
        <v>1493</v>
      </c>
    </row>
    <row r="75" spans="1:7" ht="43.2" x14ac:dyDescent="0.3">
      <c r="A75" s="87">
        <v>2026</v>
      </c>
      <c r="B75" s="87" t="s">
        <v>396</v>
      </c>
      <c r="C75" s="87">
        <v>17</v>
      </c>
      <c r="D75" s="88">
        <v>1618.89</v>
      </c>
      <c r="E75" s="88">
        <v>22664.400000000001</v>
      </c>
      <c r="F75" s="87" t="s">
        <v>1492</v>
      </c>
      <c r="G75" s="87" t="s">
        <v>1493</v>
      </c>
    </row>
    <row r="76" spans="1:7" ht="43.2" x14ac:dyDescent="0.3">
      <c r="A76" s="87">
        <v>2026</v>
      </c>
      <c r="B76" s="87" t="s">
        <v>396</v>
      </c>
      <c r="C76" s="87">
        <v>16</v>
      </c>
      <c r="D76" s="88">
        <v>1590.87</v>
      </c>
      <c r="E76" s="88">
        <v>22272.12</v>
      </c>
      <c r="F76" s="87" t="s">
        <v>1492</v>
      </c>
      <c r="G76" s="87" t="s">
        <v>1493</v>
      </c>
    </row>
    <row r="77" spans="1:7" ht="43.2" x14ac:dyDescent="0.3">
      <c r="A77" s="87">
        <v>2026</v>
      </c>
      <c r="B77" s="87" t="s">
        <v>396</v>
      </c>
      <c r="C77" s="87">
        <v>15</v>
      </c>
      <c r="D77" s="88">
        <v>1562.73</v>
      </c>
      <c r="E77" s="88">
        <v>21878.16</v>
      </c>
      <c r="F77" s="87" t="s">
        <v>1492</v>
      </c>
      <c r="G77" s="87" t="s">
        <v>1493</v>
      </c>
    </row>
    <row r="78" spans="1:7" ht="43.2" x14ac:dyDescent="0.3">
      <c r="A78" s="87">
        <v>2026</v>
      </c>
      <c r="B78" s="87" t="s">
        <v>396</v>
      </c>
      <c r="C78" s="87">
        <v>14</v>
      </c>
      <c r="D78" s="88">
        <v>1534.71</v>
      </c>
      <c r="E78" s="88">
        <v>21485.88</v>
      </c>
      <c r="F78" s="87" t="s">
        <v>1492</v>
      </c>
      <c r="G78" s="87" t="s">
        <v>1493</v>
      </c>
    </row>
    <row r="79" spans="1:7" ht="43.2" x14ac:dyDescent="0.3">
      <c r="A79" s="87">
        <v>2026</v>
      </c>
      <c r="B79" s="87" t="s">
        <v>396</v>
      </c>
      <c r="C79" s="87">
        <v>13</v>
      </c>
      <c r="D79" s="88">
        <v>1506.58</v>
      </c>
      <c r="E79" s="88">
        <v>21092.06</v>
      </c>
      <c r="F79" s="87" t="s">
        <v>1492</v>
      </c>
      <c r="G79" s="87" t="s">
        <v>1493</v>
      </c>
    </row>
    <row r="80" spans="1:7" ht="43.2" x14ac:dyDescent="0.3">
      <c r="A80" s="87">
        <v>2026</v>
      </c>
      <c r="B80" s="87" t="s">
        <v>396</v>
      </c>
      <c r="C80" s="87">
        <v>12</v>
      </c>
      <c r="D80" s="88">
        <v>1478.49</v>
      </c>
      <c r="E80" s="88">
        <v>20698.8</v>
      </c>
      <c r="F80" s="87" t="s">
        <v>1492</v>
      </c>
      <c r="G80" s="87" t="s">
        <v>1493</v>
      </c>
    </row>
    <row r="81" spans="1:7" ht="43.2" x14ac:dyDescent="0.3">
      <c r="A81" s="87">
        <v>2026</v>
      </c>
      <c r="B81" s="87" t="s">
        <v>396</v>
      </c>
      <c r="C81" s="87">
        <v>11</v>
      </c>
      <c r="D81" s="88">
        <v>1450.38</v>
      </c>
      <c r="E81" s="88">
        <v>20305.259999999998</v>
      </c>
      <c r="F81" s="87" t="s">
        <v>1492</v>
      </c>
      <c r="G81" s="87" t="s">
        <v>1493</v>
      </c>
    </row>
    <row r="82" spans="1:7" ht="43.2" x14ac:dyDescent="0.3">
      <c r="A82" s="87">
        <v>2026</v>
      </c>
      <c r="B82" s="87" t="s">
        <v>396</v>
      </c>
      <c r="C82" s="87">
        <v>10</v>
      </c>
      <c r="D82" s="88">
        <v>1422.34</v>
      </c>
      <c r="E82" s="88">
        <v>19912.7</v>
      </c>
      <c r="F82" s="87" t="s">
        <v>1492</v>
      </c>
      <c r="G82" s="87" t="s">
        <v>1493</v>
      </c>
    </row>
    <row r="83" spans="1:7" ht="43.2" x14ac:dyDescent="0.3">
      <c r="A83" s="87">
        <v>2026</v>
      </c>
      <c r="B83" s="87" t="s">
        <v>396</v>
      </c>
      <c r="C83" s="87">
        <v>9</v>
      </c>
      <c r="D83" s="88">
        <v>1408.31</v>
      </c>
      <c r="E83" s="88">
        <v>19716.28</v>
      </c>
      <c r="F83" s="87" t="s">
        <v>1492</v>
      </c>
      <c r="G83" s="87" t="s">
        <v>1493</v>
      </c>
    </row>
    <row r="84" spans="1:7" ht="43.2" x14ac:dyDescent="0.3">
      <c r="A84" s="87">
        <v>2026</v>
      </c>
      <c r="B84" s="87" t="s">
        <v>396</v>
      </c>
      <c r="C84" s="87">
        <v>8</v>
      </c>
      <c r="D84" s="88">
        <v>1394.23</v>
      </c>
      <c r="E84" s="88">
        <v>19519.16</v>
      </c>
      <c r="F84" s="87" t="s">
        <v>1492</v>
      </c>
      <c r="G84" s="87" t="s">
        <v>1493</v>
      </c>
    </row>
    <row r="85" spans="1:7" ht="43.2" x14ac:dyDescent="0.3">
      <c r="A85" s="87">
        <v>2026</v>
      </c>
      <c r="B85" s="87" t="s">
        <v>396</v>
      </c>
      <c r="C85" s="87">
        <v>7</v>
      </c>
      <c r="D85" s="88">
        <v>1380.17</v>
      </c>
      <c r="E85" s="88">
        <v>19322.38</v>
      </c>
      <c r="F85" s="87" t="s">
        <v>1492</v>
      </c>
      <c r="G85" s="87" t="s">
        <v>1493</v>
      </c>
    </row>
    <row r="86" spans="1:7" ht="43.2" x14ac:dyDescent="0.3">
      <c r="A86" s="87">
        <v>2026</v>
      </c>
      <c r="B86" s="87" t="s">
        <v>396</v>
      </c>
      <c r="C86" s="87">
        <v>6</v>
      </c>
      <c r="D86" s="88">
        <v>1366.16</v>
      </c>
      <c r="E86" s="88">
        <v>19126.18</v>
      </c>
      <c r="F86" s="87" t="s">
        <v>1492</v>
      </c>
      <c r="G86" s="87" t="s">
        <v>1493</v>
      </c>
    </row>
    <row r="87" spans="1:7" ht="43.2" x14ac:dyDescent="0.3">
      <c r="A87" s="87">
        <v>2026</v>
      </c>
      <c r="B87" s="87" t="s">
        <v>396</v>
      </c>
      <c r="C87" s="87">
        <v>5</v>
      </c>
      <c r="D87" s="88">
        <v>1352.11</v>
      </c>
      <c r="E87" s="88">
        <v>18929.48</v>
      </c>
      <c r="F87" s="87" t="s">
        <v>1492</v>
      </c>
      <c r="G87" s="87" t="s">
        <v>1493</v>
      </c>
    </row>
    <row r="88" spans="1:7" ht="43.2" x14ac:dyDescent="0.3">
      <c r="A88" s="87">
        <v>2026</v>
      </c>
      <c r="B88" s="87" t="s">
        <v>396</v>
      </c>
      <c r="C88" s="87">
        <v>4</v>
      </c>
      <c r="D88" s="88">
        <v>1331.06</v>
      </c>
      <c r="E88" s="88">
        <v>18634.78</v>
      </c>
      <c r="F88" s="87" t="s">
        <v>1492</v>
      </c>
      <c r="G88" s="87" t="s">
        <v>1493</v>
      </c>
    </row>
    <row r="89" spans="1:7" ht="43.2" x14ac:dyDescent="0.3">
      <c r="A89" s="87">
        <v>2026</v>
      </c>
      <c r="B89" s="87" t="s">
        <v>396</v>
      </c>
      <c r="C89" s="87">
        <v>3</v>
      </c>
      <c r="D89" s="88">
        <v>1310.05</v>
      </c>
      <c r="E89" s="88">
        <v>18340.64</v>
      </c>
      <c r="F89" s="87" t="s">
        <v>1492</v>
      </c>
      <c r="G89" s="87" t="s">
        <v>1493</v>
      </c>
    </row>
    <row r="90" spans="1:7" ht="43.2" x14ac:dyDescent="0.3">
      <c r="A90" s="87">
        <v>2026</v>
      </c>
      <c r="B90" s="87" t="s">
        <v>396</v>
      </c>
      <c r="C90" s="87">
        <v>2</v>
      </c>
      <c r="D90" s="88">
        <v>1288.98</v>
      </c>
      <c r="E90" s="88">
        <v>18045.66</v>
      </c>
      <c r="F90" s="87" t="s">
        <v>1492</v>
      </c>
      <c r="G90" s="87" t="s">
        <v>1493</v>
      </c>
    </row>
    <row r="91" spans="1:7" ht="43.2" x14ac:dyDescent="0.3">
      <c r="A91" s="87">
        <v>2026</v>
      </c>
      <c r="B91" s="87" t="s">
        <v>396</v>
      </c>
      <c r="C91" s="87">
        <v>1</v>
      </c>
      <c r="D91" s="88">
        <v>1267.95</v>
      </c>
      <c r="E91" s="88">
        <v>17751.240000000002</v>
      </c>
      <c r="F91" s="87" t="s">
        <v>1492</v>
      </c>
      <c r="G91" s="87" t="s">
        <v>1493</v>
      </c>
    </row>
    <row r="92" spans="1:7" ht="43.2" x14ac:dyDescent="0.3">
      <c r="A92" s="87">
        <v>2026</v>
      </c>
      <c r="B92" s="87" t="s">
        <v>397</v>
      </c>
      <c r="C92" s="87">
        <v>30</v>
      </c>
      <c r="D92" s="88">
        <v>2239.9899999999998</v>
      </c>
      <c r="E92" s="88">
        <v>31359.9</v>
      </c>
      <c r="F92" s="87" t="s">
        <v>1492</v>
      </c>
      <c r="G92" s="87" t="s">
        <v>1493</v>
      </c>
    </row>
    <row r="93" spans="1:7" ht="43.2" x14ac:dyDescent="0.3">
      <c r="A93" s="87">
        <v>2026</v>
      </c>
      <c r="B93" s="87" t="s">
        <v>397</v>
      </c>
      <c r="C93" s="87">
        <v>29</v>
      </c>
      <c r="D93" s="88">
        <v>2115.11</v>
      </c>
      <c r="E93" s="88">
        <v>29611.58</v>
      </c>
      <c r="F93" s="87" t="s">
        <v>1492</v>
      </c>
      <c r="G93" s="87" t="s">
        <v>1493</v>
      </c>
    </row>
    <row r="94" spans="1:7" ht="43.2" x14ac:dyDescent="0.3">
      <c r="A94" s="87">
        <v>2026</v>
      </c>
      <c r="B94" s="87" t="s">
        <v>397</v>
      </c>
      <c r="C94" s="87">
        <v>28</v>
      </c>
      <c r="D94" s="88">
        <v>2069.44</v>
      </c>
      <c r="E94" s="88">
        <v>28972.2</v>
      </c>
      <c r="F94" s="87" t="s">
        <v>1492</v>
      </c>
      <c r="G94" s="87" t="s">
        <v>1493</v>
      </c>
    </row>
    <row r="95" spans="1:7" ht="43.2" x14ac:dyDescent="0.3">
      <c r="A95" s="87">
        <v>2026</v>
      </c>
      <c r="B95" s="87" t="s">
        <v>397</v>
      </c>
      <c r="C95" s="87">
        <v>27</v>
      </c>
      <c r="D95" s="88">
        <v>2023.69</v>
      </c>
      <c r="E95" s="88">
        <v>28331.7</v>
      </c>
      <c r="F95" s="87" t="s">
        <v>1492</v>
      </c>
      <c r="G95" s="87" t="s">
        <v>1493</v>
      </c>
    </row>
    <row r="96" spans="1:7" ht="43.2" x14ac:dyDescent="0.3">
      <c r="A96" s="87">
        <v>2026</v>
      </c>
      <c r="B96" s="87" t="s">
        <v>397</v>
      </c>
      <c r="C96" s="87">
        <v>26</v>
      </c>
      <c r="D96" s="88">
        <v>1901.6</v>
      </c>
      <c r="E96" s="88">
        <v>26622.44</v>
      </c>
      <c r="F96" s="87" t="s">
        <v>1492</v>
      </c>
      <c r="G96" s="87" t="s">
        <v>1493</v>
      </c>
    </row>
    <row r="97" spans="1:7" ht="43.2" x14ac:dyDescent="0.3">
      <c r="A97" s="87">
        <v>2026</v>
      </c>
      <c r="B97" s="87" t="s">
        <v>397</v>
      </c>
      <c r="C97" s="87">
        <v>25</v>
      </c>
      <c r="D97" s="88">
        <v>1803.08</v>
      </c>
      <c r="E97" s="88">
        <v>25243.16</v>
      </c>
      <c r="F97" s="87" t="s">
        <v>1492</v>
      </c>
      <c r="G97" s="87" t="s">
        <v>1493</v>
      </c>
    </row>
    <row r="98" spans="1:7" ht="43.2" x14ac:dyDescent="0.3">
      <c r="A98" s="87">
        <v>2026</v>
      </c>
      <c r="B98" s="87" t="s">
        <v>397</v>
      </c>
      <c r="C98" s="87">
        <v>24</v>
      </c>
      <c r="D98" s="88">
        <v>1757.36</v>
      </c>
      <c r="E98" s="88">
        <v>24603.08</v>
      </c>
      <c r="F98" s="87" t="s">
        <v>1492</v>
      </c>
      <c r="G98" s="87" t="s">
        <v>1493</v>
      </c>
    </row>
    <row r="99" spans="1:7" ht="43.2" x14ac:dyDescent="0.3">
      <c r="A99" s="87">
        <v>2026</v>
      </c>
      <c r="B99" s="87" t="s">
        <v>397</v>
      </c>
      <c r="C99" s="87">
        <v>23</v>
      </c>
      <c r="D99" s="88">
        <v>1711.7</v>
      </c>
      <c r="E99" s="88">
        <v>23963.84</v>
      </c>
      <c r="F99" s="87" t="s">
        <v>1492</v>
      </c>
      <c r="G99" s="87" t="s">
        <v>1493</v>
      </c>
    </row>
    <row r="100" spans="1:7" ht="43.2" x14ac:dyDescent="0.3">
      <c r="A100" s="87">
        <v>2026</v>
      </c>
      <c r="B100" s="87" t="s">
        <v>397</v>
      </c>
      <c r="C100" s="87">
        <v>22</v>
      </c>
      <c r="D100" s="88">
        <v>1665.95</v>
      </c>
      <c r="E100" s="88">
        <v>23323.34</v>
      </c>
      <c r="F100" s="87" t="s">
        <v>1492</v>
      </c>
      <c r="G100" s="87" t="s">
        <v>1493</v>
      </c>
    </row>
    <row r="101" spans="1:7" ht="43.2" x14ac:dyDescent="0.3">
      <c r="A101" s="87">
        <v>2026</v>
      </c>
      <c r="B101" s="87" t="s">
        <v>397</v>
      </c>
      <c r="C101" s="87">
        <v>21</v>
      </c>
      <c r="D101" s="88">
        <v>1620.33</v>
      </c>
      <c r="E101" s="88">
        <v>22684.66</v>
      </c>
      <c r="F101" s="87" t="s">
        <v>1492</v>
      </c>
      <c r="G101" s="87" t="s">
        <v>1493</v>
      </c>
    </row>
    <row r="102" spans="1:7" ht="43.2" x14ac:dyDescent="0.3">
      <c r="A102" s="87">
        <v>2026</v>
      </c>
      <c r="B102" s="87" t="s">
        <v>397</v>
      </c>
      <c r="C102" s="87">
        <v>20</v>
      </c>
      <c r="D102" s="88">
        <v>1578.23</v>
      </c>
      <c r="E102" s="88">
        <v>22095.26</v>
      </c>
      <c r="F102" s="87" t="s">
        <v>1492</v>
      </c>
      <c r="G102" s="87" t="s">
        <v>1493</v>
      </c>
    </row>
    <row r="103" spans="1:7" ht="43.2" x14ac:dyDescent="0.3">
      <c r="A103" s="87">
        <v>2026</v>
      </c>
      <c r="B103" s="87" t="s">
        <v>397</v>
      </c>
      <c r="C103" s="87">
        <v>19</v>
      </c>
      <c r="D103" s="88">
        <v>1550.16</v>
      </c>
      <c r="E103" s="88">
        <v>21702.28</v>
      </c>
      <c r="F103" s="87" t="s">
        <v>1492</v>
      </c>
      <c r="G103" s="87" t="s">
        <v>1493</v>
      </c>
    </row>
    <row r="104" spans="1:7" ht="43.2" x14ac:dyDescent="0.3">
      <c r="A104" s="87">
        <v>2026</v>
      </c>
      <c r="B104" s="87" t="s">
        <v>397</v>
      </c>
      <c r="C104" s="87">
        <v>18</v>
      </c>
      <c r="D104" s="88">
        <v>1522.08</v>
      </c>
      <c r="E104" s="88">
        <v>21309.16</v>
      </c>
      <c r="F104" s="87" t="s">
        <v>1492</v>
      </c>
      <c r="G104" s="87" t="s">
        <v>1493</v>
      </c>
    </row>
    <row r="105" spans="1:7" ht="43.2" x14ac:dyDescent="0.3">
      <c r="A105" s="87">
        <v>2026</v>
      </c>
      <c r="B105" s="87" t="s">
        <v>397</v>
      </c>
      <c r="C105" s="87">
        <v>17</v>
      </c>
      <c r="D105" s="88">
        <v>1493.97</v>
      </c>
      <c r="E105" s="88">
        <v>20915.62</v>
      </c>
      <c r="F105" s="87" t="s">
        <v>1492</v>
      </c>
      <c r="G105" s="87" t="s">
        <v>1493</v>
      </c>
    </row>
    <row r="106" spans="1:7" ht="43.2" x14ac:dyDescent="0.3">
      <c r="A106" s="87">
        <v>2026</v>
      </c>
      <c r="B106" s="87" t="s">
        <v>397</v>
      </c>
      <c r="C106" s="87">
        <v>16</v>
      </c>
      <c r="D106" s="88">
        <v>1465.95</v>
      </c>
      <c r="E106" s="88">
        <v>20523.34</v>
      </c>
      <c r="F106" s="87" t="s">
        <v>1492</v>
      </c>
      <c r="G106" s="87" t="s">
        <v>1493</v>
      </c>
    </row>
    <row r="107" spans="1:7" ht="43.2" x14ac:dyDescent="0.3">
      <c r="A107" s="87">
        <v>2026</v>
      </c>
      <c r="B107" s="87" t="s">
        <v>397</v>
      </c>
      <c r="C107" s="87">
        <v>15</v>
      </c>
      <c r="D107" s="88">
        <v>1437.81</v>
      </c>
      <c r="E107" s="88">
        <v>20129.38</v>
      </c>
      <c r="F107" s="87" t="s">
        <v>1492</v>
      </c>
      <c r="G107" s="87" t="s">
        <v>1493</v>
      </c>
    </row>
    <row r="108" spans="1:7" ht="43.2" x14ac:dyDescent="0.3">
      <c r="A108" s="87">
        <v>2026</v>
      </c>
      <c r="B108" s="87" t="s">
        <v>397</v>
      </c>
      <c r="C108" s="87">
        <v>14</v>
      </c>
      <c r="D108" s="88">
        <v>1409.79</v>
      </c>
      <c r="E108" s="88">
        <v>19737.099999999999</v>
      </c>
      <c r="F108" s="87" t="s">
        <v>1492</v>
      </c>
      <c r="G108" s="87" t="s">
        <v>1493</v>
      </c>
    </row>
    <row r="109" spans="1:7" ht="43.2" x14ac:dyDescent="0.3">
      <c r="A109" s="87">
        <v>2026</v>
      </c>
      <c r="B109" s="87" t="s">
        <v>397</v>
      </c>
      <c r="C109" s="87">
        <v>13</v>
      </c>
      <c r="D109" s="88">
        <v>1381.66</v>
      </c>
      <c r="E109" s="88">
        <v>19343.28</v>
      </c>
      <c r="F109" s="87" t="s">
        <v>1492</v>
      </c>
      <c r="G109" s="87" t="s">
        <v>1493</v>
      </c>
    </row>
    <row r="110" spans="1:7" ht="43.2" x14ac:dyDescent="0.3">
      <c r="A110" s="87">
        <v>2026</v>
      </c>
      <c r="B110" s="87" t="s">
        <v>397</v>
      </c>
      <c r="C110" s="87">
        <v>12</v>
      </c>
      <c r="D110" s="88">
        <v>1353.57</v>
      </c>
      <c r="E110" s="88">
        <v>18950.02</v>
      </c>
      <c r="F110" s="87" t="s">
        <v>1492</v>
      </c>
      <c r="G110" s="87" t="s">
        <v>1493</v>
      </c>
    </row>
    <row r="111" spans="1:7" ht="43.2" x14ac:dyDescent="0.3">
      <c r="A111" s="87">
        <v>2026</v>
      </c>
      <c r="B111" s="87" t="s">
        <v>397</v>
      </c>
      <c r="C111" s="87">
        <v>11</v>
      </c>
      <c r="D111" s="88">
        <v>1325.46</v>
      </c>
      <c r="E111" s="88">
        <v>18556.48</v>
      </c>
      <c r="F111" s="87" t="s">
        <v>1492</v>
      </c>
      <c r="G111" s="87" t="s">
        <v>1493</v>
      </c>
    </row>
    <row r="112" spans="1:7" ht="43.2" x14ac:dyDescent="0.3">
      <c r="A112" s="87">
        <v>2026</v>
      </c>
      <c r="B112" s="87" t="s">
        <v>397</v>
      </c>
      <c r="C112" s="87">
        <v>10</v>
      </c>
      <c r="D112" s="88">
        <v>1297.42</v>
      </c>
      <c r="E112" s="88">
        <v>18163.919999999998</v>
      </c>
      <c r="F112" s="87" t="s">
        <v>1492</v>
      </c>
      <c r="G112" s="87" t="s">
        <v>1493</v>
      </c>
    </row>
    <row r="113" spans="1:7" ht="43.2" x14ac:dyDescent="0.3">
      <c r="A113" s="87">
        <v>2026</v>
      </c>
      <c r="B113" s="87" t="s">
        <v>397</v>
      </c>
      <c r="C113" s="87">
        <v>9</v>
      </c>
      <c r="D113" s="88">
        <v>1283.3900000000001</v>
      </c>
      <c r="E113" s="88">
        <v>17967.5</v>
      </c>
      <c r="F113" s="87" t="s">
        <v>1492</v>
      </c>
      <c r="G113" s="87" t="s">
        <v>1493</v>
      </c>
    </row>
    <row r="114" spans="1:7" ht="43.2" x14ac:dyDescent="0.3">
      <c r="A114" s="87">
        <v>2026</v>
      </c>
      <c r="B114" s="87" t="s">
        <v>397</v>
      </c>
      <c r="C114" s="87">
        <v>8</v>
      </c>
      <c r="D114" s="88">
        <v>1269.31</v>
      </c>
      <c r="E114" s="88">
        <v>17770.38</v>
      </c>
      <c r="F114" s="87" t="s">
        <v>1492</v>
      </c>
      <c r="G114" s="87" t="s">
        <v>1493</v>
      </c>
    </row>
    <row r="115" spans="1:7" ht="43.2" x14ac:dyDescent="0.3">
      <c r="A115" s="87">
        <v>2026</v>
      </c>
      <c r="B115" s="87" t="s">
        <v>397</v>
      </c>
      <c r="C115" s="87">
        <v>7</v>
      </c>
      <c r="D115" s="88">
        <v>1255.29</v>
      </c>
      <c r="E115" s="88">
        <v>17574.099999999999</v>
      </c>
      <c r="F115" s="87" t="s">
        <v>1492</v>
      </c>
      <c r="G115" s="87" t="s">
        <v>1493</v>
      </c>
    </row>
    <row r="116" spans="1:7" ht="43.2" x14ac:dyDescent="0.3">
      <c r="A116" s="87">
        <v>2026</v>
      </c>
      <c r="B116" s="87" t="s">
        <v>397</v>
      </c>
      <c r="C116" s="87">
        <v>6</v>
      </c>
      <c r="D116" s="88">
        <v>1241.24</v>
      </c>
      <c r="E116" s="88">
        <v>17377.400000000001</v>
      </c>
      <c r="F116" s="87" t="s">
        <v>1492</v>
      </c>
      <c r="G116" s="87" t="s">
        <v>1493</v>
      </c>
    </row>
    <row r="117" spans="1:7" ht="43.2" x14ac:dyDescent="0.3">
      <c r="A117" s="87">
        <v>2026</v>
      </c>
      <c r="B117" s="87" t="s">
        <v>397</v>
      </c>
      <c r="C117" s="87">
        <v>5</v>
      </c>
      <c r="D117" s="88">
        <v>1227.19</v>
      </c>
      <c r="E117" s="88">
        <v>17180.7</v>
      </c>
      <c r="F117" s="87" t="s">
        <v>1492</v>
      </c>
      <c r="G117" s="87" t="s">
        <v>1493</v>
      </c>
    </row>
    <row r="118" spans="1:7" ht="43.2" x14ac:dyDescent="0.3">
      <c r="A118" s="87">
        <v>2026</v>
      </c>
      <c r="B118" s="87" t="s">
        <v>397</v>
      </c>
      <c r="C118" s="87">
        <v>4</v>
      </c>
      <c r="D118" s="88">
        <v>1206.1400000000001</v>
      </c>
      <c r="E118" s="88">
        <v>16886</v>
      </c>
      <c r="F118" s="87" t="s">
        <v>1492</v>
      </c>
      <c r="G118" s="87" t="s">
        <v>1493</v>
      </c>
    </row>
    <row r="119" spans="1:7" ht="43.2" x14ac:dyDescent="0.3">
      <c r="A119" s="87">
        <v>2026</v>
      </c>
      <c r="B119" s="87" t="s">
        <v>397</v>
      </c>
      <c r="C119" s="87">
        <v>3</v>
      </c>
      <c r="D119" s="88">
        <v>1185.1300000000001</v>
      </c>
      <c r="E119" s="88">
        <v>16591.86</v>
      </c>
      <c r="F119" s="87" t="s">
        <v>1492</v>
      </c>
      <c r="G119" s="87" t="s">
        <v>1493</v>
      </c>
    </row>
    <row r="120" spans="1:7" ht="43.2" x14ac:dyDescent="0.3">
      <c r="A120" s="87">
        <v>2026</v>
      </c>
      <c r="B120" s="87" t="s">
        <v>397</v>
      </c>
      <c r="C120" s="87">
        <v>2</v>
      </c>
      <c r="D120" s="88">
        <v>1164.06</v>
      </c>
      <c r="E120" s="88">
        <v>16296.88</v>
      </c>
      <c r="F120" s="87" t="s">
        <v>1492</v>
      </c>
      <c r="G120" s="87" t="s">
        <v>1493</v>
      </c>
    </row>
    <row r="121" spans="1:7" ht="43.2" x14ac:dyDescent="0.3">
      <c r="A121" s="87">
        <v>2026</v>
      </c>
      <c r="B121" s="87" t="s">
        <v>397</v>
      </c>
      <c r="C121" s="87">
        <v>1</v>
      </c>
      <c r="D121" s="88">
        <v>1143.03</v>
      </c>
      <c r="E121" s="88">
        <v>16002.46</v>
      </c>
      <c r="F121" s="87" t="s">
        <v>1492</v>
      </c>
      <c r="G121" s="87" t="s">
        <v>1493</v>
      </c>
    </row>
    <row r="122" spans="1:7" ht="43.2" x14ac:dyDescent="0.3">
      <c r="A122" s="87">
        <v>2026</v>
      </c>
      <c r="B122" s="87" t="s">
        <v>398</v>
      </c>
      <c r="C122" s="87">
        <v>30</v>
      </c>
      <c r="D122" s="88">
        <v>1960.37</v>
      </c>
      <c r="E122" s="88">
        <v>27445.24</v>
      </c>
      <c r="F122" s="87" t="s">
        <v>1492</v>
      </c>
      <c r="G122" s="87" t="s">
        <v>1493</v>
      </c>
    </row>
    <row r="123" spans="1:7" ht="43.2" x14ac:dyDescent="0.3">
      <c r="A123" s="87">
        <v>2026</v>
      </c>
      <c r="B123" s="87" t="s">
        <v>398</v>
      </c>
      <c r="C123" s="87">
        <v>29</v>
      </c>
      <c r="D123" s="88">
        <v>1835.49</v>
      </c>
      <c r="E123" s="88">
        <v>25696.92</v>
      </c>
      <c r="F123" s="87" t="s">
        <v>1492</v>
      </c>
      <c r="G123" s="87" t="s">
        <v>1493</v>
      </c>
    </row>
    <row r="124" spans="1:7" ht="43.2" x14ac:dyDescent="0.3">
      <c r="A124" s="87">
        <v>2026</v>
      </c>
      <c r="B124" s="87" t="s">
        <v>398</v>
      </c>
      <c r="C124" s="87">
        <v>28</v>
      </c>
      <c r="D124" s="88">
        <v>1789.82</v>
      </c>
      <c r="E124" s="88">
        <v>25057.54</v>
      </c>
      <c r="F124" s="87" t="s">
        <v>1492</v>
      </c>
      <c r="G124" s="87" t="s">
        <v>1493</v>
      </c>
    </row>
    <row r="125" spans="1:7" ht="43.2" x14ac:dyDescent="0.3">
      <c r="A125" s="87">
        <v>2026</v>
      </c>
      <c r="B125" s="87" t="s">
        <v>398</v>
      </c>
      <c r="C125" s="87">
        <v>27</v>
      </c>
      <c r="D125" s="88">
        <v>1744.07</v>
      </c>
      <c r="E125" s="88">
        <v>24417.040000000001</v>
      </c>
      <c r="F125" s="87" t="s">
        <v>1492</v>
      </c>
      <c r="G125" s="87" t="s">
        <v>1493</v>
      </c>
    </row>
    <row r="126" spans="1:7" ht="43.2" x14ac:dyDescent="0.3">
      <c r="A126" s="87">
        <v>2026</v>
      </c>
      <c r="B126" s="87" t="s">
        <v>398</v>
      </c>
      <c r="C126" s="87">
        <v>26</v>
      </c>
      <c r="D126" s="88">
        <v>1621.98</v>
      </c>
      <c r="E126" s="88">
        <v>22707.78</v>
      </c>
      <c r="F126" s="87" t="s">
        <v>1492</v>
      </c>
      <c r="G126" s="87" t="s">
        <v>1493</v>
      </c>
    </row>
    <row r="127" spans="1:7" ht="43.2" x14ac:dyDescent="0.3">
      <c r="A127" s="87">
        <v>2026</v>
      </c>
      <c r="B127" s="87" t="s">
        <v>398</v>
      </c>
      <c r="C127" s="87">
        <v>25</v>
      </c>
      <c r="D127" s="88">
        <v>1523.46</v>
      </c>
      <c r="E127" s="88">
        <v>21328.5</v>
      </c>
      <c r="F127" s="87" t="s">
        <v>1492</v>
      </c>
      <c r="G127" s="87" t="s">
        <v>1493</v>
      </c>
    </row>
    <row r="128" spans="1:7" ht="43.2" x14ac:dyDescent="0.3">
      <c r="A128" s="87">
        <v>2026</v>
      </c>
      <c r="B128" s="87" t="s">
        <v>398</v>
      </c>
      <c r="C128" s="87">
        <v>24</v>
      </c>
      <c r="D128" s="88">
        <v>1477.74</v>
      </c>
      <c r="E128" s="88">
        <v>20688.419999999998</v>
      </c>
      <c r="F128" s="87" t="s">
        <v>1492</v>
      </c>
      <c r="G128" s="87" t="s">
        <v>1493</v>
      </c>
    </row>
    <row r="129" spans="1:7" ht="43.2" x14ac:dyDescent="0.3">
      <c r="A129" s="87">
        <v>2026</v>
      </c>
      <c r="B129" s="87" t="s">
        <v>398</v>
      </c>
      <c r="C129" s="87">
        <v>23</v>
      </c>
      <c r="D129" s="88">
        <v>1432.08</v>
      </c>
      <c r="E129" s="88">
        <v>20049.18</v>
      </c>
      <c r="F129" s="87" t="s">
        <v>1492</v>
      </c>
      <c r="G129" s="87" t="s">
        <v>1493</v>
      </c>
    </row>
    <row r="130" spans="1:7" ht="43.2" x14ac:dyDescent="0.3">
      <c r="A130" s="87">
        <v>2026</v>
      </c>
      <c r="B130" s="87" t="s">
        <v>398</v>
      </c>
      <c r="C130" s="87">
        <v>22</v>
      </c>
      <c r="D130" s="88">
        <v>1386.33</v>
      </c>
      <c r="E130" s="88">
        <v>19408.68</v>
      </c>
      <c r="F130" s="87" t="s">
        <v>1492</v>
      </c>
      <c r="G130" s="87" t="s">
        <v>1493</v>
      </c>
    </row>
    <row r="131" spans="1:7" ht="43.2" x14ac:dyDescent="0.3">
      <c r="A131" s="87">
        <v>2026</v>
      </c>
      <c r="B131" s="87" t="s">
        <v>398</v>
      </c>
      <c r="C131" s="87">
        <v>21</v>
      </c>
      <c r="D131" s="88">
        <v>1340.71</v>
      </c>
      <c r="E131" s="88">
        <v>18770</v>
      </c>
      <c r="F131" s="87" t="s">
        <v>1492</v>
      </c>
      <c r="G131" s="87" t="s">
        <v>1493</v>
      </c>
    </row>
    <row r="132" spans="1:7" ht="43.2" x14ac:dyDescent="0.3">
      <c r="A132" s="87">
        <v>2026</v>
      </c>
      <c r="B132" s="87" t="s">
        <v>398</v>
      </c>
      <c r="C132" s="87">
        <v>20</v>
      </c>
      <c r="D132" s="88">
        <v>1298.6099999999999</v>
      </c>
      <c r="E132" s="88">
        <v>18180.599999999999</v>
      </c>
      <c r="F132" s="87" t="s">
        <v>1492</v>
      </c>
      <c r="G132" s="87" t="s">
        <v>1493</v>
      </c>
    </row>
    <row r="133" spans="1:7" ht="43.2" x14ac:dyDescent="0.3">
      <c r="A133" s="87">
        <v>2026</v>
      </c>
      <c r="B133" s="87" t="s">
        <v>398</v>
      </c>
      <c r="C133" s="87">
        <v>19</v>
      </c>
      <c r="D133" s="88">
        <v>1270.54</v>
      </c>
      <c r="E133" s="88">
        <v>17787.62</v>
      </c>
      <c r="F133" s="87" t="s">
        <v>1492</v>
      </c>
      <c r="G133" s="87" t="s">
        <v>1493</v>
      </c>
    </row>
    <row r="134" spans="1:7" ht="43.2" x14ac:dyDescent="0.3">
      <c r="A134" s="87">
        <v>2026</v>
      </c>
      <c r="B134" s="87" t="s">
        <v>398</v>
      </c>
      <c r="C134" s="87">
        <v>18</v>
      </c>
      <c r="D134" s="88">
        <v>1242.46</v>
      </c>
      <c r="E134" s="88">
        <v>17394.5</v>
      </c>
      <c r="F134" s="87" t="s">
        <v>1492</v>
      </c>
      <c r="G134" s="87" t="s">
        <v>1493</v>
      </c>
    </row>
    <row r="135" spans="1:7" ht="43.2" x14ac:dyDescent="0.3">
      <c r="A135" s="87">
        <v>2026</v>
      </c>
      <c r="B135" s="87" t="s">
        <v>398</v>
      </c>
      <c r="C135" s="87">
        <v>17</v>
      </c>
      <c r="D135" s="88">
        <v>1214.3499999999999</v>
      </c>
      <c r="E135" s="88">
        <v>17000.96</v>
      </c>
      <c r="F135" s="87" t="s">
        <v>1492</v>
      </c>
      <c r="G135" s="87" t="s">
        <v>1493</v>
      </c>
    </row>
    <row r="136" spans="1:7" ht="43.2" x14ac:dyDescent="0.3">
      <c r="A136" s="87">
        <v>2026</v>
      </c>
      <c r="B136" s="87" t="s">
        <v>398</v>
      </c>
      <c r="C136" s="87">
        <v>16</v>
      </c>
      <c r="D136" s="88">
        <v>1186.33</v>
      </c>
      <c r="E136" s="88">
        <v>16608.68</v>
      </c>
      <c r="F136" s="87" t="s">
        <v>1492</v>
      </c>
      <c r="G136" s="87" t="s">
        <v>1493</v>
      </c>
    </row>
    <row r="137" spans="1:7" ht="43.2" x14ac:dyDescent="0.3">
      <c r="A137" s="87">
        <v>2026</v>
      </c>
      <c r="B137" s="87" t="s">
        <v>398</v>
      </c>
      <c r="C137" s="87">
        <v>15</v>
      </c>
      <c r="D137" s="88">
        <v>1158.19</v>
      </c>
      <c r="E137" s="88">
        <v>16214.72</v>
      </c>
      <c r="F137" s="87" t="s">
        <v>1492</v>
      </c>
      <c r="G137" s="87" t="s">
        <v>1493</v>
      </c>
    </row>
    <row r="138" spans="1:7" ht="43.2" x14ac:dyDescent="0.3">
      <c r="A138" s="87">
        <v>2026</v>
      </c>
      <c r="B138" s="87" t="s">
        <v>398</v>
      </c>
      <c r="C138" s="87">
        <v>14</v>
      </c>
      <c r="D138" s="88">
        <v>1130.17</v>
      </c>
      <c r="E138" s="88">
        <v>15822.44</v>
      </c>
      <c r="F138" s="87" t="s">
        <v>1492</v>
      </c>
      <c r="G138" s="87" t="s">
        <v>1493</v>
      </c>
    </row>
    <row r="139" spans="1:7" ht="43.2" x14ac:dyDescent="0.3">
      <c r="A139" s="87">
        <v>2026</v>
      </c>
      <c r="B139" s="87" t="s">
        <v>398</v>
      </c>
      <c r="C139" s="87">
        <v>13</v>
      </c>
      <c r="D139" s="88">
        <v>1102.04</v>
      </c>
      <c r="E139" s="88">
        <v>15428.62</v>
      </c>
      <c r="F139" s="87" t="s">
        <v>1492</v>
      </c>
      <c r="G139" s="87" t="s">
        <v>1493</v>
      </c>
    </row>
    <row r="140" spans="1:7" ht="43.2" x14ac:dyDescent="0.3">
      <c r="A140" s="87">
        <v>2026</v>
      </c>
      <c r="B140" s="87" t="s">
        <v>398</v>
      </c>
      <c r="C140" s="87">
        <v>12</v>
      </c>
      <c r="D140" s="88">
        <v>1073.95</v>
      </c>
      <c r="E140" s="88">
        <v>15035.36</v>
      </c>
      <c r="F140" s="87" t="s">
        <v>1492</v>
      </c>
      <c r="G140" s="87" t="s">
        <v>1493</v>
      </c>
    </row>
    <row r="141" spans="1:7" ht="43.2" x14ac:dyDescent="0.3">
      <c r="A141" s="87">
        <v>2026</v>
      </c>
      <c r="B141" s="87" t="s">
        <v>398</v>
      </c>
      <c r="C141" s="87">
        <v>11</v>
      </c>
      <c r="D141" s="88">
        <v>1045.8399999999999</v>
      </c>
      <c r="E141" s="88">
        <v>14641.82</v>
      </c>
      <c r="F141" s="87" t="s">
        <v>1492</v>
      </c>
      <c r="G141" s="87" t="s">
        <v>1493</v>
      </c>
    </row>
    <row r="142" spans="1:7" ht="43.2" x14ac:dyDescent="0.3">
      <c r="A142" s="87">
        <v>2026</v>
      </c>
      <c r="B142" s="87" t="s">
        <v>398</v>
      </c>
      <c r="C142" s="87">
        <v>10</v>
      </c>
      <c r="D142" s="88">
        <v>1017.8</v>
      </c>
      <c r="E142" s="88">
        <v>14249.26</v>
      </c>
      <c r="F142" s="87" t="s">
        <v>1492</v>
      </c>
      <c r="G142" s="87" t="s">
        <v>1493</v>
      </c>
    </row>
    <row r="143" spans="1:7" ht="43.2" x14ac:dyDescent="0.3">
      <c r="A143" s="87">
        <v>2026</v>
      </c>
      <c r="B143" s="87" t="s">
        <v>398</v>
      </c>
      <c r="C143" s="87">
        <v>9</v>
      </c>
      <c r="D143" s="88">
        <v>1003.77</v>
      </c>
      <c r="E143" s="88">
        <v>14052.84</v>
      </c>
      <c r="F143" s="87" t="s">
        <v>1492</v>
      </c>
      <c r="G143" s="87" t="s">
        <v>1493</v>
      </c>
    </row>
    <row r="144" spans="1:7" ht="43.2" x14ac:dyDescent="0.3">
      <c r="A144" s="87">
        <v>2026</v>
      </c>
      <c r="B144" s="87" t="s">
        <v>398</v>
      </c>
      <c r="C144" s="87">
        <v>8</v>
      </c>
      <c r="D144" s="88">
        <v>989.69</v>
      </c>
      <c r="E144" s="88">
        <v>13855.72</v>
      </c>
      <c r="F144" s="87" t="s">
        <v>1492</v>
      </c>
      <c r="G144" s="87" t="s">
        <v>1493</v>
      </c>
    </row>
    <row r="145" spans="1:7" ht="43.2" x14ac:dyDescent="0.3">
      <c r="A145" s="87">
        <v>2026</v>
      </c>
      <c r="B145" s="87" t="s">
        <v>398</v>
      </c>
      <c r="C145" s="87">
        <v>7</v>
      </c>
      <c r="D145" s="88">
        <v>975.67</v>
      </c>
      <c r="E145" s="88">
        <v>13659.44</v>
      </c>
      <c r="F145" s="87" t="s">
        <v>1492</v>
      </c>
      <c r="G145" s="87" t="s">
        <v>1493</v>
      </c>
    </row>
    <row r="146" spans="1:7" ht="43.2" x14ac:dyDescent="0.3">
      <c r="A146" s="87">
        <v>2026</v>
      </c>
      <c r="B146" s="87" t="s">
        <v>398</v>
      </c>
      <c r="C146" s="87">
        <v>6</v>
      </c>
      <c r="D146" s="88">
        <v>961.62</v>
      </c>
      <c r="E146" s="88">
        <v>13462.74</v>
      </c>
      <c r="F146" s="87" t="s">
        <v>1492</v>
      </c>
      <c r="G146" s="87" t="s">
        <v>1493</v>
      </c>
    </row>
    <row r="147" spans="1:7" ht="43.2" x14ac:dyDescent="0.3">
      <c r="A147" s="87">
        <v>2026</v>
      </c>
      <c r="B147" s="87" t="s">
        <v>398</v>
      </c>
      <c r="C147" s="87">
        <v>5</v>
      </c>
      <c r="D147" s="88">
        <v>947.57</v>
      </c>
      <c r="E147" s="88">
        <v>13266.04</v>
      </c>
      <c r="F147" s="87" t="s">
        <v>1492</v>
      </c>
      <c r="G147" s="87" t="s">
        <v>1493</v>
      </c>
    </row>
    <row r="148" spans="1:7" ht="43.2" x14ac:dyDescent="0.3">
      <c r="A148" s="87">
        <v>2026</v>
      </c>
      <c r="B148" s="87" t="s">
        <v>398</v>
      </c>
      <c r="C148" s="87">
        <v>4</v>
      </c>
      <c r="D148" s="88">
        <v>926.52</v>
      </c>
      <c r="E148" s="88">
        <v>12971.34</v>
      </c>
      <c r="F148" s="87" t="s">
        <v>1492</v>
      </c>
      <c r="G148" s="87" t="s">
        <v>1493</v>
      </c>
    </row>
    <row r="149" spans="1:7" ht="43.2" x14ac:dyDescent="0.3">
      <c r="A149" s="87">
        <v>2026</v>
      </c>
      <c r="B149" s="87" t="s">
        <v>398</v>
      </c>
      <c r="C149" s="87">
        <v>3</v>
      </c>
      <c r="D149" s="88">
        <v>905.51</v>
      </c>
      <c r="E149" s="88">
        <v>12677.2</v>
      </c>
      <c r="F149" s="87" t="s">
        <v>1492</v>
      </c>
      <c r="G149" s="87" t="s">
        <v>1493</v>
      </c>
    </row>
    <row r="150" spans="1:7" ht="43.2" x14ac:dyDescent="0.3">
      <c r="A150" s="87">
        <v>2026</v>
      </c>
      <c r="B150" s="87" t="s">
        <v>398</v>
      </c>
      <c r="C150" s="87">
        <v>2</v>
      </c>
      <c r="D150" s="88">
        <v>884.44</v>
      </c>
      <c r="E150" s="88">
        <v>12382.22</v>
      </c>
      <c r="F150" s="87" t="s">
        <v>1492</v>
      </c>
      <c r="G150" s="87" t="s">
        <v>1493</v>
      </c>
    </row>
    <row r="151" spans="1:7" ht="43.2" x14ac:dyDescent="0.3">
      <c r="A151" s="87">
        <v>2026</v>
      </c>
      <c r="B151" s="87" t="s">
        <v>398</v>
      </c>
      <c r="C151" s="87">
        <v>1</v>
      </c>
      <c r="D151" s="88">
        <v>863.41</v>
      </c>
      <c r="E151" s="88">
        <v>12087.8</v>
      </c>
      <c r="F151" s="87" t="s">
        <v>1492</v>
      </c>
      <c r="G151" s="87" t="s">
        <v>1493</v>
      </c>
    </row>
    <row r="152" spans="1:7" ht="43.2" x14ac:dyDescent="0.3">
      <c r="A152" s="87">
        <v>2026</v>
      </c>
      <c r="B152" s="87" t="s">
        <v>399</v>
      </c>
      <c r="C152" s="87">
        <v>30</v>
      </c>
      <c r="D152" s="88">
        <v>1948.88</v>
      </c>
      <c r="E152" s="88">
        <v>27284.38</v>
      </c>
      <c r="F152" s="87" t="s">
        <v>1492</v>
      </c>
      <c r="G152" s="87" t="s">
        <v>1493</v>
      </c>
    </row>
    <row r="153" spans="1:7" ht="43.2" x14ac:dyDescent="0.3">
      <c r="A153" s="87">
        <v>2026</v>
      </c>
      <c r="B153" s="87" t="s">
        <v>399</v>
      </c>
      <c r="C153" s="87">
        <v>29</v>
      </c>
      <c r="D153" s="88">
        <v>1818.71</v>
      </c>
      <c r="E153" s="88">
        <v>25461.94</v>
      </c>
      <c r="F153" s="87" t="s">
        <v>1492</v>
      </c>
      <c r="G153" s="87" t="s">
        <v>1493</v>
      </c>
    </row>
    <row r="154" spans="1:7" ht="43.2" x14ac:dyDescent="0.3">
      <c r="A154" s="87">
        <v>2026</v>
      </c>
      <c r="B154" s="87" t="s">
        <v>399</v>
      </c>
      <c r="C154" s="87">
        <v>28</v>
      </c>
      <c r="D154" s="88">
        <v>1771.13</v>
      </c>
      <c r="E154" s="88">
        <v>24795.82</v>
      </c>
      <c r="F154" s="87" t="s">
        <v>1492</v>
      </c>
      <c r="G154" s="87" t="s">
        <v>1493</v>
      </c>
    </row>
    <row r="155" spans="1:7" ht="43.2" x14ac:dyDescent="0.3">
      <c r="A155" s="87">
        <v>2026</v>
      </c>
      <c r="B155" s="87" t="s">
        <v>399</v>
      </c>
      <c r="C155" s="87">
        <v>27</v>
      </c>
      <c r="D155" s="88">
        <v>1723.48</v>
      </c>
      <c r="E155" s="88">
        <v>24128.720000000001</v>
      </c>
      <c r="F155" s="87" t="s">
        <v>1492</v>
      </c>
      <c r="G155" s="87" t="s">
        <v>1493</v>
      </c>
    </row>
    <row r="156" spans="1:7" ht="43.2" x14ac:dyDescent="0.3">
      <c r="A156" s="87">
        <v>2026</v>
      </c>
      <c r="B156" s="87" t="s">
        <v>399</v>
      </c>
      <c r="C156" s="87">
        <v>26</v>
      </c>
      <c r="D156" s="88">
        <v>1596.2</v>
      </c>
      <c r="E156" s="88">
        <v>22346.799999999999</v>
      </c>
      <c r="F156" s="87" t="s">
        <v>1492</v>
      </c>
      <c r="G156" s="87" t="s">
        <v>1493</v>
      </c>
    </row>
    <row r="157" spans="1:7" ht="43.2" x14ac:dyDescent="0.3">
      <c r="A157" s="87">
        <v>2026</v>
      </c>
      <c r="B157" s="87" t="s">
        <v>399</v>
      </c>
      <c r="C157" s="87">
        <v>25</v>
      </c>
      <c r="D157" s="88">
        <v>1493.56</v>
      </c>
      <c r="E157" s="88">
        <v>20909.84</v>
      </c>
      <c r="F157" s="87" t="s">
        <v>1492</v>
      </c>
      <c r="G157" s="87" t="s">
        <v>1493</v>
      </c>
    </row>
    <row r="158" spans="1:7" ht="43.2" x14ac:dyDescent="0.3">
      <c r="A158" s="87">
        <v>2026</v>
      </c>
      <c r="B158" s="87" t="s">
        <v>399</v>
      </c>
      <c r="C158" s="87">
        <v>24</v>
      </c>
      <c r="D158" s="88">
        <v>1445.92</v>
      </c>
      <c r="E158" s="88">
        <v>20242.88</v>
      </c>
      <c r="F158" s="87" t="s">
        <v>1492</v>
      </c>
      <c r="G158" s="87" t="s">
        <v>1493</v>
      </c>
    </row>
    <row r="159" spans="1:7" ht="43.2" x14ac:dyDescent="0.3">
      <c r="A159" s="87">
        <v>2026</v>
      </c>
      <c r="B159" s="87" t="s">
        <v>399</v>
      </c>
      <c r="C159" s="87">
        <v>23</v>
      </c>
      <c r="D159" s="88">
        <v>1398.34</v>
      </c>
      <c r="E159" s="88">
        <v>19576.759999999998</v>
      </c>
      <c r="F159" s="87" t="s">
        <v>1492</v>
      </c>
      <c r="G159" s="87" t="s">
        <v>1493</v>
      </c>
    </row>
    <row r="160" spans="1:7" ht="43.2" x14ac:dyDescent="0.3">
      <c r="A160" s="87">
        <v>2026</v>
      </c>
      <c r="B160" s="87" t="s">
        <v>399</v>
      </c>
      <c r="C160" s="87">
        <v>22</v>
      </c>
      <c r="D160" s="88">
        <v>1350.65</v>
      </c>
      <c r="E160" s="88">
        <v>18909.099999999999</v>
      </c>
      <c r="F160" s="87" t="s">
        <v>1492</v>
      </c>
      <c r="G160" s="87" t="s">
        <v>1493</v>
      </c>
    </row>
    <row r="161" spans="1:7" ht="43.2" x14ac:dyDescent="0.3">
      <c r="A161" s="87">
        <v>2026</v>
      </c>
      <c r="B161" s="87" t="s">
        <v>399</v>
      </c>
      <c r="C161" s="87">
        <v>21</v>
      </c>
      <c r="D161" s="88">
        <v>1303.1300000000001</v>
      </c>
      <c r="E161" s="88">
        <v>18243.82</v>
      </c>
      <c r="F161" s="87" t="s">
        <v>1492</v>
      </c>
      <c r="G161" s="87" t="s">
        <v>1493</v>
      </c>
    </row>
    <row r="162" spans="1:7" ht="43.2" x14ac:dyDescent="0.3">
      <c r="A162" s="87">
        <v>2026</v>
      </c>
      <c r="B162" s="87" t="s">
        <v>399</v>
      </c>
      <c r="C162" s="87">
        <v>20</v>
      </c>
      <c r="D162" s="88">
        <v>1259.26</v>
      </c>
      <c r="E162" s="88">
        <v>17629.64</v>
      </c>
      <c r="F162" s="87" t="s">
        <v>1492</v>
      </c>
      <c r="G162" s="87" t="s">
        <v>1493</v>
      </c>
    </row>
    <row r="163" spans="1:7" ht="43.2" x14ac:dyDescent="0.3">
      <c r="A163" s="87">
        <v>2026</v>
      </c>
      <c r="B163" s="87" t="s">
        <v>399</v>
      </c>
      <c r="C163" s="87">
        <v>19</v>
      </c>
      <c r="D163" s="88">
        <v>1229.99</v>
      </c>
      <c r="E163" s="88">
        <v>17219.86</v>
      </c>
      <c r="F163" s="87" t="s">
        <v>1492</v>
      </c>
      <c r="G163" s="87" t="s">
        <v>1493</v>
      </c>
    </row>
    <row r="164" spans="1:7" ht="43.2" x14ac:dyDescent="0.3">
      <c r="A164" s="87">
        <v>2026</v>
      </c>
      <c r="B164" s="87" t="s">
        <v>399</v>
      </c>
      <c r="C164" s="87">
        <v>18</v>
      </c>
      <c r="D164" s="88">
        <v>1200.7</v>
      </c>
      <c r="E164" s="88">
        <v>16809.8</v>
      </c>
      <c r="F164" s="87" t="s">
        <v>1492</v>
      </c>
      <c r="G164" s="87" t="s">
        <v>1493</v>
      </c>
    </row>
    <row r="165" spans="1:7" ht="43.2" x14ac:dyDescent="0.3">
      <c r="A165" s="87">
        <v>2026</v>
      </c>
      <c r="B165" s="87" t="s">
        <v>399</v>
      </c>
      <c r="C165" s="87">
        <v>17</v>
      </c>
      <c r="D165" s="88">
        <v>1171.42</v>
      </c>
      <c r="E165" s="88">
        <v>16399.88</v>
      </c>
      <c r="F165" s="87" t="s">
        <v>1492</v>
      </c>
      <c r="G165" s="87" t="s">
        <v>1493</v>
      </c>
    </row>
    <row r="166" spans="1:7" ht="43.2" x14ac:dyDescent="0.3">
      <c r="A166" s="87">
        <v>2026</v>
      </c>
      <c r="B166" s="87" t="s">
        <v>399</v>
      </c>
      <c r="C166" s="87">
        <v>16</v>
      </c>
      <c r="D166" s="88">
        <v>1142.2</v>
      </c>
      <c r="E166" s="88">
        <v>15990.8</v>
      </c>
      <c r="F166" s="87" t="s">
        <v>1492</v>
      </c>
      <c r="G166" s="87" t="s">
        <v>1493</v>
      </c>
    </row>
    <row r="167" spans="1:7" ht="43.2" x14ac:dyDescent="0.3">
      <c r="A167" s="87">
        <v>2026</v>
      </c>
      <c r="B167" s="87" t="s">
        <v>399</v>
      </c>
      <c r="C167" s="87">
        <v>15</v>
      </c>
      <c r="D167" s="88">
        <v>1112.94</v>
      </c>
      <c r="E167" s="88">
        <v>15581.16</v>
      </c>
      <c r="F167" s="87" t="s">
        <v>1492</v>
      </c>
      <c r="G167" s="87" t="s">
        <v>1493</v>
      </c>
    </row>
    <row r="168" spans="1:7" ht="43.2" x14ac:dyDescent="0.3">
      <c r="A168" s="87">
        <v>2026</v>
      </c>
      <c r="B168" s="87" t="s">
        <v>399</v>
      </c>
      <c r="C168" s="87">
        <v>14</v>
      </c>
      <c r="D168" s="88">
        <v>1083.68</v>
      </c>
      <c r="E168" s="88">
        <v>15171.52</v>
      </c>
      <c r="F168" s="87" t="s">
        <v>1492</v>
      </c>
      <c r="G168" s="87" t="s">
        <v>1493</v>
      </c>
    </row>
    <row r="169" spans="1:7" ht="43.2" x14ac:dyDescent="0.3">
      <c r="A169" s="87">
        <v>2026</v>
      </c>
      <c r="B169" s="87" t="s">
        <v>399</v>
      </c>
      <c r="C169" s="87">
        <v>13</v>
      </c>
      <c r="D169" s="88">
        <v>1054.3800000000001</v>
      </c>
      <c r="E169" s="88">
        <v>14761.32</v>
      </c>
      <c r="F169" s="87" t="s">
        <v>1492</v>
      </c>
      <c r="G169" s="87" t="s">
        <v>1493</v>
      </c>
    </row>
    <row r="170" spans="1:7" ht="43.2" x14ac:dyDescent="0.3">
      <c r="A170" s="87">
        <v>2026</v>
      </c>
      <c r="B170" s="87" t="s">
        <v>399</v>
      </c>
      <c r="C170" s="87">
        <v>12</v>
      </c>
      <c r="D170" s="88">
        <v>1025.1099999999999</v>
      </c>
      <c r="E170" s="88">
        <v>14351.54</v>
      </c>
      <c r="F170" s="87" t="s">
        <v>1492</v>
      </c>
      <c r="G170" s="87" t="s">
        <v>1493</v>
      </c>
    </row>
    <row r="171" spans="1:7" ht="43.2" x14ac:dyDescent="0.3">
      <c r="A171" s="87">
        <v>2026</v>
      </c>
      <c r="B171" s="87" t="s">
        <v>399</v>
      </c>
      <c r="C171" s="87">
        <v>11</v>
      </c>
      <c r="D171" s="88">
        <v>995.83</v>
      </c>
      <c r="E171" s="88">
        <v>13941.62</v>
      </c>
      <c r="F171" s="87" t="s">
        <v>1492</v>
      </c>
      <c r="G171" s="87" t="s">
        <v>1493</v>
      </c>
    </row>
    <row r="172" spans="1:7" ht="43.2" x14ac:dyDescent="0.3">
      <c r="A172" s="87">
        <v>2026</v>
      </c>
      <c r="B172" s="87" t="s">
        <v>399</v>
      </c>
      <c r="C172" s="87">
        <v>10</v>
      </c>
      <c r="D172" s="88">
        <v>966.63</v>
      </c>
      <c r="E172" s="88">
        <v>13532.82</v>
      </c>
      <c r="F172" s="87" t="s">
        <v>1492</v>
      </c>
      <c r="G172" s="87" t="s">
        <v>1493</v>
      </c>
    </row>
    <row r="173" spans="1:7" ht="43.2" x14ac:dyDescent="0.3">
      <c r="A173" s="87">
        <v>2026</v>
      </c>
      <c r="B173" s="87" t="s">
        <v>399</v>
      </c>
      <c r="C173" s="87">
        <v>9</v>
      </c>
      <c r="D173" s="88">
        <v>951.99</v>
      </c>
      <c r="E173" s="88">
        <v>13327.86</v>
      </c>
      <c r="F173" s="87" t="s">
        <v>1492</v>
      </c>
      <c r="G173" s="87" t="s">
        <v>1493</v>
      </c>
    </row>
    <row r="174" spans="1:7" ht="43.2" x14ac:dyDescent="0.3">
      <c r="A174" s="87">
        <v>2026</v>
      </c>
      <c r="B174" s="87" t="s">
        <v>399</v>
      </c>
      <c r="C174" s="87">
        <v>8</v>
      </c>
      <c r="D174" s="88">
        <v>937.32</v>
      </c>
      <c r="E174" s="88">
        <v>13122.48</v>
      </c>
      <c r="F174" s="87" t="s">
        <v>1492</v>
      </c>
      <c r="G174" s="87" t="s">
        <v>1493</v>
      </c>
    </row>
    <row r="175" spans="1:7" ht="43.2" x14ac:dyDescent="0.3">
      <c r="A175" s="87">
        <v>2026</v>
      </c>
      <c r="B175" s="87" t="s">
        <v>399</v>
      </c>
      <c r="C175" s="87">
        <v>7</v>
      </c>
      <c r="D175" s="88">
        <v>922.71</v>
      </c>
      <c r="E175" s="88">
        <v>12917.94</v>
      </c>
      <c r="F175" s="87" t="s">
        <v>1492</v>
      </c>
      <c r="G175" s="87" t="s">
        <v>1493</v>
      </c>
    </row>
    <row r="176" spans="1:7" ht="43.2" x14ac:dyDescent="0.3">
      <c r="A176" s="87">
        <v>2026</v>
      </c>
      <c r="B176" s="87" t="s">
        <v>399</v>
      </c>
      <c r="C176" s="87">
        <v>6</v>
      </c>
      <c r="D176" s="88">
        <v>908.05</v>
      </c>
      <c r="E176" s="88">
        <v>12712.7</v>
      </c>
      <c r="F176" s="87" t="s">
        <v>1492</v>
      </c>
      <c r="G176" s="87" t="s">
        <v>1493</v>
      </c>
    </row>
    <row r="177" spans="1:7" ht="43.2" x14ac:dyDescent="0.3">
      <c r="A177" s="87">
        <v>2026</v>
      </c>
      <c r="B177" s="87" t="s">
        <v>399</v>
      </c>
      <c r="C177" s="87">
        <v>5</v>
      </c>
      <c r="D177" s="88">
        <v>893.42</v>
      </c>
      <c r="E177" s="88">
        <v>12507.88</v>
      </c>
      <c r="F177" s="87" t="s">
        <v>1492</v>
      </c>
      <c r="G177" s="87" t="s">
        <v>1493</v>
      </c>
    </row>
    <row r="178" spans="1:7" ht="43.2" x14ac:dyDescent="0.3">
      <c r="A178" s="87">
        <v>2026</v>
      </c>
      <c r="B178" s="87" t="s">
        <v>399</v>
      </c>
      <c r="C178" s="87">
        <v>4</v>
      </c>
      <c r="D178" s="88">
        <v>871.49</v>
      </c>
      <c r="E178" s="88">
        <v>12200.86</v>
      </c>
      <c r="F178" s="87" t="s">
        <v>1492</v>
      </c>
      <c r="G178" s="87" t="s">
        <v>1493</v>
      </c>
    </row>
    <row r="179" spans="1:7" ht="43.2" x14ac:dyDescent="0.3">
      <c r="A179" s="87">
        <v>2026</v>
      </c>
      <c r="B179" s="87" t="s">
        <v>399</v>
      </c>
      <c r="C179" s="87">
        <v>3</v>
      </c>
      <c r="D179" s="88">
        <v>849.61</v>
      </c>
      <c r="E179" s="88">
        <v>11894.54</v>
      </c>
      <c r="F179" s="87" t="s">
        <v>1492</v>
      </c>
      <c r="G179" s="87" t="s">
        <v>1493</v>
      </c>
    </row>
    <row r="180" spans="1:7" ht="43.2" x14ac:dyDescent="0.3">
      <c r="A180" s="87">
        <v>2026</v>
      </c>
      <c r="B180" s="87" t="s">
        <v>399</v>
      </c>
      <c r="C180" s="87">
        <v>2</v>
      </c>
      <c r="D180" s="88">
        <v>827.64</v>
      </c>
      <c r="E180" s="88">
        <v>11586.96</v>
      </c>
      <c r="F180" s="87" t="s">
        <v>1492</v>
      </c>
      <c r="G180" s="87" t="s">
        <v>1493</v>
      </c>
    </row>
    <row r="181" spans="1:7" ht="43.2" x14ac:dyDescent="0.3">
      <c r="A181" s="87">
        <v>2026</v>
      </c>
      <c r="B181" s="87" t="s">
        <v>399</v>
      </c>
      <c r="C181" s="87">
        <v>1</v>
      </c>
      <c r="D181" s="88">
        <v>805.69</v>
      </c>
      <c r="E181" s="88">
        <v>11279.66</v>
      </c>
      <c r="F181" s="87" t="s">
        <v>1492</v>
      </c>
      <c r="G181" s="87" t="s">
        <v>1493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401"/>
  <sheetViews>
    <sheetView workbookViewId="0"/>
  </sheetViews>
  <sheetFormatPr baseColWidth="10" defaultColWidth="8.88671875" defaultRowHeight="14.4" x14ac:dyDescent="0.3"/>
  <cols>
    <col min="1" max="1" width="10" customWidth="1"/>
    <col min="2" max="2" width="16" customWidth="1"/>
    <col min="3" max="4" width="10" customWidth="1"/>
    <col min="5" max="7" width="18" customWidth="1"/>
  </cols>
  <sheetData>
    <row r="1" spans="1:7" x14ac:dyDescent="0.3">
      <c r="A1" s="83" t="s">
        <v>1487</v>
      </c>
      <c r="B1" s="83" t="s">
        <v>286</v>
      </c>
      <c r="C1" s="83" t="s">
        <v>1494</v>
      </c>
      <c r="D1" s="83" t="s">
        <v>1495</v>
      </c>
      <c r="E1" s="83" t="s">
        <v>1496</v>
      </c>
      <c r="F1" s="83" t="s">
        <v>1497</v>
      </c>
      <c r="G1" s="83" t="s">
        <v>1498</v>
      </c>
    </row>
    <row r="2" spans="1:7" x14ac:dyDescent="0.3">
      <c r="A2" s="84">
        <v>2026</v>
      </c>
      <c r="B2" s="84" t="s">
        <v>393</v>
      </c>
      <c r="C2" s="84">
        <v>1</v>
      </c>
      <c r="D2" s="84">
        <v>1</v>
      </c>
      <c r="E2" s="85">
        <v>1607.34</v>
      </c>
      <c r="F2" s="85">
        <v>1607.34</v>
      </c>
      <c r="G2" s="85">
        <v>0</v>
      </c>
    </row>
    <row r="3" spans="1:7" x14ac:dyDescent="0.3">
      <c r="A3" s="84">
        <v>2026</v>
      </c>
      <c r="B3" s="84" t="s">
        <v>393</v>
      </c>
      <c r="C3" s="84">
        <v>1</v>
      </c>
      <c r="D3" s="84">
        <v>2</v>
      </c>
      <c r="E3" s="85">
        <v>1607.34</v>
      </c>
      <c r="F3" s="85">
        <v>1901.76</v>
      </c>
      <c r="G3" s="85">
        <v>294.42</v>
      </c>
    </row>
    <row r="4" spans="1:7" x14ac:dyDescent="0.3">
      <c r="A4" s="84">
        <v>2026</v>
      </c>
      <c r="B4" s="84" t="s">
        <v>393</v>
      </c>
      <c r="C4" s="84">
        <v>1</v>
      </c>
      <c r="D4" s="84">
        <v>3</v>
      </c>
      <c r="E4" s="85">
        <v>1607.34</v>
      </c>
      <c r="F4" s="85">
        <v>2196.7399999999998</v>
      </c>
      <c r="G4" s="85">
        <v>589.4</v>
      </c>
    </row>
    <row r="5" spans="1:7" x14ac:dyDescent="0.3">
      <c r="A5" s="84">
        <v>2026</v>
      </c>
      <c r="B5" s="84" t="s">
        <v>393</v>
      </c>
      <c r="C5" s="84">
        <v>1</v>
      </c>
      <c r="D5" s="84">
        <v>4</v>
      </c>
      <c r="E5" s="85">
        <v>1607.34</v>
      </c>
      <c r="F5" s="85">
        <v>2490.88</v>
      </c>
      <c r="G5" s="85">
        <v>883.54</v>
      </c>
    </row>
    <row r="6" spans="1:7" x14ac:dyDescent="0.3">
      <c r="A6" s="84">
        <v>2026</v>
      </c>
      <c r="B6" s="84" t="s">
        <v>393</v>
      </c>
      <c r="C6" s="84">
        <v>1</v>
      </c>
      <c r="D6" s="84">
        <v>5</v>
      </c>
      <c r="E6" s="85">
        <v>1607.34</v>
      </c>
      <c r="F6" s="85">
        <v>2785.58</v>
      </c>
      <c r="G6" s="85">
        <v>1178.24</v>
      </c>
    </row>
    <row r="7" spans="1:7" x14ac:dyDescent="0.3">
      <c r="A7" s="84">
        <v>2026</v>
      </c>
      <c r="B7" s="84" t="s">
        <v>393</v>
      </c>
      <c r="C7" s="84">
        <v>1</v>
      </c>
      <c r="D7" s="84">
        <v>6</v>
      </c>
      <c r="E7" s="85">
        <v>1607.34</v>
      </c>
      <c r="F7" s="85">
        <v>2982.28</v>
      </c>
      <c r="G7" s="85">
        <v>1374.94</v>
      </c>
    </row>
    <row r="8" spans="1:7" x14ac:dyDescent="0.3">
      <c r="A8" s="84">
        <v>2026</v>
      </c>
      <c r="B8" s="84" t="s">
        <v>393</v>
      </c>
      <c r="C8" s="84">
        <v>1</v>
      </c>
      <c r="D8" s="84">
        <v>7</v>
      </c>
      <c r="E8" s="85">
        <v>1607.34</v>
      </c>
      <c r="F8" s="85">
        <v>3178.98</v>
      </c>
      <c r="G8" s="85">
        <v>1571.64</v>
      </c>
    </row>
    <row r="9" spans="1:7" x14ac:dyDescent="0.3">
      <c r="A9" s="84">
        <v>2026</v>
      </c>
      <c r="B9" s="84" t="s">
        <v>393</v>
      </c>
      <c r="C9" s="84">
        <v>1</v>
      </c>
      <c r="D9" s="84">
        <v>8</v>
      </c>
      <c r="E9" s="85">
        <v>1607.34</v>
      </c>
      <c r="F9" s="85">
        <v>3375.26</v>
      </c>
      <c r="G9" s="85">
        <v>1767.92</v>
      </c>
    </row>
    <row r="10" spans="1:7" x14ac:dyDescent="0.3">
      <c r="A10" s="84">
        <v>2026</v>
      </c>
      <c r="B10" s="84" t="s">
        <v>393</v>
      </c>
      <c r="C10" s="84">
        <v>1</v>
      </c>
      <c r="D10" s="84">
        <v>9</v>
      </c>
      <c r="E10" s="85">
        <v>1607.34</v>
      </c>
      <c r="F10" s="85">
        <v>3572.38</v>
      </c>
      <c r="G10" s="85">
        <v>1965.04</v>
      </c>
    </row>
    <row r="11" spans="1:7" x14ac:dyDescent="0.3">
      <c r="A11" s="84">
        <v>2026</v>
      </c>
      <c r="B11" s="84" t="s">
        <v>393</v>
      </c>
      <c r="C11" s="84">
        <v>1</v>
      </c>
      <c r="D11" s="84">
        <v>10</v>
      </c>
      <c r="E11" s="85">
        <v>1607.34</v>
      </c>
      <c r="F11" s="85">
        <v>3768.8</v>
      </c>
      <c r="G11" s="85">
        <v>2161.46</v>
      </c>
    </row>
    <row r="12" spans="1:7" x14ac:dyDescent="0.3">
      <c r="A12" s="84">
        <v>2026</v>
      </c>
      <c r="B12" s="84" t="s">
        <v>393</v>
      </c>
      <c r="C12" s="84">
        <v>1</v>
      </c>
      <c r="D12" s="84">
        <v>11</v>
      </c>
      <c r="E12" s="85">
        <v>1607.34</v>
      </c>
      <c r="F12" s="85">
        <v>4161.3599999999997</v>
      </c>
      <c r="G12" s="85">
        <v>2554.02</v>
      </c>
    </row>
    <row r="13" spans="1:7" x14ac:dyDescent="0.3">
      <c r="A13" s="84">
        <v>2026</v>
      </c>
      <c r="B13" s="84" t="s">
        <v>393</v>
      </c>
      <c r="C13" s="84">
        <v>1</v>
      </c>
      <c r="D13" s="84">
        <v>12</v>
      </c>
      <c r="E13" s="85">
        <v>1607.34</v>
      </c>
      <c r="F13" s="85">
        <v>4554.8999999999996</v>
      </c>
      <c r="G13" s="85">
        <v>2947.56</v>
      </c>
    </row>
    <row r="14" spans="1:7" x14ac:dyDescent="0.3">
      <c r="A14" s="84">
        <v>2026</v>
      </c>
      <c r="B14" s="84" t="s">
        <v>393</v>
      </c>
      <c r="C14" s="84">
        <v>1</v>
      </c>
      <c r="D14" s="84">
        <v>13</v>
      </c>
      <c r="E14" s="85">
        <v>1607.34</v>
      </c>
      <c r="F14" s="85">
        <v>4948.16</v>
      </c>
      <c r="G14" s="85">
        <v>3340.82</v>
      </c>
    </row>
    <row r="15" spans="1:7" x14ac:dyDescent="0.3">
      <c r="A15" s="84">
        <v>2026</v>
      </c>
      <c r="B15" s="84" t="s">
        <v>393</v>
      </c>
      <c r="C15" s="84">
        <v>1</v>
      </c>
      <c r="D15" s="84">
        <v>14</v>
      </c>
      <c r="E15" s="85">
        <v>1607.34</v>
      </c>
      <c r="F15" s="85">
        <v>5341.98</v>
      </c>
      <c r="G15" s="85">
        <v>3734.64</v>
      </c>
    </row>
    <row r="16" spans="1:7" x14ac:dyDescent="0.3">
      <c r="A16" s="84">
        <v>2026</v>
      </c>
      <c r="B16" s="84" t="s">
        <v>393</v>
      </c>
      <c r="C16" s="84">
        <v>1</v>
      </c>
      <c r="D16" s="84">
        <v>15</v>
      </c>
      <c r="E16" s="85">
        <v>1607.34</v>
      </c>
      <c r="F16" s="85">
        <v>5734.26</v>
      </c>
      <c r="G16" s="85">
        <v>4126.92</v>
      </c>
    </row>
    <row r="17" spans="1:7" x14ac:dyDescent="0.3">
      <c r="A17" s="84">
        <v>2026</v>
      </c>
      <c r="B17" s="84" t="s">
        <v>393</v>
      </c>
      <c r="C17" s="84">
        <v>1</v>
      </c>
      <c r="D17" s="84">
        <v>16</v>
      </c>
      <c r="E17" s="85">
        <v>1607.34</v>
      </c>
      <c r="F17" s="85">
        <v>6128.22</v>
      </c>
      <c r="G17" s="85">
        <v>4520.88</v>
      </c>
    </row>
    <row r="18" spans="1:7" x14ac:dyDescent="0.3">
      <c r="A18" s="84">
        <v>2026</v>
      </c>
      <c r="B18" s="84" t="s">
        <v>393</v>
      </c>
      <c r="C18" s="84">
        <v>1</v>
      </c>
      <c r="D18" s="84">
        <v>17</v>
      </c>
      <c r="E18" s="85">
        <v>1607.34</v>
      </c>
      <c r="F18" s="85">
        <v>6520.5</v>
      </c>
      <c r="G18" s="85">
        <v>4913.16</v>
      </c>
    </row>
    <row r="19" spans="1:7" x14ac:dyDescent="0.3">
      <c r="A19" s="84">
        <v>2026</v>
      </c>
      <c r="B19" s="84" t="s">
        <v>393</v>
      </c>
      <c r="C19" s="84">
        <v>1</v>
      </c>
      <c r="D19" s="84">
        <v>18</v>
      </c>
      <c r="E19" s="85">
        <v>1607.34</v>
      </c>
      <c r="F19" s="85">
        <v>6914.04</v>
      </c>
      <c r="G19" s="85">
        <v>5306.7</v>
      </c>
    </row>
    <row r="20" spans="1:7" x14ac:dyDescent="0.3">
      <c r="A20" s="84">
        <v>2026</v>
      </c>
      <c r="B20" s="84" t="s">
        <v>393</v>
      </c>
      <c r="C20" s="84">
        <v>1</v>
      </c>
      <c r="D20" s="84">
        <v>19</v>
      </c>
      <c r="E20" s="85">
        <v>1607.34</v>
      </c>
      <c r="F20" s="85">
        <v>7307.16</v>
      </c>
      <c r="G20" s="85">
        <v>5699.82</v>
      </c>
    </row>
    <row r="21" spans="1:7" x14ac:dyDescent="0.3">
      <c r="A21" s="84">
        <v>2026</v>
      </c>
      <c r="B21" s="84" t="s">
        <v>393</v>
      </c>
      <c r="C21" s="84">
        <v>1</v>
      </c>
      <c r="D21" s="84">
        <v>20</v>
      </c>
      <c r="E21" s="85">
        <v>1607.34</v>
      </c>
      <c r="F21" s="85">
        <v>7700.14</v>
      </c>
      <c r="G21" s="85">
        <v>6092.8</v>
      </c>
    </row>
    <row r="22" spans="1:7" x14ac:dyDescent="0.3">
      <c r="A22" s="84">
        <v>2026</v>
      </c>
      <c r="B22" s="84" t="s">
        <v>393</v>
      </c>
      <c r="C22" s="84">
        <v>1</v>
      </c>
      <c r="D22" s="84">
        <v>21</v>
      </c>
      <c r="E22" s="85">
        <v>1607.34</v>
      </c>
      <c r="F22" s="85">
        <v>8289.5400000000009</v>
      </c>
      <c r="G22" s="85">
        <v>6682.2</v>
      </c>
    </row>
    <row r="23" spans="1:7" x14ac:dyDescent="0.3">
      <c r="A23" s="84">
        <v>2026</v>
      </c>
      <c r="B23" s="84" t="s">
        <v>393</v>
      </c>
      <c r="C23" s="84">
        <v>1</v>
      </c>
      <c r="D23" s="84">
        <v>22</v>
      </c>
      <c r="E23" s="85">
        <v>1607.34</v>
      </c>
      <c r="F23" s="85">
        <v>8928.2199999999993</v>
      </c>
      <c r="G23" s="85">
        <v>7320.88</v>
      </c>
    </row>
    <row r="24" spans="1:7" x14ac:dyDescent="0.3">
      <c r="A24" s="84">
        <v>2026</v>
      </c>
      <c r="B24" s="84" t="s">
        <v>393</v>
      </c>
      <c r="C24" s="84">
        <v>1</v>
      </c>
      <c r="D24" s="84">
        <v>23</v>
      </c>
      <c r="E24" s="85">
        <v>1607.34</v>
      </c>
      <c r="F24" s="85">
        <v>9568.7199999999993</v>
      </c>
      <c r="G24" s="85">
        <v>7961.38</v>
      </c>
    </row>
    <row r="25" spans="1:7" x14ac:dyDescent="0.3">
      <c r="A25" s="84">
        <v>2026</v>
      </c>
      <c r="B25" s="84" t="s">
        <v>393</v>
      </c>
      <c r="C25" s="84">
        <v>1</v>
      </c>
      <c r="D25" s="84">
        <v>24</v>
      </c>
      <c r="E25" s="85">
        <v>1607.34</v>
      </c>
      <c r="F25" s="85">
        <v>10207.959999999999</v>
      </c>
      <c r="G25" s="85">
        <v>8600.6200000000008</v>
      </c>
    </row>
    <row r="26" spans="1:7" x14ac:dyDescent="0.3">
      <c r="A26" s="84">
        <v>2026</v>
      </c>
      <c r="B26" s="84" t="s">
        <v>393</v>
      </c>
      <c r="C26" s="84">
        <v>1</v>
      </c>
      <c r="D26" s="84">
        <v>25</v>
      </c>
      <c r="E26" s="85">
        <v>1607.34</v>
      </c>
      <c r="F26" s="85">
        <v>10848.04</v>
      </c>
      <c r="G26" s="85">
        <v>9240.7000000000007</v>
      </c>
    </row>
    <row r="27" spans="1:7" x14ac:dyDescent="0.3">
      <c r="A27" s="84">
        <v>2026</v>
      </c>
      <c r="B27" s="84" t="s">
        <v>393</v>
      </c>
      <c r="C27" s="84">
        <v>1</v>
      </c>
      <c r="D27" s="84">
        <v>26</v>
      </c>
      <c r="E27" s="85">
        <v>1607.34</v>
      </c>
      <c r="F27" s="85">
        <v>12227.32</v>
      </c>
      <c r="G27" s="85">
        <v>10619.98</v>
      </c>
    </row>
    <row r="28" spans="1:7" x14ac:dyDescent="0.3">
      <c r="A28" s="84">
        <v>2026</v>
      </c>
      <c r="B28" s="84" t="s">
        <v>393</v>
      </c>
      <c r="C28" s="84">
        <v>1</v>
      </c>
      <c r="D28" s="84">
        <v>27</v>
      </c>
      <c r="E28" s="85">
        <v>1607.34</v>
      </c>
      <c r="F28" s="85">
        <v>13936.58</v>
      </c>
      <c r="G28" s="85">
        <v>12329.24</v>
      </c>
    </row>
    <row r="29" spans="1:7" x14ac:dyDescent="0.3">
      <c r="A29" s="84">
        <v>2026</v>
      </c>
      <c r="B29" s="84" t="s">
        <v>393</v>
      </c>
      <c r="C29" s="84">
        <v>1</v>
      </c>
      <c r="D29" s="84">
        <v>28</v>
      </c>
      <c r="E29" s="85">
        <v>1607.34</v>
      </c>
      <c r="F29" s="85">
        <v>14577.08</v>
      </c>
      <c r="G29" s="85">
        <v>12969.74</v>
      </c>
    </row>
    <row r="30" spans="1:7" x14ac:dyDescent="0.3">
      <c r="A30" s="84">
        <v>2026</v>
      </c>
      <c r="B30" s="84" t="s">
        <v>393</v>
      </c>
      <c r="C30" s="84">
        <v>1</v>
      </c>
      <c r="D30" s="84">
        <v>29</v>
      </c>
      <c r="E30" s="85">
        <v>1607.34</v>
      </c>
      <c r="F30" s="85">
        <v>15216.46</v>
      </c>
      <c r="G30" s="85">
        <v>13609.12</v>
      </c>
    </row>
    <row r="31" spans="1:7" x14ac:dyDescent="0.3">
      <c r="A31" s="84">
        <v>2026</v>
      </c>
      <c r="B31" s="84" t="s">
        <v>393</v>
      </c>
      <c r="C31" s="84">
        <v>1</v>
      </c>
      <c r="D31" s="84">
        <v>30</v>
      </c>
      <c r="E31" s="85">
        <v>1607.34</v>
      </c>
      <c r="F31" s="85">
        <v>16964.78</v>
      </c>
      <c r="G31" s="85">
        <v>15357.44</v>
      </c>
    </row>
    <row r="32" spans="1:7" x14ac:dyDescent="0.3">
      <c r="A32" s="84">
        <v>2026</v>
      </c>
      <c r="B32" s="84" t="s">
        <v>393</v>
      </c>
      <c r="C32" s="84">
        <v>2</v>
      </c>
      <c r="D32" s="84">
        <v>1</v>
      </c>
      <c r="E32" s="85">
        <v>1901.76</v>
      </c>
      <c r="F32" s="85">
        <v>1607.34</v>
      </c>
      <c r="G32" s="85">
        <v>-294.42</v>
      </c>
    </row>
    <row r="33" spans="1:7" x14ac:dyDescent="0.3">
      <c r="A33" s="84">
        <v>2026</v>
      </c>
      <c r="B33" s="84" t="s">
        <v>393</v>
      </c>
      <c r="C33" s="84">
        <v>2</v>
      </c>
      <c r="D33" s="84">
        <v>2</v>
      </c>
      <c r="E33" s="85">
        <v>1901.76</v>
      </c>
      <c r="F33" s="85">
        <v>1901.76</v>
      </c>
      <c r="G33" s="85">
        <v>0</v>
      </c>
    </row>
    <row r="34" spans="1:7" x14ac:dyDescent="0.3">
      <c r="A34" s="84">
        <v>2026</v>
      </c>
      <c r="B34" s="84" t="s">
        <v>393</v>
      </c>
      <c r="C34" s="84">
        <v>2</v>
      </c>
      <c r="D34" s="84">
        <v>3</v>
      </c>
      <c r="E34" s="85">
        <v>1901.76</v>
      </c>
      <c r="F34" s="85">
        <v>2196.7399999999998</v>
      </c>
      <c r="G34" s="85">
        <v>294.98</v>
      </c>
    </row>
    <row r="35" spans="1:7" x14ac:dyDescent="0.3">
      <c r="A35" s="84">
        <v>2026</v>
      </c>
      <c r="B35" s="84" t="s">
        <v>393</v>
      </c>
      <c r="C35" s="84">
        <v>2</v>
      </c>
      <c r="D35" s="84">
        <v>4</v>
      </c>
      <c r="E35" s="85">
        <v>1901.76</v>
      </c>
      <c r="F35" s="85">
        <v>2490.88</v>
      </c>
      <c r="G35" s="85">
        <v>589.12</v>
      </c>
    </row>
    <row r="36" spans="1:7" x14ac:dyDescent="0.3">
      <c r="A36" s="84">
        <v>2026</v>
      </c>
      <c r="B36" s="84" t="s">
        <v>393</v>
      </c>
      <c r="C36" s="84">
        <v>2</v>
      </c>
      <c r="D36" s="84">
        <v>5</v>
      </c>
      <c r="E36" s="85">
        <v>1901.76</v>
      </c>
      <c r="F36" s="85">
        <v>2785.58</v>
      </c>
      <c r="G36" s="85">
        <v>883.82</v>
      </c>
    </row>
    <row r="37" spans="1:7" x14ac:dyDescent="0.3">
      <c r="A37" s="84">
        <v>2026</v>
      </c>
      <c r="B37" s="84" t="s">
        <v>393</v>
      </c>
      <c r="C37" s="84">
        <v>2</v>
      </c>
      <c r="D37" s="84">
        <v>6</v>
      </c>
      <c r="E37" s="85">
        <v>1901.76</v>
      </c>
      <c r="F37" s="85">
        <v>2982.28</v>
      </c>
      <c r="G37" s="85">
        <v>1080.52</v>
      </c>
    </row>
    <row r="38" spans="1:7" x14ac:dyDescent="0.3">
      <c r="A38" s="84">
        <v>2026</v>
      </c>
      <c r="B38" s="84" t="s">
        <v>393</v>
      </c>
      <c r="C38" s="84">
        <v>2</v>
      </c>
      <c r="D38" s="84">
        <v>7</v>
      </c>
      <c r="E38" s="85">
        <v>1901.76</v>
      </c>
      <c r="F38" s="85">
        <v>3178.98</v>
      </c>
      <c r="G38" s="85">
        <v>1277.22</v>
      </c>
    </row>
    <row r="39" spans="1:7" x14ac:dyDescent="0.3">
      <c r="A39" s="84">
        <v>2026</v>
      </c>
      <c r="B39" s="84" t="s">
        <v>393</v>
      </c>
      <c r="C39" s="84">
        <v>2</v>
      </c>
      <c r="D39" s="84">
        <v>8</v>
      </c>
      <c r="E39" s="85">
        <v>1901.76</v>
      </c>
      <c r="F39" s="85">
        <v>3375.26</v>
      </c>
      <c r="G39" s="85">
        <v>1473.5</v>
      </c>
    </row>
    <row r="40" spans="1:7" x14ac:dyDescent="0.3">
      <c r="A40" s="84">
        <v>2026</v>
      </c>
      <c r="B40" s="84" t="s">
        <v>393</v>
      </c>
      <c r="C40" s="84">
        <v>2</v>
      </c>
      <c r="D40" s="84">
        <v>9</v>
      </c>
      <c r="E40" s="85">
        <v>1901.76</v>
      </c>
      <c r="F40" s="85">
        <v>3572.38</v>
      </c>
      <c r="G40" s="85">
        <v>1670.62</v>
      </c>
    </row>
    <row r="41" spans="1:7" x14ac:dyDescent="0.3">
      <c r="A41" s="84">
        <v>2026</v>
      </c>
      <c r="B41" s="84" t="s">
        <v>393</v>
      </c>
      <c r="C41" s="84">
        <v>2</v>
      </c>
      <c r="D41" s="84">
        <v>10</v>
      </c>
      <c r="E41" s="85">
        <v>1901.76</v>
      </c>
      <c r="F41" s="85">
        <v>3768.8</v>
      </c>
      <c r="G41" s="85">
        <v>1867.04</v>
      </c>
    </row>
    <row r="42" spans="1:7" x14ac:dyDescent="0.3">
      <c r="A42" s="84">
        <v>2026</v>
      </c>
      <c r="B42" s="84" t="s">
        <v>393</v>
      </c>
      <c r="C42" s="84">
        <v>2</v>
      </c>
      <c r="D42" s="84">
        <v>11</v>
      </c>
      <c r="E42" s="85">
        <v>1901.76</v>
      </c>
      <c r="F42" s="85">
        <v>4161.3599999999997</v>
      </c>
      <c r="G42" s="85">
        <v>2259.6</v>
      </c>
    </row>
    <row r="43" spans="1:7" x14ac:dyDescent="0.3">
      <c r="A43" s="84">
        <v>2026</v>
      </c>
      <c r="B43" s="84" t="s">
        <v>393</v>
      </c>
      <c r="C43" s="84">
        <v>2</v>
      </c>
      <c r="D43" s="84">
        <v>12</v>
      </c>
      <c r="E43" s="85">
        <v>1901.76</v>
      </c>
      <c r="F43" s="85">
        <v>4554.8999999999996</v>
      </c>
      <c r="G43" s="85">
        <v>2653.14</v>
      </c>
    </row>
    <row r="44" spans="1:7" x14ac:dyDescent="0.3">
      <c r="A44" s="84">
        <v>2026</v>
      </c>
      <c r="B44" s="84" t="s">
        <v>393</v>
      </c>
      <c r="C44" s="84">
        <v>2</v>
      </c>
      <c r="D44" s="84">
        <v>13</v>
      </c>
      <c r="E44" s="85">
        <v>1901.76</v>
      </c>
      <c r="F44" s="85">
        <v>4948.16</v>
      </c>
      <c r="G44" s="85">
        <v>3046.4</v>
      </c>
    </row>
    <row r="45" spans="1:7" x14ac:dyDescent="0.3">
      <c r="A45" s="84">
        <v>2026</v>
      </c>
      <c r="B45" s="84" t="s">
        <v>393</v>
      </c>
      <c r="C45" s="84">
        <v>2</v>
      </c>
      <c r="D45" s="84">
        <v>14</v>
      </c>
      <c r="E45" s="85">
        <v>1901.76</v>
      </c>
      <c r="F45" s="85">
        <v>5341.98</v>
      </c>
      <c r="G45" s="85">
        <v>3440.22</v>
      </c>
    </row>
    <row r="46" spans="1:7" x14ac:dyDescent="0.3">
      <c r="A46" s="84">
        <v>2026</v>
      </c>
      <c r="B46" s="84" t="s">
        <v>393</v>
      </c>
      <c r="C46" s="84">
        <v>2</v>
      </c>
      <c r="D46" s="84">
        <v>15</v>
      </c>
      <c r="E46" s="85">
        <v>1901.76</v>
      </c>
      <c r="F46" s="85">
        <v>5734.26</v>
      </c>
      <c r="G46" s="85">
        <v>3832.5</v>
      </c>
    </row>
    <row r="47" spans="1:7" x14ac:dyDescent="0.3">
      <c r="A47" s="84">
        <v>2026</v>
      </c>
      <c r="B47" s="84" t="s">
        <v>393</v>
      </c>
      <c r="C47" s="84">
        <v>2</v>
      </c>
      <c r="D47" s="84">
        <v>16</v>
      </c>
      <c r="E47" s="85">
        <v>1901.76</v>
      </c>
      <c r="F47" s="85">
        <v>6128.22</v>
      </c>
      <c r="G47" s="85">
        <v>4226.46</v>
      </c>
    </row>
    <row r="48" spans="1:7" x14ac:dyDescent="0.3">
      <c r="A48" s="84">
        <v>2026</v>
      </c>
      <c r="B48" s="84" t="s">
        <v>393</v>
      </c>
      <c r="C48" s="84">
        <v>2</v>
      </c>
      <c r="D48" s="84">
        <v>17</v>
      </c>
      <c r="E48" s="85">
        <v>1901.76</v>
      </c>
      <c r="F48" s="85">
        <v>6520.5</v>
      </c>
      <c r="G48" s="85">
        <v>4618.74</v>
      </c>
    </row>
    <row r="49" spans="1:7" x14ac:dyDescent="0.3">
      <c r="A49" s="84">
        <v>2026</v>
      </c>
      <c r="B49" s="84" t="s">
        <v>393</v>
      </c>
      <c r="C49" s="84">
        <v>2</v>
      </c>
      <c r="D49" s="84">
        <v>18</v>
      </c>
      <c r="E49" s="85">
        <v>1901.76</v>
      </c>
      <c r="F49" s="85">
        <v>6914.04</v>
      </c>
      <c r="G49" s="85">
        <v>5012.28</v>
      </c>
    </row>
    <row r="50" spans="1:7" x14ac:dyDescent="0.3">
      <c r="A50" s="84">
        <v>2026</v>
      </c>
      <c r="B50" s="84" t="s">
        <v>393</v>
      </c>
      <c r="C50" s="84">
        <v>2</v>
      </c>
      <c r="D50" s="84">
        <v>19</v>
      </c>
      <c r="E50" s="85">
        <v>1901.76</v>
      </c>
      <c r="F50" s="85">
        <v>7307.16</v>
      </c>
      <c r="G50" s="85">
        <v>5405.4</v>
      </c>
    </row>
    <row r="51" spans="1:7" x14ac:dyDescent="0.3">
      <c r="A51" s="84">
        <v>2026</v>
      </c>
      <c r="B51" s="84" t="s">
        <v>393</v>
      </c>
      <c r="C51" s="84">
        <v>2</v>
      </c>
      <c r="D51" s="84">
        <v>20</v>
      </c>
      <c r="E51" s="85">
        <v>1901.76</v>
      </c>
      <c r="F51" s="85">
        <v>7700.14</v>
      </c>
      <c r="G51" s="85">
        <v>5798.38</v>
      </c>
    </row>
    <row r="52" spans="1:7" x14ac:dyDescent="0.3">
      <c r="A52" s="84">
        <v>2026</v>
      </c>
      <c r="B52" s="84" t="s">
        <v>393</v>
      </c>
      <c r="C52" s="84">
        <v>2</v>
      </c>
      <c r="D52" s="84">
        <v>21</v>
      </c>
      <c r="E52" s="85">
        <v>1901.76</v>
      </c>
      <c r="F52" s="85">
        <v>8289.5400000000009</v>
      </c>
      <c r="G52" s="85">
        <v>6387.78</v>
      </c>
    </row>
    <row r="53" spans="1:7" x14ac:dyDescent="0.3">
      <c r="A53" s="84">
        <v>2026</v>
      </c>
      <c r="B53" s="84" t="s">
        <v>393</v>
      </c>
      <c r="C53" s="84">
        <v>2</v>
      </c>
      <c r="D53" s="84">
        <v>22</v>
      </c>
      <c r="E53" s="85">
        <v>1901.76</v>
      </c>
      <c r="F53" s="85">
        <v>8928.2199999999993</v>
      </c>
      <c r="G53" s="85">
        <v>7026.46</v>
      </c>
    </row>
    <row r="54" spans="1:7" x14ac:dyDescent="0.3">
      <c r="A54" s="84">
        <v>2026</v>
      </c>
      <c r="B54" s="84" t="s">
        <v>393</v>
      </c>
      <c r="C54" s="84">
        <v>2</v>
      </c>
      <c r="D54" s="84">
        <v>23</v>
      </c>
      <c r="E54" s="85">
        <v>1901.76</v>
      </c>
      <c r="F54" s="85">
        <v>9568.7199999999993</v>
      </c>
      <c r="G54" s="85">
        <v>7666.96</v>
      </c>
    </row>
    <row r="55" spans="1:7" x14ac:dyDescent="0.3">
      <c r="A55" s="84">
        <v>2026</v>
      </c>
      <c r="B55" s="84" t="s">
        <v>393</v>
      </c>
      <c r="C55" s="84">
        <v>2</v>
      </c>
      <c r="D55" s="84">
        <v>24</v>
      </c>
      <c r="E55" s="85">
        <v>1901.76</v>
      </c>
      <c r="F55" s="85">
        <v>10207.959999999999</v>
      </c>
      <c r="G55" s="85">
        <v>8306.2000000000007</v>
      </c>
    </row>
    <row r="56" spans="1:7" x14ac:dyDescent="0.3">
      <c r="A56" s="84">
        <v>2026</v>
      </c>
      <c r="B56" s="84" t="s">
        <v>393</v>
      </c>
      <c r="C56" s="84">
        <v>2</v>
      </c>
      <c r="D56" s="84">
        <v>25</v>
      </c>
      <c r="E56" s="85">
        <v>1901.76</v>
      </c>
      <c r="F56" s="85">
        <v>10848.04</v>
      </c>
      <c r="G56" s="85">
        <v>8946.2800000000007</v>
      </c>
    </row>
    <row r="57" spans="1:7" x14ac:dyDescent="0.3">
      <c r="A57" s="84">
        <v>2026</v>
      </c>
      <c r="B57" s="84" t="s">
        <v>393</v>
      </c>
      <c r="C57" s="84">
        <v>2</v>
      </c>
      <c r="D57" s="84">
        <v>26</v>
      </c>
      <c r="E57" s="85">
        <v>1901.76</v>
      </c>
      <c r="F57" s="85">
        <v>12227.32</v>
      </c>
      <c r="G57" s="85">
        <v>10325.56</v>
      </c>
    </row>
    <row r="58" spans="1:7" x14ac:dyDescent="0.3">
      <c r="A58" s="84">
        <v>2026</v>
      </c>
      <c r="B58" s="84" t="s">
        <v>393</v>
      </c>
      <c r="C58" s="84">
        <v>2</v>
      </c>
      <c r="D58" s="84">
        <v>27</v>
      </c>
      <c r="E58" s="85">
        <v>1901.76</v>
      </c>
      <c r="F58" s="85">
        <v>13936.58</v>
      </c>
      <c r="G58" s="85">
        <v>12034.82</v>
      </c>
    </row>
    <row r="59" spans="1:7" x14ac:dyDescent="0.3">
      <c r="A59" s="84">
        <v>2026</v>
      </c>
      <c r="B59" s="84" t="s">
        <v>393</v>
      </c>
      <c r="C59" s="84">
        <v>2</v>
      </c>
      <c r="D59" s="84">
        <v>28</v>
      </c>
      <c r="E59" s="85">
        <v>1901.76</v>
      </c>
      <c r="F59" s="85">
        <v>14577.08</v>
      </c>
      <c r="G59" s="85">
        <v>12675.32</v>
      </c>
    </row>
    <row r="60" spans="1:7" x14ac:dyDescent="0.3">
      <c r="A60" s="84">
        <v>2026</v>
      </c>
      <c r="B60" s="84" t="s">
        <v>393</v>
      </c>
      <c r="C60" s="84">
        <v>2</v>
      </c>
      <c r="D60" s="84">
        <v>29</v>
      </c>
      <c r="E60" s="85">
        <v>1901.76</v>
      </c>
      <c r="F60" s="85">
        <v>15216.46</v>
      </c>
      <c r="G60" s="85">
        <v>13314.7</v>
      </c>
    </row>
    <row r="61" spans="1:7" x14ac:dyDescent="0.3">
      <c r="A61" s="84">
        <v>2026</v>
      </c>
      <c r="B61" s="84" t="s">
        <v>393</v>
      </c>
      <c r="C61" s="84">
        <v>2</v>
      </c>
      <c r="D61" s="84">
        <v>30</v>
      </c>
      <c r="E61" s="85">
        <v>1901.76</v>
      </c>
      <c r="F61" s="85">
        <v>16964.78</v>
      </c>
      <c r="G61" s="85">
        <v>15063.02</v>
      </c>
    </row>
    <row r="62" spans="1:7" x14ac:dyDescent="0.3">
      <c r="A62" s="84">
        <v>2026</v>
      </c>
      <c r="B62" s="84" t="s">
        <v>393</v>
      </c>
      <c r="C62" s="84">
        <v>3</v>
      </c>
      <c r="D62" s="84">
        <v>1</v>
      </c>
      <c r="E62" s="85">
        <v>2196.7399999999998</v>
      </c>
      <c r="F62" s="85">
        <v>1607.34</v>
      </c>
      <c r="G62" s="85">
        <v>-589.4</v>
      </c>
    </row>
    <row r="63" spans="1:7" x14ac:dyDescent="0.3">
      <c r="A63" s="84">
        <v>2026</v>
      </c>
      <c r="B63" s="84" t="s">
        <v>393</v>
      </c>
      <c r="C63" s="84">
        <v>3</v>
      </c>
      <c r="D63" s="84">
        <v>2</v>
      </c>
      <c r="E63" s="85">
        <v>2196.7399999999998</v>
      </c>
      <c r="F63" s="85">
        <v>1901.76</v>
      </c>
      <c r="G63" s="85">
        <v>-294.98</v>
      </c>
    </row>
    <row r="64" spans="1:7" x14ac:dyDescent="0.3">
      <c r="A64" s="84">
        <v>2026</v>
      </c>
      <c r="B64" s="84" t="s">
        <v>393</v>
      </c>
      <c r="C64" s="84">
        <v>3</v>
      </c>
      <c r="D64" s="84">
        <v>3</v>
      </c>
      <c r="E64" s="85">
        <v>2196.7399999999998</v>
      </c>
      <c r="F64" s="85">
        <v>2196.7399999999998</v>
      </c>
      <c r="G64" s="85">
        <v>0</v>
      </c>
    </row>
    <row r="65" spans="1:7" x14ac:dyDescent="0.3">
      <c r="A65" s="84">
        <v>2026</v>
      </c>
      <c r="B65" s="84" t="s">
        <v>393</v>
      </c>
      <c r="C65" s="84">
        <v>3</v>
      </c>
      <c r="D65" s="84">
        <v>4</v>
      </c>
      <c r="E65" s="85">
        <v>2196.7399999999998</v>
      </c>
      <c r="F65" s="85">
        <v>2490.88</v>
      </c>
      <c r="G65" s="85">
        <v>294.14</v>
      </c>
    </row>
    <row r="66" spans="1:7" x14ac:dyDescent="0.3">
      <c r="A66" s="84">
        <v>2026</v>
      </c>
      <c r="B66" s="84" t="s">
        <v>393</v>
      </c>
      <c r="C66" s="84">
        <v>3</v>
      </c>
      <c r="D66" s="84">
        <v>5</v>
      </c>
      <c r="E66" s="85">
        <v>2196.7399999999998</v>
      </c>
      <c r="F66" s="85">
        <v>2785.58</v>
      </c>
      <c r="G66" s="85">
        <v>588.84</v>
      </c>
    </row>
    <row r="67" spans="1:7" x14ac:dyDescent="0.3">
      <c r="A67" s="84">
        <v>2026</v>
      </c>
      <c r="B67" s="84" t="s">
        <v>393</v>
      </c>
      <c r="C67" s="84">
        <v>3</v>
      </c>
      <c r="D67" s="84">
        <v>6</v>
      </c>
      <c r="E67" s="85">
        <v>2196.7399999999998</v>
      </c>
      <c r="F67" s="85">
        <v>2982.28</v>
      </c>
      <c r="G67" s="85">
        <v>785.54</v>
      </c>
    </row>
    <row r="68" spans="1:7" x14ac:dyDescent="0.3">
      <c r="A68" s="84">
        <v>2026</v>
      </c>
      <c r="B68" s="84" t="s">
        <v>393</v>
      </c>
      <c r="C68" s="84">
        <v>3</v>
      </c>
      <c r="D68" s="84">
        <v>7</v>
      </c>
      <c r="E68" s="85">
        <v>2196.7399999999998</v>
      </c>
      <c r="F68" s="85">
        <v>3178.98</v>
      </c>
      <c r="G68" s="85">
        <v>982.24</v>
      </c>
    </row>
    <row r="69" spans="1:7" x14ac:dyDescent="0.3">
      <c r="A69" s="84">
        <v>2026</v>
      </c>
      <c r="B69" s="84" t="s">
        <v>393</v>
      </c>
      <c r="C69" s="84">
        <v>3</v>
      </c>
      <c r="D69" s="84">
        <v>8</v>
      </c>
      <c r="E69" s="85">
        <v>2196.7399999999998</v>
      </c>
      <c r="F69" s="85">
        <v>3375.26</v>
      </c>
      <c r="G69" s="85">
        <v>1178.52</v>
      </c>
    </row>
    <row r="70" spans="1:7" x14ac:dyDescent="0.3">
      <c r="A70" s="84">
        <v>2026</v>
      </c>
      <c r="B70" s="84" t="s">
        <v>393</v>
      </c>
      <c r="C70" s="84">
        <v>3</v>
      </c>
      <c r="D70" s="84">
        <v>9</v>
      </c>
      <c r="E70" s="85">
        <v>2196.7399999999998</v>
      </c>
      <c r="F70" s="85">
        <v>3572.38</v>
      </c>
      <c r="G70" s="85">
        <v>1375.64</v>
      </c>
    </row>
    <row r="71" spans="1:7" x14ac:dyDescent="0.3">
      <c r="A71" s="84">
        <v>2026</v>
      </c>
      <c r="B71" s="84" t="s">
        <v>393</v>
      </c>
      <c r="C71" s="84">
        <v>3</v>
      </c>
      <c r="D71" s="84">
        <v>10</v>
      </c>
      <c r="E71" s="85">
        <v>2196.7399999999998</v>
      </c>
      <c r="F71" s="85">
        <v>3768.8</v>
      </c>
      <c r="G71" s="85">
        <v>1572.06</v>
      </c>
    </row>
    <row r="72" spans="1:7" x14ac:dyDescent="0.3">
      <c r="A72" s="84">
        <v>2026</v>
      </c>
      <c r="B72" s="84" t="s">
        <v>393</v>
      </c>
      <c r="C72" s="84">
        <v>3</v>
      </c>
      <c r="D72" s="84">
        <v>11</v>
      </c>
      <c r="E72" s="85">
        <v>2196.7399999999998</v>
      </c>
      <c r="F72" s="85">
        <v>4161.3599999999997</v>
      </c>
      <c r="G72" s="85">
        <v>1964.62</v>
      </c>
    </row>
    <row r="73" spans="1:7" x14ac:dyDescent="0.3">
      <c r="A73" s="84">
        <v>2026</v>
      </c>
      <c r="B73" s="84" t="s">
        <v>393</v>
      </c>
      <c r="C73" s="84">
        <v>3</v>
      </c>
      <c r="D73" s="84">
        <v>12</v>
      </c>
      <c r="E73" s="85">
        <v>2196.7399999999998</v>
      </c>
      <c r="F73" s="85">
        <v>4554.8999999999996</v>
      </c>
      <c r="G73" s="85">
        <v>2358.16</v>
      </c>
    </row>
    <row r="74" spans="1:7" x14ac:dyDescent="0.3">
      <c r="A74" s="84">
        <v>2026</v>
      </c>
      <c r="B74" s="84" t="s">
        <v>393</v>
      </c>
      <c r="C74" s="84">
        <v>3</v>
      </c>
      <c r="D74" s="84">
        <v>13</v>
      </c>
      <c r="E74" s="85">
        <v>2196.7399999999998</v>
      </c>
      <c r="F74" s="85">
        <v>4948.16</v>
      </c>
      <c r="G74" s="85">
        <v>2751.42</v>
      </c>
    </row>
    <row r="75" spans="1:7" x14ac:dyDescent="0.3">
      <c r="A75" s="84">
        <v>2026</v>
      </c>
      <c r="B75" s="84" t="s">
        <v>393</v>
      </c>
      <c r="C75" s="84">
        <v>3</v>
      </c>
      <c r="D75" s="84">
        <v>14</v>
      </c>
      <c r="E75" s="85">
        <v>2196.7399999999998</v>
      </c>
      <c r="F75" s="85">
        <v>5341.98</v>
      </c>
      <c r="G75" s="85">
        <v>3145.24</v>
      </c>
    </row>
    <row r="76" spans="1:7" x14ac:dyDescent="0.3">
      <c r="A76" s="84">
        <v>2026</v>
      </c>
      <c r="B76" s="84" t="s">
        <v>393</v>
      </c>
      <c r="C76" s="84">
        <v>3</v>
      </c>
      <c r="D76" s="84">
        <v>15</v>
      </c>
      <c r="E76" s="85">
        <v>2196.7399999999998</v>
      </c>
      <c r="F76" s="85">
        <v>5734.26</v>
      </c>
      <c r="G76" s="85">
        <v>3537.52</v>
      </c>
    </row>
    <row r="77" spans="1:7" x14ac:dyDescent="0.3">
      <c r="A77" s="84">
        <v>2026</v>
      </c>
      <c r="B77" s="84" t="s">
        <v>393</v>
      </c>
      <c r="C77" s="84">
        <v>3</v>
      </c>
      <c r="D77" s="84">
        <v>16</v>
      </c>
      <c r="E77" s="85">
        <v>2196.7399999999998</v>
      </c>
      <c r="F77" s="85">
        <v>6128.22</v>
      </c>
      <c r="G77" s="85">
        <v>3931.48</v>
      </c>
    </row>
    <row r="78" spans="1:7" x14ac:dyDescent="0.3">
      <c r="A78" s="84">
        <v>2026</v>
      </c>
      <c r="B78" s="84" t="s">
        <v>393</v>
      </c>
      <c r="C78" s="84">
        <v>3</v>
      </c>
      <c r="D78" s="84">
        <v>17</v>
      </c>
      <c r="E78" s="85">
        <v>2196.7399999999998</v>
      </c>
      <c r="F78" s="85">
        <v>6520.5</v>
      </c>
      <c r="G78" s="85">
        <v>4323.76</v>
      </c>
    </row>
    <row r="79" spans="1:7" x14ac:dyDescent="0.3">
      <c r="A79" s="84">
        <v>2026</v>
      </c>
      <c r="B79" s="84" t="s">
        <v>393</v>
      </c>
      <c r="C79" s="84">
        <v>3</v>
      </c>
      <c r="D79" s="84">
        <v>18</v>
      </c>
      <c r="E79" s="85">
        <v>2196.7399999999998</v>
      </c>
      <c r="F79" s="85">
        <v>6914.04</v>
      </c>
      <c r="G79" s="85">
        <v>4717.3</v>
      </c>
    </row>
    <row r="80" spans="1:7" x14ac:dyDescent="0.3">
      <c r="A80" s="84">
        <v>2026</v>
      </c>
      <c r="B80" s="84" t="s">
        <v>393</v>
      </c>
      <c r="C80" s="84">
        <v>3</v>
      </c>
      <c r="D80" s="84">
        <v>19</v>
      </c>
      <c r="E80" s="85">
        <v>2196.7399999999998</v>
      </c>
      <c r="F80" s="85">
        <v>7307.16</v>
      </c>
      <c r="G80" s="85">
        <v>5110.42</v>
      </c>
    </row>
    <row r="81" spans="1:7" x14ac:dyDescent="0.3">
      <c r="A81" s="84">
        <v>2026</v>
      </c>
      <c r="B81" s="84" t="s">
        <v>393</v>
      </c>
      <c r="C81" s="84">
        <v>3</v>
      </c>
      <c r="D81" s="84">
        <v>20</v>
      </c>
      <c r="E81" s="85">
        <v>2196.7399999999998</v>
      </c>
      <c r="F81" s="85">
        <v>7700.14</v>
      </c>
      <c r="G81" s="85">
        <v>5503.4</v>
      </c>
    </row>
    <row r="82" spans="1:7" x14ac:dyDescent="0.3">
      <c r="A82" s="84">
        <v>2026</v>
      </c>
      <c r="B82" s="84" t="s">
        <v>393</v>
      </c>
      <c r="C82" s="84">
        <v>3</v>
      </c>
      <c r="D82" s="84">
        <v>21</v>
      </c>
      <c r="E82" s="85">
        <v>2196.7399999999998</v>
      </c>
      <c r="F82" s="85">
        <v>8289.5400000000009</v>
      </c>
      <c r="G82" s="85">
        <v>6092.8</v>
      </c>
    </row>
    <row r="83" spans="1:7" x14ac:dyDescent="0.3">
      <c r="A83" s="84">
        <v>2026</v>
      </c>
      <c r="B83" s="84" t="s">
        <v>393</v>
      </c>
      <c r="C83" s="84">
        <v>3</v>
      </c>
      <c r="D83" s="84">
        <v>22</v>
      </c>
      <c r="E83" s="85">
        <v>2196.7399999999998</v>
      </c>
      <c r="F83" s="85">
        <v>8928.2199999999993</v>
      </c>
      <c r="G83" s="85">
        <v>6731.48</v>
      </c>
    </row>
    <row r="84" spans="1:7" x14ac:dyDescent="0.3">
      <c r="A84" s="84">
        <v>2026</v>
      </c>
      <c r="B84" s="84" t="s">
        <v>393</v>
      </c>
      <c r="C84" s="84">
        <v>3</v>
      </c>
      <c r="D84" s="84">
        <v>23</v>
      </c>
      <c r="E84" s="85">
        <v>2196.7399999999998</v>
      </c>
      <c r="F84" s="85">
        <v>9568.7199999999993</v>
      </c>
      <c r="G84" s="85">
        <v>7371.98</v>
      </c>
    </row>
    <row r="85" spans="1:7" x14ac:dyDescent="0.3">
      <c r="A85" s="84">
        <v>2026</v>
      </c>
      <c r="B85" s="84" t="s">
        <v>393</v>
      </c>
      <c r="C85" s="84">
        <v>3</v>
      </c>
      <c r="D85" s="84">
        <v>24</v>
      </c>
      <c r="E85" s="85">
        <v>2196.7399999999998</v>
      </c>
      <c r="F85" s="85">
        <v>10207.959999999999</v>
      </c>
      <c r="G85" s="85">
        <v>8011.22</v>
      </c>
    </row>
    <row r="86" spans="1:7" x14ac:dyDescent="0.3">
      <c r="A86" s="84">
        <v>2026</v>
      </c>
      <c r="B86" s="84" t="s">
        <v>393</v>
      </c>
      <c r="C86" s="84">
        <v>3</v>
      </c>
      <c r="D86" s="84">
        <v>25</v>
      </c>
      <c r="E86" s="85">
        <v>2196.7399999999998</v>
      </c>
      <c r="F86" s="85">
        <v>10848.04</v>
      </c>
      <c r="G86" s="85">
        <v>8651.2999999999993</v>
      </c>
    </row>
    <row r="87" spans="1:7" x14ac:dyDescent="0.3">
      <c r="A87" s="84">
        <v>2026</v>
      </c>
      <c r="B87" s="84" t="s">
        <v>393</v>
      </c>
      <c r="C87" s="84">
        <v>3</v>
      </c>
      <c r="D87" s="84">
        <v>26</v>
      </c>
      <c r="E87" s="85">
        <v>2196.7399999999998</v>
      </c>
      <c r="F87" s="85">
        <v>12227.32</v>
      </c>
      <c r="G87" s="85">
        <v>10030.58</v>
      </c>
    </row>
    <row r="88" spans="1:7" x14ac:dyDescent="0.3">
      <c r="A88" s="84">
        <v>2026</v>
      </c>
      <c r="B88" s="84" t="s">
        <v>393</v>
      </c>
      <c r="C88" s="84">
        <v>3</v>
      </c>
      <c r="D88" s="84">
        <v>27</v>
      </c>
      <c r="E88" s="85">
        <v>2196.7399999999998</v>
      </c>
      <c r="F88" s="85">
        <v>13936.58</v>
      </c>
      <c r="G88" s="85">
        <v>11739.84</v>
      </c>
    </row>
    <row r="89" spans="1:7" x14ac:dyDescent="0.3">
      <c r="A89" s="84">
        <v>2026</v>
      </c>
      <c r="B89" s="84" t="s">
        <v>393</v>
      </c>
      <c r="C89" s="84">
        <v>3</v>
      </c>
      <c r="D89" s="84">
        <v>28</v>
      </c>
      <c r="E89" s="85">
        <v>2196.7399999999998</v>
      </c>
      <c r="F89" s="85">
        <v>14577.08</v>
      </c>
      <c r="G89" s="85">
        <v>12380.34</v>
      </c>
    </row>
    <row r="90" spans="1:7" x14ac:dyDescent="0.3">
      <c r="A90" s="84">
        <v>2026</v>
      </c>
      <c r="B90" s="84" t="s">
        <v>393</v>
      </c>
      <c r="C90" s="84">
        <v>3</v>
      </c>
      <c r="D90" s="84">
        <v>29</v>
      </c>
      <c r="E90" s="85">
        <v>2196.7399999999998</v>
      </c>
      <c r="F90" s="85">
        <v>15216.46</v>
      </c>
      <c r="G90" s="85">
        <v>13019.72</v>
      </c>
    </row>
    <row r="91" spans="1:7" x14ac:dyDescent="0.3">
      <c r="A91" s="84">
        <v>2026</v>
      </c>
      <c r="B91" s="84" t="s">
        <v>393</v>
      </c>
      <c r="C91" s="84">
        <v>3</v>
      </c>
      <c r="D91" s="84">
        <v>30</v>
      </c>
      <c r="E91" s="85">
        <v>2196.7399999999998</v>
      </c>
      <c r="F91" s="85">
        <v>16964.78</v>
      </c>
      <c r="G91" s="85">
        <v>14768.04</v>
      </c>
    </row>
    <row r="92" spans="1:7" x14ac:dyDescent="0.3">
      <c r="A92" s="84">
        <v>2026</v>
      </c>
      <c r="B92" s="84" t="s">
        <v>393</v>
      </c>
      <c r="C92" s="84">
        <v>4</v>
      </c>
      <c r="D92" s="84">
        <v>1</v>
      </c>
      <c r="E92" s="85">
        <v>2490.88</v>
      </c>
      <c r="F92" s="85">
        <v>1607.34</v>
      </c>
      <c r="G92" s="85">
        <v>-883.54</v>
      </c>
    </row>
    <row r="93" spans="1:7" x14ac:dyDescent="0.3">
      <c r="A93" s="84">
        <v>2026</v>
      </c>
      <c r="B93" s="84" t="s">
        <v>393</v>
      </c>
      <c r="C93" s="84">
        <v>4</v>
      </c>
      <c r="D93" s="84">
        <v>2</v>
      </c>
      <c r="E93" s="85">
        <v>2490.88</v>
      </c>
      <c r="F93" s="85">
        <v>1901.76</v>
      </c>
      <c r="G93" s="85">
        <v>-589.12</v>
      </c>
    </row>
    <row r="94" spans="1:7" x14ac:dyDescent="0.3">
      <c r="A94" s="84">
        <v>2026</v>
      </c>
      <c r="B94" s="84" t="s">
        <v>393</v>
      </c>
      <c r="C94" s="84">
        <v>4</v>
      </c>
      <c r="D94" s="84">
        <v>3</v>
      </c>
      <c r="E94" s="85">
        <v>2490.88</v>
      </c>
      <c r="F94" s="85">
        <v>2196.7399999999998</v>
      </c>
      <c r="G94" s="85">
        <v>-294.14</v>
      </c>
    </row>
    <row r="95" spans="1:7" x14ac:dyDescent="0.3">
      <c r="A95" s="84">
        <v>2026</v>
      </c>
      <c r="B95" s="84" t="s">
        <v>393</v>
      </c>
      <c r="C95" s="84">
        <v>4</v>
      </c>
      <c r="D95" s="84">
        <v>4</v>
      </c>
      <c r="E95" s="85">
        <v>2490.88</v>
      </c>
      <c r="F95" s="85">
        <v>2490.88</v>
      </c>
      <c r="G95" s="85">
        <v>0</v>
      </c>
    </row>
    <row r="96" spans="1:7" x14ac:dyDescent="0.3">
      <c r="A96" s="84">
        <v>2026</v>
      </c>
      <c r="B96" s="84" t="s">
        <v>393</v>
      </c>
      <c r="C96" s="84">
        <v>4</v>
      </c>
      <c r="D96" s="84">
        <v>5</v>
      </c>
      <c r="E96" s="85">
        <v>2490.88</v>
      </c>
      <c r="F96" s="85">
        <v>2785.58</v>
      </c>
      <c r="G96" s="85">
        <v>294.7</v>
      </c>
    </row>
    <row r="97" spans="1:7" x14ac:dyDescent="0.3">
      <c r="A97" s="84">
        <v>2026</v>
      </c>
      <c r="B97" s="84" t="s">
        <v>393</v>
      </c>
      <c r="C97" s="84">
        <v>4</v>
      </c>
      <c r="D97" s="84">
        <v>6</v>
      </c>
      <c r="E97" s="85">
        <v>2490.88</v>
      </c>
      <c r="F97" s="85">
        <v>2982.28</v>
      </c>
      <c r="G97" s="85">
        <v>491.4</v>
      </c>
    </row>
    <row r="98" spans="1:7" x14ac:dyDescent="0.3">
      <c r="A98" s="84">
        <v>2026</v>
      </c>
      <c r="B98" s="84" t="s">
        <v>393</v>
      </c>
      <c r="C98" s="84">
        <v>4</v>
      </c>
      <c r="D98" s="84">
        <v>7</v>
      </c>
      <c r="E98" s="85">
        <v>2490.88</v>
      </c>
      <c r="F98" s="85">
        <v>3178.98</v>
      </c>
      <c r="G98" s="85">
        <v>688.1</v>
      </c>
    </row>
    <row r="99" spans="1:7" x14ac:dyDescent="0.3">
      <c r="A99" s="84">
        <v>2026</v>
      </c>
      <c r="B99" s="84" t="s">
        <v>393</v>
      </c>
      <c r="C99" s="84">
        <v>4</v>
      </c>
      <c r="D99" s="84">
        <v>8</v>
      </c>
      <c r="E99" s="85">
        <v>2490.88</v>
      </c>
      <c r="F99" s="85">
        <v>3375.26</v>
      </c>
      <c r="G99" s="85">
        <v>884.38</v>
      </c>
    </row>
    <row r="100" spans="1:7" x14ac:dyDescent="0.3">
      <c r="A100" s="84">
        <v>2026</v>
      </c>
      <c r="B100" s="84" t="s">
        <v>393</v>
      </c>
      <c r="C100" s="84">
        <v>4</v>
      </c>
      <c r="D100" s="84">
        <v>9</v>
      </c>
      <c r="E100" s="85">
        <v>2490.88</v>
      </c>
      <c r="F100" s="85">
        <v>3572.38</v>
      </c>
      <c r="G100" s="85">
        <v>1081.5</v>
      </c>
    </row>
    <row r="101" spans="1:7" x14ac:dyDescent="0.3">
      <c r="A101" s="84">
        <v>2026</v>
      </c>
      <c r="B101" s="84" t="s">
        <v>393</v>
      </c>
      <c r="C101" s="84">
        <v>4</v>
      </c>
      <c r="D101" s="84">
        <v>10</v>
      </c>
      <c r="E101" s="85">
        <v>2490.88</v>
      </c>
      <c r="F101" s="85">
        <v>3768.8</v>
      </c>
      <c r="G101" s="85">
        <v>1277.92</v>
      </c>
    </row>
    <row r="102" spans="1:7" x14ac:dyDescent="0.3">
      <c r="A102" s="84">
        <v>2026</v>
      </c>
      <c r="B102" s="84" t="s">
        <v>393</v>
      </c>
      <c r="C102" s="84">
        <v>4</v>
      </c>
      <c r="D102" s="84">
        <v>11</v>
      </c>
      <c r="E102" s="85">
        <v>2490.88</v>
      </c>
      <c r="F102" s="85">
        <v>4161.3599999999997</v>
      </c>
      <c r="G102" s="85">
        <v>1670.48</v>
      </c>
    </row>
    <row r="103" spans="1:7" x14ac:dyDescent="0.3">
      <c r="A103" s="84">
        <v>2026</v>
      </c>
      <c r="B103" s="84" t="s">
        <v>393</v>
      </c>
      <c r="C103" s="84">
        <v>4</v>
      </c>
      <c r="D103" s="84">
        <v>12</v>
      </c>
      <c r="E103" s="85">
        <v>2490.88</v>
      </c>
      <c r="F103" s="85">
        <v>4554.8999999999996</v>
      </c>
      <c r="G103" s="85">
        <v>2064.02</v>
      </c>
    </row>
    <row r="104" spans="1:7" x14ac:dyDescent="0.3">
      <c r="A104" s="84">
        <v>2026</v>
      </c>
      <c r="B104" s="84" t="s">
        <v>393</v>
      </c>
      <c r="C104" s="84">
        <v>4</v>
      </c>
      <c r="D104" s="84">
        <v>13</v>
      </c>
      <c r="E104" s="85">
        <v>2490.88</v>
      </c>
      <c r="F104" s="85">
        <v>4948.16</v>
      </c>
      <c r="G104" s="85">
        <v>2457.2800000000002</v>
      </c>
    </row>
    <row r="105" spans="1:7" x14ac:dyDescent="0.3">
      <c r="A105" s="84">
        <v>2026</v>
      </c>
      <c r="B105" s="84" t="s">
        <v>393</v>
      </c>
      <c r="C105" s="84">
        <v>4</v>
      </c>
      <c r="D105" s="84">
        <v>14</v>
      </c>
      <c r="E105" s="85">
        <v>2490.88</v>
      </c>
      <c r="F105" s="85">
        <v>5341.98</v>
      </c>
      <c r="G105" s="85">
        <v>2851.1</v>
      </c>
    </row>
    <row r="106" spans="1:7" x14ac:dyDescent="0.3">
      <c r="A106" s="84">
        <v>2026</v>
      </c>
      <c r="B106" s="84" t="s">
        <v>393</v>
      </c>
      <c r="C106" s="84">
        <v>4</v>
      </c>
      <c r="D106" s="84">
        <v>15</v>
      </c>
      <c r="E106" s="85">
        <v>2490.88</v>
      </c>
      <c r="F106" s="85">
        <v>5734.26</v>
      </c>
      <c r="G106" s="85">
        <v>3243.38</v>
      </c>
    </row>
    <row r="107" spans="1:7" x14ac:dyDescent="0.3">
      <c r="A107" s="84">
        <v>2026</v>
      </c>
      <c r="B107" s="84" t="s">
        <v>393</v>
      </c>
      <c r="C107" s="84">
        <v>4</v>
      </c>
      <c r="D107" s="84">
        <v>16</v>
      </c>
      <c r="E107" s="85">
        <v>2490.88</v>
      </c>
      <c r="F107" s="85">
        <v>6128.22</v>
      </c>
      <c r="G107" s="85">
        <v>3637.34</v>
      </c>
    </row>
    <row r="108" spans="1:7" x14ac:dyDescent="0.3">
      <c r="A108" s="84">
        <v>2026</v>
      </c>
      <c r="B108" s="84" t="s">
        <v>393</v>
      </c>
      <c r="C108" s="84">
        <v>4</v>
      </c>
      <c r="D108" s="84">
        <v>17</v>
      </c>
      <c r="E108" s="85">
        <v>2490.88</v>
      </c>
      <c r="F108" s="85">
        <v>6520.5</v>
      </c>
      <c r="G108" s="85">
        <v>4029.62</v>
      </c>
    </row>
    <row r="109" spans="1:7" x14ac:dyDescent="0.3">
      <c r="A109" s="84">
        <v>2026</v>
      </c>
      <c r="B109" s="84" t="s">
        <v>393</v>
      </c>
      <c r="C109" s="84">
        <v>4</v>
      </c>
      <c r="D109" s="84">
        <v>18</v>
      </c>
      <c r="E109" s="85">
        <v>2490.88</v>
      </c>
      <c r="F109" s="85">
        <v>6914.04</v>
      </c>
      <c r="G109" s="85">
        <v>4423.16</v>
      </c>
    </row>
    <row r="110" spans="1:7" x14ac:dyDescent="0.3">
      <c r="A110" s="84">
        <v>2026</v>
      </c>
      <c r="B110" s="84" t="s">
        <v>393</v>
      </c>
      <c r="C110" s="84">
        <v>4</v>
      </c>
      <c r="D110" s="84">
        <v>19</v>
      </c>
      <c r="E110" s="85">
        <v>2490.88</v>
      </c>
      <c r="F110" s="85">
        <v>7307.16</v>
      </c>
      <c r="G110" s="85">
        <v>4816.28</v>
      </c>
    </row>
    <row r="111" spans="1:7" x14ac:dyDescent="0.3">
      <c r="A111" s="84">
        <v>2026</v>
      </c>
      <c r="B111" s="84" t="s">
        <v>393</v>
      </c>
      <c r="C111" s="84">
        <v>4</v>
      </c>
      <c r="D111" s="84">
        <v>20</v>
      </c>
      <c r="E111" s="85">
        <v>2490.88</v>
      </c>
      <c r="F111" s="85">
        <v>7700.14</v>
      </c>
      <c r="G111" s="85">
        <v>5209.26</v>
      </c>
    </row>
    <row r="112" spans="1:7" x14ac:dyDescent="0.3">
      <c r="A112" s="84">
        <v>2026</v>
      </c>
      <c r="B112" s="84" t="s">
        <v>393</v>
      </c>
      <c r="C112" s="84">
        <v>4</v>
      </c>
      <c r="D112" s="84">
        <v>21</v>
      </c>
      <c r="E112" s="85">
        <v>2490.88</v>
      </c>
      <c r="F112" s="85">
        <v>8289.5400000000009</v>
      </c>
      <c r="G112" s="85">
        <v>5798.66</v>
      </c>
    </row>
    <row r="113" spans="1:7" x14ac:dyDescent="0.3">
      <c r="A113" s="84">
        <v>2026</v>
      </c>
      <c r="B113" s="84" t="s">
        <v>393</v>
      </c>
      <c r="C113" s="84">
        <v>4</v>
      </c>
      <c r="D113" s="84">
        <v>22</v>
      </c>
      <c r="E113" s="85">
        <v>2490.88</v>
      </c>
      <c r="F113" s="85">
        <v>8928.2199999999993</v>
      </c>
      <c r="G113" s="85">
        <v>6437.34</v>
      </c>
    </row>
    <row r="114" spans="1:7" x14ac:dyDescent="0.3">
      <c r="A114" s="84">
        <v>2026</v>
      </c>
      <c r="B114" s="84" t="s">
        <v>393</v>
      </c>
      <c r="C114" s="84">
        <v>4</v>
      </c>
      <c r="D114" s="84">
        <v>23</v>
      </c>
      <c r="E114" s="85">
        <v>2490.88</v>
      </c>
      <c r="F114" s="85">
        <v>9568.7199999999993</v>
      </c>
      <c r="G114" s="85">
        <v>7077.84</v>
      </c>
    </row>
    <row r="115" spans="1:7" x14ac:dyDescent="0.3">
      <c r="A115" s="84">
        <v>2026</v>
      </c>
      <c r="B115" s="84" t="s">
        <v>393</v>
      </c>
      <c r="C115" s="84">
        <v>4</v>
      </c>
      <c r="D115" s="84">
        <v>24</v>
      </c>
      <c r="E115" s="85">
        <v>2490.88</v>
      </c>
      <c r="F115" s="85">
        <v>10207.959999999999</v>
      </c>
      <c r="G115" s="85">
        <v>7717.08</v>
      </c>
    </row>
    <row r="116" spans="1:7" x14ac:dyDescent="0.3">
      <c r="A116" s="84">
        <v>2026</v>
      </c>
      <c r="B116" s="84" t="s">
        <v>393</v>
      </c>
      <c r="C116" s="84">
        <v>4</v>
      </c>
      <c r="D116" s="84">
        <v>25</v>
      </c>
      <c r="E116" s="85">
        <v>2490.88</v>
      </c>
      <c r="F116" s="85">
        <v>10848.04</v>
      </c>
      <c r="G116" s="85">
        <v>8357.16</v>
      </c>
    </row>
    <row r="117" spans="1:7" x14ac:dyDescent="0.3">
      <c r="A117" s="84">
        <v>2026</v>
      </c>
      <c r="B117" s="84" t="s">
        <v>393</v>
      </c>
      <c r="C117" s="84">
        <v>4</v>
      </c>
      <c r="D117" s="84">
        <v>26</v>
      </c>
      <c r="E117" s="85">
        <v>2490.88</v>
      </c>
      <c r="F117" s="85">
        <v>12227.32</v>
      </c>
      <c r="G117" s="85">
        <v>9736.44</v>
      </c>
    </row>
    <row r="118" spans="1:7" x14ac:dyDescent="0.3">
      <c r="A118" s="84">
        <v>2026</v>
      </c>
      <c r="B118" s="84" t="s">
        <v>393</v>
      </c>
      <c r="C118" s="84">
        <v>4</v>
      </c>
      <c r="D118" s="84">
        <v>27</v>
      </c>
      <c r="E118" s="85">
        <v>2490.88</v>
      </c>
      <c r="F118" s="85">
        <v>13936.58</v>
      </c>
      <c r="G118" s="85">
        <v>11445.7</v>
      </c>
    </row>
    <row r="119" spans="1:7" x14ac:dyDescent="0.3">
      <c r="A119" s="84">
        <v>2026</v>
      </c>
      <c r="B119" s="84" t="s">
        <v>393</v>
      </c>
      <c r="C119" s="84">
        <v>4</v>
      </c>
      <c r="D119" s="84">
        <v>28</v>
      </c>
      <c r="E119" s="85">
        <v>2490.88</v>
      </c>
      <c r="F119" s="85">
        <v>14577.08</v>
      </c>
      <c r="G119" s="85">
        <v>12086.2</v>
      </c>
    </row>
    <row r="120" spans="1:7" x14ac:dyDescent="0.3">
      <c r="A120" s="84">
        <v>2026</v>
      </c>
      <c r="B120" s="84" t="s">
        <v>393</v>
      </c>
      <c r="C120" s="84">
        <v>4</v>
      </c>
      <c r="D120" s="84">
        <v>29</v>
      </c>
      <c r="E120" s="85">
        <v>2490.88</v>
      </c>
      <c r="F120" s="85">
        <v>15216.46</v>
      </c>
      <c r="G120" s="85">
        <v>12725.58</v>
      </c>
    </row>
    <row r="121" spans="1:7" x14ac:dyDescent="0.3">
      <c r="A121" s="84">
        <v>2026</v>
      </c>
      <c r="B121" s="84" t="s">
        <v>393</v>
      </c>
      <c r="C121" s="84">
        <v>4</v>
      </c>
      <c r="D121" s="84">
        <v>30</v>
      </c>
      <c r="E121" s="85">
        <v>2490.88</v>
      </c>
      <c r="F121" s="85">
        <v>16964.78</v>
      </c>
      <c r="G121" s="85">
        <v>14473.9</v>
      </c>
    </row>
    <row r="122" spans="1:7" x14ac:dyDescent="0.3">
      <c r="A122" s="84">
        <v>2026</v>
      </c>
      <c r="B122" s="84" t="s">
        <v>393</v>
      </c>
      <c r="C122" s="84">
        <v>5</v>
      </c>
      <c r="D122" s="84">
        <v>1</v>
      </c>
      <c r="E122" s="85">
        <v>2785.58</v>
      </c>
      <c r="F122" s="85">
        <v>1607.34</v>
      </c>
      <c r="G122" s="85">
        <v>-1178.24</v>
      </c>
    </row>
    <row r="123" spans="1:7" x14ac:dyDescent="0.3">
      <c r="A123" s="84">
        <v>2026</v>
      </c>
      <c r="B123" s="84" t="s">
        <v>393</v>
      </c>
      <c r="C123" s="84">
        <v>5</v>
      </c>
      <c r="D123" s="84">
        <v>2</v>
      </c>
      <c r="E123" s="85">
        <v>2785.58</v>
      </c>
      <c r="F123" s="85">
        <v>1901.76</v>
      </c>
      <c r="G123" s="85">
        <v>-883.82</v>
      </c>
    </row>
    <row r="124" spans="1:7" x14ac:dyDescent="0.3">
      <c r="A124" s="84">
        <v>2026</v>
      </c>
      <c r="B124" s="84" t="s">
        <v>393</v>
      </c>
      <c r="C124" s="84">
        <v>5</v>
      </c>
      <c r="D124" s="84">
        <v>3</v>
      </c>
      <c r="E124" s="85">
        <v>2785.58</v>
      </c>
      <c r="F124" s="85">
        <v>2196.7399999999998</v>
      </c>
      <c r="G124" s="85">
        <v>-588.84</v>
      </c>
    </row>
    <row r="125" spans="1:7" x14ac:dyDescent="0.3">
      <c r="A125" s="84">
        <v>2026</v>
      </c>
      <c r="B125" s="84" t="s">
        <v>393</v>
      </c>
      <c r="C125" s="84">
        <v>5</v>
      </c>
      <c r="D125" s="84">
        <v>4</v>
      </c>
      <c r="E125" s="85">
        <v>2785.58</v>
      </c>
      <c r="F125" s="85">
        <v>2490.88</v>
      </c>
      <c r="G125" s="85">
        <v>-294.7</v>
      </c>
    </row>
    <row r="126" spans="1:7" x14ac:dyDescent="0.3">
      <c r="A126" s="84">
        <v>2026</v>
      </c>
      <c r="B126" s="84" t="s">
        <v>393</v>
      </c>
      <c r="C126" s="84">
        <v>5</v>
      </c>
      <c r="D126" s="84">
        <v>5</v>
      </c>
      <c r="E126" s="85">
        <v>2785.58</v>
      </c>
      <c r="F126" s="85">
        <v>2785.58</v>
      </c>
      <c r="G126" s="85">
        <v>0</v>
      </c>
    </row>
    <row r="127" spans="1:7" x14ac:dyDescent="0.3">
      <c r="A127" s="84">
        <v>2026</v>
      </c>
      <c r="B127" s="84" t="s">
        <v>393</v>
      </c>
      <c r="C127" s="84">
        <v>5</v>
      </c>
      <c r="D127" s="84">
        <v>6</v>
      </c>
      <c r="E127" s="85">
        <v>2785.58</v>
      </c>
      <c r="F127" s="85">
        <v>2982.28</v>
      </c>
      <c r="G127" s="85">
        <v>196.7</v>
      </c>
    </row>
    <row r="128" spans="1:7" x14ac:dyDescent="0.3">
      <c r="A128" s="84">
        <v>2026</v>
      </c>
      <c r="B128" s="84" t="s">
        <v>393</v>
      </c>
      <c r="C128" s="84">
        <v>5</v>
      </c>
      <c r="D128" s="84">
        <v>7</v>
      </c>
      <c r="E128" s="85">
        <v>2785.58</v>
      </c>
      <c r="F128" s="85">
        <v>3178.98</v>
      </c>
      <c r="G128" s="85">
        <v>393.4</v>
      </c>
    </row>
    <row r="129" spans="1:7" x14ac:dyDescent="0.3">
      <c r="A129" s="84">
        <v>2026</v>
      </c>
      <c r="B129" s="84" t="s">
        <v>393</v>
      </c>
      <c r="C129" s="84">
        <v>5</v>
      </c>
      <c r="D129" s="84">
        <v>8</v>
      </c>
      <c r="E129" s="85">
        <v>2785.58</v>
      </c>
      <c r="F129" s="85">
        <v>3375.26</v>
      </c>
      <c r="G129" s="85">
        <v>589.67999999999995</v>
      </c>
    </row>
    <row r="130" spans="1:7" x14ac:dyDescent="0.3">
      <c r="A130" s="84">
        <v>2026</v>
      </c>
      <c r="B130" s="84" t="s">
        <v>393</v>
      </c>
      <c r="C130" s="84">
        <v>5</v>
      </c>
      <c r="D130" s="84">
        <v>9</v>
      </c>
      <c r="E130" s="85">
        <v>2785.58</v>
      </c>
      <c r="F130" s="85">
        <v>3572.38</v>
      </c>
      <c r="G130" s="85">
        <v>786.8</v>
      </c>
    </row>
    <row r="131" spans="1:7" x14ac:dyDescent="0.3">
      <c r="A131" s="84">
        <v>2026</v>
      </c>
      <c r="B131" s="84" t="s">
        <v>393</v>
      </c>
      <c r="C131" s="84">
        <v>5</v>
      </c>
      <c r="D131" s="84">
        <v>10</v>
      </c>
      <c r="E131" s="85">
        <v>2785.58</v>
      </c>
      <c r="F131" s="85">
        <v>3768.8</v>
      </c>
      <c r="G131" s="85">
        <v>983.22</v>
      </c>
    </row>
    <row r="132" spans="1:7" x14ac:dyDescent="0.3">
      <c r="A132" s="84">
        <v>2026</v>
      </c>
      <c r="B132" s="84" t="s">
        <v>393</v>
      </c>
      <c r="C132" s="84">
        <v>5</v>
      </c>
      <c r="D132" s="84">
        <v>11</v>
      </c>
      <c r="E132" s="85">
        <v>2785.58</v>
      </c>
      <c r="F132" s="85">
        <v>4161.3599999999997</v>
      </c>
      <c r="G132" s="85">
        <v>1375.78</v>
      </c>
    </row>
    <row r="133" spans="1:7" x14ac:dyDescent="0.3">
      <c r="A133" s="84">
        <v>2026</v>
      </c>
      <c r="B133" s="84" t="s">
        <v>393</v>
      </c>
      <c r="C133" s="84">
        <v>5</v>
      </c>
      <c r="D133" s="84">
        <v>12</v>
      </c>
      <c r="E133" s="85">
        <v>2785.58</v>
      </c>
      <c r="F133" s="85">
        <v>4554.8999999999996</v>
      </c>
      <c r="G133" s="85">
        <v>1769.32</v>
      </c>
    </row>
    <row r="134" spans="1:7" x14ac:dyDescent="0.3">
      <c r="A134" s="84">
        <v>2026</v>
      </c>
      <c r="B134" s="84" t="s">
        <v>393</v>
      </c>
      <c r="C134" s="84">
        <v>5</v>
      </c>
      <c r="D134" s="84">
        <v>13</v>
      </c>
      <c r="E134" s="85">
        <v>2785.58</v>
      </c>
      <c r="F134" s="85">
        <v>4948.16</v>
      </c>
      <c r="G134" s="85">
        <v>2162.58</v>
      </c>
    </row>
    <row r="135" spans="1:7" x14ac:dyDescent="0.3">
      <c r="A135" s="84">
        <v>2026</v>
      </c>
      <c r="B135" s="84" t="s">
        <v>393</v>
      </c>
      <c r="C135" s="84">
        <v>5</v>
      </c>
      <c r="D135" s="84">
        <v>14</v>
      </c>
      <c r="E135" s="85">
        <v>2785.58</v>
      </c>
      <c r="F135" s="85">
        <v>5341.98</v>
      </c>
      <c r="G135" s="85">
        <v>2556.4</v>
      </c>
    </row>
    <row r="136" spans="1:7" x14ac:dyDescent="0.3">
      <c r="A136" s="84">
        <v>2026</v>
      </c>
      <c r="B136" s="84" t="s">
        <v>393</v>
      </c>
      <c r="C136" s="84">
        <v>5</v>
      </c>
      <c r="D136" s="84">
        <v>15</v>
      </c>
      <c r="E136" s="85">
        <v>2785.58</v>
      </c>
      <c r="F136" s="85">
        <v>5734.26</v>
      </c>
      <c r="G136" s="85">
        <v>2948.68</v>
      </c>
    </row>
    <row r="137" spans="1:7" x14ac:dyDescent="0.3">
      <c r="A137" s="84">
        <v>2026</v>
      </c>
      <c r="B137" s="84" t="s">
        <v>393</v>
      </c>
      <c r="C137" s="84">
        <v>5</v>
      </c>
      <c r="D137" s="84">
        <v>16</v>
      </c>
      <c r="E137" s="85">
        <v>2785.58</v>
      </c>
      <c r="F137" s="85">
        <v>6128.22</v>
      </c>
      <c r="G137" s="85">
        <v>3342.64</v>
      </c>
    </row>
    <row r="138" spans="1:7" x14ac:dyDescent="0.3">
      <c r="A138" s="84">
        <v>2026</v>
      </c>
      <c r="B138" s="84" t="s">
        <v>393</v>
      </c>
      <c r="C138" s="84">
        <v>5</v>
      </c>
      <c r="D138" s="84">
        <v>17</v>
      </c>
      <c r="E138" s="85">
        <v>2785.58</v>
      </c>
      <c r="F138" s="85">
        <v>6520.5</v>
      </c>
      <c r="G138" s="85">
        <v>3734.92</v>
      </c>
    </row>
    <row r="139" spans="1:7" x14ac:dyDescent="0.3">
      <c r="A139" s="84">
        <v>2026</v>
      </c>
      <c r="B139" s="84" t="s">
        <v>393</v>
      </c>
      <c r="C139" s="84">
        <v>5</v>
      </c>
      <c r="D139" s="84">
        <v>18</v>
      </c>
      <c r="E139" s="85">
        <v>2785.58</v>
      </c>
      <c r="F139" s="85">
        <v>6914.04</v>
      </c>
      <c r="G139" s="85">
        <v>4128.46</v>
      </c>
    </row>
    <row r="140" spans="1:7" x14ac:dyDescent="0.3">
      <c r="A140" s="84">
        <v>2026</v>
      </c>
      <c r="B140" s="84" t="s">
        <v>393</v>
      </c>
      <c r="C140" s="84">
        <v>5</v>
      </c>
      <c r="D140" s="84">
        <v>19</v>
      </c>
      <c r="E140" s="85">
        <v>2785.58</v>
      </c>
      <c r="F140" s="85">
        <v>7307.16</v>
      </c>
      <c r="G140" s="85">
        <v>4521.58</v>
      </c>
    </row>
    <row r="141" spans="1:7" x14ac:dyDescent="0.3">
      <c r="A141" s="84">
        <v>2026</v>
      </c>
      <c r="B141" s="84" t="s">
        <v>393</v>
      </c>
      <c r="C141" s="84">
        <v>5</v>
      </c>
      <c r="D141" s="84">
        <v>20</v>
      </c>
      <c r="E141" s="85">
        <v>2785.58</v>
      </c>
      <c r="F141" s="85">
        <v>7700.14</v>
      </c>
      <c r="G141" s="85">
        <v>4914.5600000000004</v>
      </c>
    </row>
    <row r="142" spans="1:7" x14ac:dyDescent="0.3">
      <c r="A142" s="84">
        <v>2026</v>
      </c>
      <c r="B142" s="84" t="s">
        <v>393</v>
      </c>
      <c r="C142" s="84">
        <v>5</v>
      </c>
      <c r="D142" s="84">
        <v>21</v>
      </c>
      <c r="E142" s="85">
        <v>2785.58</v>
      </c>
      <c r="F142" s="85">
        <v>8289.5400000000009</v>
      </c>
      <c r="G142" s="85">
        <v>5503.96</v>
      </c>
    </row>
    <row r="143" spans="1:7" x14ac:dyDescent="0.3">
      <c r="A143" s="84">
        <v>2026</v>
      </c>
      <c r="B143" s="84" t="s">
        <v>393</v>
      </c>
      <c r="C143" s="84">
        <v>5</v>
      </c>
      <c r="D143" s="84">
        <v>22</v>
      </c>
      <c r="E143" s="85">
        <v>2785.58</v>
      </c>
      <c r="F143" s="85">
        <v>8928.2199999999993</v>
      </c>
      <c r="G143" s="85">
        <v>6142.64</v>
      </c>
    </row>
    <row r="144" spans="1:7" x14ac:dyDescent="0.3">
      <c r="A144" s="84">
        <v>2026</v>
      </c>
      <c r="B144" s="84" t="s">
        <v>393</v>
      </c>
      <c r="C144" s="84">
        <v>5</v>
      </c>
      <c r="D144" s="84">
        <v>23</v>
      </c>
      <c r="E144" s="85">
        <v>2785.58</v>
      </c>
      <c r="F144" s="85">
        <v>9568.7199999999993</v>
      </c>
      <c r="G144" s="85">
        <v>6783.14</v>
      </c>
    </row>
    <row r="145" spans="1:7" x14ac:dyDescent="0.3">
      <c r="A145" s="84">
        <v>2026</v>
      </c>
      <c r="B145" s="84" t="s">
        <v>393</v>
      </c>
      <c r="C145" s="84">
        <v>5</v>
      </c>
      <c r="D145" s="84">
        <v>24</v>
      </c>
      <c r="E145" s="85">
        <v>2785.58</v>
      </c>
      <c r="F145" s="85">
        <v>10207.959999999999</v>
      </c>
      <c r="G145" s="85">
        <v>7422.38</v>
      </c>
    </row>
    <row r="146" spans="1:7" x14ac:dyDescent="0.3">
      <c r="A146" s="84">
        <v>2026</v>
      </c>
      <c r="B146" s="84" t="s">
        <v>393</v>
      </c>
      <c r="C146" s="84">
        <v>5</v>
      </c>
      <c r="D146" s="84">
        <v>25</v>
      </c>
      <c r="E146" s="85">
        <v>2785.58</v>
      </c>
      <c r="F146" s="85">
        <v>10848.04</v>
      </c>
      <c r="G146" s="85">
        <v>8062.46</v>
      </c>
    </row>
    <row r="147" spans="1:7" x14ac:dyDescent="0.3">
      <c r="A147" s="84">
        <v>2026</v>
      </c>
      <c r="B147" s="84" t="s">
        <v>393</v>
      </c>
      <c r="C147" s="84">
        <v>5</v>
      </c>
      <c r="D147" s="84">
        <v>26</v>
      </c>
      <c r="E147" s="85">
        <v>2785.58</v>
      </c>
      <c r="F147" s="85">
        <v>12227.32</v>
      </c>
      <c r="G147" s="85">
        <v>9441.74</v>
      </c>
    </row>
    <row r="148" spans="1:7" x14ac:dyDescent="0.3">
      <c r="A148" s="84">
        <v>2026</v>
      </c>
      <c r="B148" s="84" t="s">
        <v>393</v>
      </c>
      <c r="C148" s="84">
        <v>5</v>
      </c>
      <c r="D148" s="84">
        <v>27</v>
      </c>
      <c r="E148" s="85">
        <v>2785.58</v>
      </c>
      <c r="F148" s="85">
        <v>13936.58</v>
      </c>
      <c r="G148" s="85">
        <v>11151</v>
      </c>
    </row>
    <row r="149" spans="1:7" x14ac:dyDescent="0.3">
      <c r="A149" s="84">
        <v>2026</v>
      </c>
      <c r="B149" s="84" t="s">
        <v>393</v>
      </c>
      <c r="C149" s="84">
        <v>5</v>
      </c>
      <c r="D149" s="84">
        <v>28</v>
      </c>
      <c r="E149" s="85">
        <v>2785.58</v>
      </c>
      <c r="F149" s="85">
        <v>14577.08</v>
      </c>
      <c r="G149" s="85">
        <v>11791.5</v>
      </c>
    </row>
    <row r="150" spans="1:7" x14ac:dyDescent="0.3">
      <c r="A150" s="84">
        <v>2026</v>
      </c>
      <c r="B150" s="84" t="s">
        <v>393</v>
      </c>
      <c r="C150" s="84">
        <v>5</v>
      </c>
      <c r="D150" s="84">
        <v>29</v>
      </c>
      <c r="E150" s="85">
        <v>2785.58</v>
      </c>
      <c r="F150" s="85">
        <v>15216.46</v>
      </c>
      <c r="G150" s="85">
        <v>12430.88</v>
      </c>
    </row>
    <row r="151" spans="1:7" x14ac:dyDescent="0.3">
      <c r="A151" s="84">
        <v>2026</v>
      </c>
      <c r="B151" s="84" t="s">
        <v>393</v>
      </c>
      <c r="C151" s="84">
        <v>5</v>
      </c>
      <c r="D151" s="84">
        <v>30</v>
      </c>
      <c r="E151" s="85">
        <v>2785.58</v>
      </c>
      <c r="F151" s="85">
        <v>16964.78</v>
      </c>
      <c r="G151" s="85">
        <v>14179.2</v>
      </c>
    </row>
    <row r="152" spans="1:7" x14ac:dyDescent="0.3">
      <c r="A152" s="84">
        <v>2026</v>
      </c>
      <c r="B152" s="84" t="s">
        <v>393</v>
      </c>
      <c r="C152" s="84">
        <v>6</v>
      </c>
      <c r="D152" s="84">
        <v>1</v>
      </c>
      <c r="E152" s="85">
        <v>2982.28</v>
      </c>
      <c r="F152" s="85">
        <v>1607.34</v>
      </c>
      <c r="G152" s="85">
        <v>-1374.94</v>
      </c>
    </row>
    <row r="153" spans="1:7" x14ac:dyDescent="0.3">
      <c r="A153" s="84">
        <v>2026</v>
      </c>
      <c r="B153" s="84" t="s">
        <v>393</v>
      </c>
      <c r="C153" s="84">
        <v>6</v>
      </c>
      <c r="D153" s="84">
        <v>2</v>
      </c>
      <c r="E153" s="85">
        <v>2982.28</v>
      </c>
      <c r="F153" s="85">
        <v>1901.76</v>
      </c>
      <c r="G153" s="85">
        <v>-1080.52</v>
      </c>
    </row>
    <row r="154" spans="1:7" x14ac:dyDescent="0.3">
      <c r="A154" s="84">
        <v>2026</v>
      </c>
      <c r="B154" s="84" t="s">
        <v>393</v>
      </c>
      <c r="C154" s="84">
        <v>6</v>
      </c>
      <c r="D154" s="84">
        <v>3</v>
      </c>
      <c r="E154" s="85">
        <v>2982.28</v>
      </c>
      <c r="F154" s="85">
        <v>2196.7399999999998</v>
      </c>
      <c r="G154" s="85">
        <v>-785.54</v>
      </c>
    </row>
    <row r="155" spans="1:7" x14ac:dyDescent="0.3">
      <c r="A155" s="84">
        <v>2026</v>
      </c>
      <c r="B155" s="84" t="s">
        <v>393</v>
      </c>
      <c r="C155" s="84">
        <v>6</v>
      </c>
      <c r="D155" s="84">
        <v>4</v>
      </c>
      <c r="E155" s="85">
        <v>2982.28</v>
      </c>
      <c r="F155" s="85">
        <v>2490.88</v>
      </c>
      <c r="G155" s="85">
        <v>-491.4</v>
      </c>
    </row>
    <row r="156" spans="1:7" x14ac:dyDescent="0.3">
      <c r="A156" s="84">
        <v>2026</v>
      </c>
      <c r="B156" s="84" t="s">
        <v>393</v>
      </c>
      <c r="C156" s="84">
        <v>6</v>
      </c>
      <c r="D156" s="84">
        <v>5</v>
      </c>
      <c r="E156" s="85">
        <v>2982.28</v>
      </c>
      <c r="F156" s="85">
        <v>2785.58</v>
      </c>
      <c r="G156" s="85">
        <v>-196.7</v>
      </c>
    </row>
    <row r="157" spans="1:7" x14ac:dyDescent="0.3">
      <c r="A157" s="84">
        <v>2026</v>
      </c>
      <c r="B157" s="84" t="s">
        <v>393</v>
      </c>
      <c r="C157" s="84">
        <v>6</v>
      </c>
      <c r="D157" s="84">
        <v>6</v>
      </c>
      <c r="E157" s="85">
        <v>2982.28</v>
      </c>
      <c r="F157" s="85">
        <v>2982.28</v>
      </c>
      <c r="G157" s="85">
        <v>0</v>
      </c>
    </row>
    <row r="158" spans="1:7" x14ac:dyDescent="0.3">
      <c r="A158" s="84">
        <v>2026</v>
      </c>
      <c r="B158" s="84" t="s">
        <v>393</v>
      </c>
      <c r="C158" s="84">
        <v>6</v>
      </c>
      <c r="D158" s="84">
        <v>7</v>
      </c>
      <c r="E158" s="85">
        <v>2982.28</v>
      </c>
      <c r="F158" s="85">
        <v>3178.98</v>
      </c>
      <c r="G158" s="85">
        <v>196.7</v>
      </c>
    </row>
    <row r="159" spans="1:7" x14ac:dyDescent="0.3">
      <c r="A159" s="84">
        <v>2026</v>
      </c>
      <c r="B159" s="84" t="s">
        <v>393</v>
      </c>
      <c r="C159" s="84">
        <v>6</v>
      </c>
      <c r="D159" s="84">
        <v>8</v>
      </c>
      <c r="E159" s="85">
        <v>2982.28</v>
      </c>
      <c r="F159" s="85">
        <v>3375.26</v>
      </c>
      <c r="G159" s="85">
        <v>392.98</v>
      </c>
    </row>
    <row r="160" spans="1:7" x14ac:dyDescent="0.3">
      <c r="A160" s="84">
        <v>2026</v>
      </c>
      <c r="B160" s="84" t="s">
        <v>393</v>
      </c>
      <c r="C160" s="84">
        <v>6</v>
      </c>
      <c r="D160" s="84">
        <v>9</v>
      </c>
      <c r="E160" s="85">
        <v>2982.28</v>
      </c>
      <c r="F160" s="85">
        <v>3572.38</v>
      </c>
      <c r="G160" s="85">
        <v>590.1</v>
      </c>
    </row>
    <row r="161" spans="1:7" x14ac:dyDescent="0.3">
      <c r="A161" s="84">
        <v>2026</v>
      </c>
      <c r="B161" s="84" t="s">
        <v>393</v>
      </c>
      <c r="C161" s="84">
        <v>6</v>
      </c>
      <c r="D161" s="84">
        <v>10</v>
      </c>
      <c r="E161" s="85">
        <v>2982.28</v>
      </c>
      <c r="F161" s="85">
        <v>3768.8</v>
      </c>
      <c r="G161" s="85">
        <v>786.52</v>
      </c>
    </row>
    <row r="162" spans="1:7" x14ac:dyDescent="0.3">
      <c r="A162" s="84">
        <v>2026</v>
      </c>
      <c r="B162" s="84" t="s">
        <v>393</v>
      </c>
      <c r="C162" s="84">
        <v>6</v>
      </c>
      <c r="D162" s="84">
        <v>11</v>
      </c>
      <c r="E162" s="85">
        <v>2982.28</v>
      </c>
      <c r="F162" s="85">
        <v>4161.3599999999997</v>
      </c>
      <c r="G162" s="85">
        <v>1179.08</v>
      </c>
    </row>
    <row r="163" spans="1:7" x14ac:dyDescent="0.3">
      <c r="A163" s="84">
        <v>2026</v>
      </c>
      <c r="B163" s="84" t="s">
        <v>393</v>
      </c>
      <c r="C163" s="84">
        <v>6</v>
      </c>
      <c r="D163" s="84">
        <v>12</v>
      </c>
      <c r="E163" s="85">
        <v>2982.28</v>
      </c>
      <c r="F163" s="85">
        <v>4554.8999999999996</v>
      </c>
      <c r="G163" s="85">
        <v>1572.62</v>
      </c>
    </row>
    <row r="164" spans="1:7" x14ac:dyDescent="0.3">
      <c r="A164" s="84">
        <v>2026</v>
      </c>
      <c r="B164" s="84" t="s">
        <v>393</v>
      </c>
      <c r="C164" s="84">
        <v>6</v>
      </c>
      <c r="D164" s="84">
        <v>13</v>
      </c>
      <c r="E164" s="85">
        <v>2982.28</v>
      </c>
      <c r="F164" s="85">
        <v>4948.16</v>
      </c>
      <c r="G164" s="85">
        <v>1965.88</v>
      </c>
    </row>
    <row r="165" spans="1:7" x14ac:dyDescent="0.3">
      <c r="A165" s="84">
        <v>2026</v>
      </c>
      <c r="B165" s="84" t="s">
        <v>393</v>
      </c>
      <c r="C165" s="84">
        <v>6</v>
      </c>
      <c r="D165" s="84">
        <v>14</v>
      </c>
      <c r="E165" s="85">
        <v>2982.28</v>
      </c>
      <c r="F165" s="85">
        <v>5341.98</v>
      </c>
      <c r="G165" s="85">
        <v>2359.6999999999998</v>
      </c>
    </row>
    <row r="166" spans="1:7" x14ac:dyDescent="0.3">
      <c r="A166" s="84">
        <v>2026</v>
      </c>
      <c r="B166" s="84" t="s">
        <v>393</v>
      </c>
      <c r="C166" s="84">
        <v>6</v>
      </c>
      <c r="D166" s="84">
        <v>15</v>
      </c>
      <c r="E166" s="85">
        <v>2982.28</v>
      </c>
      <c r="F166" s="85">
        <v>5734.26</v>
      </c>
      <c r="G166" s="85">
        <v>2751.98</v>
      </c>
    </row>
    <row r="167" spans="1:7" x14ac:dyDescent="0.3">
      <c r="A167" s="84">
        <v>2026</v>
      </c>
      <c r="B167" s="84" t="s">
        <v>393</v>
      </c>
      <c r="C167" s="84">
        <v>6</v>
      </c>
      <c r="D167" s="84">
        <v>16</v>
      </c>
      <c r="E167" s="85">
        <v>2982.28</v>
      </c>
      <c r="F167" s="85">
        <v>6128.22</v>
      </c>
      <c r="G167" s="85">
        <v>3145.94</v>
      </c>
    </row>
    <row r="168" spans="1:7" x14ac:dyDescent="0.3">
      <c r="A168" s="84">
        <v>2026</v>
      </c>
      <c r="B168" s="84" t="s">
        <v>393</v>
      </c>
      <c r="C168" s="84">
        <v>6</v>
      </c>
      <c r="D168" s="84">
        <v>17</v>
      </c>
      <c r="E168" s="85">
        <v>2982.28</v>
      </c>
      <c r="F168" s="85">
        <v>6520.5</v>
      </c>
      <c r="G168" s="85">
        <v>3538.22</v>
      </c>
    </row>
    <row r="169" spans="1:7" x14ac:dyDescent="0.3">
      <c r="A169" s="84">
        <v>2026</v>
      </c>
      <c r="B169" s="84" t="s">
        <v>393</v>
      </c>
      <c r="C169" s="84">
        <v>6</v>
      </c>
      <c r="D169" s="84">
        <v>18</v>
      </c>
      <c r="E169" s="85">
        <v>2982.28</v>
      </c>
      <c r="F169" s="85">
        <v>6914.04</v>
      </c>
      <c r="G169" s="85">
        <v>3931.76</v>
      </c>
    </row>
    <row r="170" spans="1:7" x14ac:dyDescent="0.3">
      <c r="A170" s="84">
        <v>2026</v>
      </c>
      <c r="B170" s="84" t="s">
        <v>393</v>
      </c>
      <c r="C170" s="84">
        <v>6</v>
      </c>
      <c r="D170" s="84">
        <v>19</v>
      </c>
      <c r="E170" s="85">
        <v>2982.28</v>
      </c>
      <c r="F170" s="85">
        <v>7307.16</v>
      </c>
      <c r="G170" s="85">
        <v>4324.88</v>
      </c>
    </row>
    <row r="171" spans="1:7" x14ac:dyDescent="0.3">
      <c r="A171" s="84">
        <v>2026</v>
      </c>
      <c r="B171" s="84" t="s">
        <v>393</v>
      </c>
      <c r="C171" s="84">
        <v>6</v>
      </c>
      <c r="D171" s="84">
        <v>20</v>
      </c>
      <c r="E171" s="85">
        <v>2982.28</v>
      </c>
      <c r="F171" s="85">
        <v>7700.14</v>
      </c>
      <c r="G171" s="85">
        <v>4717.8599999999997</v>
      </c>
    </row>
    <row r="172" spans="1:7" x14ac:dyDescent="0.3">
      <c r="A172" s="84">
        <v>2026</v>
      </c>
      <c r="B172" s="84" t="s">
        <v>393</v>
      </c>
      <c r="C172" s="84">
        <v>6</v>
      </c>
      <c r="D172" s="84">
        <v>21</v>
      </c>
      <c r="E172" s="85">
        <v>2982.28</v>
      </c>
      <c r="F172" s="85">
        <v>8289.5400000000009</v>
      </c>
      <c r="G172" s="85">
        <v>5307.26</v>
      </c>
    </row>
    <row r="173" spans="1:7" x14ac:dyDescent="0.3">
      <c r="A173" s="84">
        <v>2026</v>
      </c>
      <c r="B173" s="84" t="s">
        <v>393</v>
      </c>
      <c r="C173" s="84">
        <v>6</v>
      </c>
      <c r="D173" s="84">
        <v>22</v>
      </c>
      <c r="E173" s="85">
        <v>2982.28</v>
      </c>
      <c r="F173" s="85">
        <v>8928.2199999999993</v>
      </c>
      <c r="G173" s="85">
        <v>5945.94</v>
      </c>
    </row>
    <row r="174" spans="1:7" x14ac:dyDescent="0.3">
      <c r="A174" s="84">
        <v>2026</v>
      </c>
      <c r="B174" s="84" t="s">
        <v>393</v>
      </c>
      <c r="C174" s="84">
        <v>6</v>
      </c>
      <c r="D174" s="84">
        <v>23</v>
      </c>
      <c r="E174" s="85">
        <v>2982.28</v>
      </c>
      <c r="F174" s="85">
        <v>9568.7199999999993</v>
      </c>
      <c r="G174" s="85">
        <v>6586.44</v>
      </c>
    </row>
    <row r="175" spans="1:7" x14ac:dyDescent="0.3">
      <c r="A175" s="84">
        <v>2026</v>
      </c>
      <c r="B175" s="84" t="s">
        <v>393</v>
      </c>
      <c r="C175" s="84">
        <v>6</v>
      </c>
      <c r="D175" s="84">
        <v>24</v>
      </c>
      <c r="E175" s="85">
        <v>2982.28</v>
      </c>
      <c r="F175" s="85">
        <v>10207.959999999999</v>
      </c>
      <c r="G175" s="85">
        <v>7225.68</v>
      </c>
    </row>
    <row r="176" spans="1:7" x14ac:dyDescent="0.3">
      <c r="A176" s="84">
        <v>2026</v>
      </c>
      <c r="B176" s="84" t="s">
        <v>393</v>
      </c>
      <c r="C176" s="84">
        <v>6</v>
      </c>
      <c r="D176" s="84">
        <v>25</v>
      </c>
      <c r="E176" s="85">
        <v>2982.28</v>
      </c>
      <c r="F176" s="85">
        <v>10848.04</v>
      </c>
      <c r="G176" s="85">
        <v>7865.76</v>
      </c>
    </row>
    <row r="177" spans="1:7" x14ac:dyDescent="0.3">
      <c r="A177" s="84">
        <v>2026</v>
      </c>
      <c r="B177" s="84" t="s">
        <v>393</v>
      </c>
      <c r="C177" s="84">
        <v>6</v>
      </c>
      <c r="D177" s="84">
        <v>26</v>
      </c>
      <c r="E177" s="85">
        <v>2982.28</v>
      </c>
      <c r="F177" s="85">
        <v>12227.32</v>
      </c>
      <c r="G177" s="85">
        <v>9245.0400000000009</v>
      </c>
    </row>
    <row r="178" spans="1:7" x14ac:dyDescent="0.3">
      <c r="A178" s="84">
        <v>2026</v>
      </c>
      <c r="B178" s="84" t="s">
        <v>393</v>
      </c>
      <c r="C178" s="84">
        <v>6</v>
      </c>
      <c r="D178" s="84">
        <v>27</v>
      </c>
      <c r="E178" s="85">
        <v>2982.28</v>
      </c>
      <c r="F178" s="85">
        <v>13936.58</v>
      </c>
      <c r="G178" s="85">
        <v>10954.3</v>
      </c>
    </row>
    <row r="179" spans="1:7" x14ac:dyDescent="0.3">
      <c r="A179" s="84">
        <v>2026</v>
      </c>
      <c r="B179" s="84" t="s">
        <v>393</v>
      </c>
      <c r="C179" s="84">
        <v>6</v>
      </c>
      <c r="D179" s="84">
        <v>28</v>
      </c>
      <c r="E179" s="85">
        <v>2982.28</v>
      </c>
      <c r="F179" s="85">
        <v>14577.08</v>
      </c>
      <c r="G179" s="85">
        <v>11594.8</v>
      </c>
    </row>
    <row r="180" spans="1:7" x14ac:dyDescent="0.3">
      <c r="A180" s="84">
        <v>2026</v>
      </c>
      <c r="B180" s="84" t="s">
        <v>393</v>
      </c>
      <c r="C180" s="84">
        <v>6</v>
      </c>
      <c r="D180" s="84">
        <v>29</v>
      </c>
      <c r="E180" s="85">
        <v>2982.28</v>
      </c>
      <c r="F180" s="85">
        <v>15216.46</v>
      </c>
      <c r="G180" s="85">
        <v>12234.18</v>
      </c>
    </row>
    <row r="181" spans="1:7" x14ac:dyDescent="0.3">
      <c r="A181" s="84">
        <v>2026</v>
      </c>
      <c r="B181" s="84" t="s">
        <v>393</v>
      </c>
      <c r="C181" s="84">
        <v>6</v>
      </c>
      <c r="D181" s="84">
        <v>30</v>
      </c>
      <c r="E181" s="85">
        <v>2982.28</v>
      </c>
      <c r="F181" s="85">
        <v>16964.78</v>
      </c>
      <c r="G181" s="85">
        <v>13982.5</v>
      </c>
    </row>
    <row r="182" spans="1:7" x14ac:dyDescent="0.3">
      <c r="A182" s="84">
        <v>2026</v>
      </c>
      <c r="B182" s="84" t="s">
        <v>393</v>
      </c>
      <c r="C182" s="84">
        <v>7</v>
      </c>
      <c r="D182" s="84">
        <v>1</v>
      </c>
      <c r="E182" s="85">
        <v>3178.98</v>
      </c>
      <c r="F182" s="85">
        <v>1607.34</v>
      </c>
      <c r="G182" s="85">
        <v>-1571.64</v>
      </c>
    </row>
    <row r="183" spans="1:7" x14ac:dyDescent="0.3">
      <c r="A183" s="84">
        <v>2026</v>
      </c>
      <c r="B183" s="84" t="s">
        <v>393</v>
      </c>
      <c r="C183" s="84">
        <v>7</v>
      </c>
      <c r="D183" s="84">
        <v>2</v>
      </c>
      <c r="E183" s="85">
        <v>3178.98</v>
      </c>
      <c r="F183" s="85">
        <v>1901.76</v>
      </c>
      <c r="G183" s="85">
        <v>-1277.22</v>
      </c>
    </row>
    <row r="184" spans="1:7" x14ac:dyDescent="0.3">
      <c r="A184" s="84">
        <v>2026</v>
      </c>
      <c r="B184" s="84" t="s">
        <v>393</v>
      </c>
      <c r="C184" s="84">
        <v>7</v>
      </c>
      <c r="D184" s="84">
        <v>3</v>
      </c>
      <c r="E184" s="85">
        <v>3178.98</v>
      </c>
      <c r="F184" s="85">
        <v>2196.7399999999998</v>
      </c>
      <c r="G184" s="85">
        <v>-982.24</v>
      </c>
    </row>
    <row r="185" spans="1:7" x14ac:dyDescent="0.3">
      <c r="A185" s="84">
        <v>2026</v>
      </c>
      <c r="B185" s="84" t="s">
        <v>393</v>
      </c>
      <c r="C185" s="84">
        <v>7</v>
      </c>
      <c r="D185" s="84">
        <v>4</v>
      </c>
      <c r="E185" s="85">
        <v>3178.98</v>
      </c>
      <c r="F185" s="85">
        <v>2490.88</v>
      </c>
      <c r="G185" s="85">
        <v>-688.1</v>
      </c>
    </row>
    <row r="186" spans="1:7" x14ac:dyDescent="0.3">
      <c r="A186" s="84">
        <v>2026</v>
      </c>
      <c r="B186" s="84" t="s">
        <v>393</v>
      </c>
      <c r="C186" s="84">
        <v>7</v>
      </c>
      <c r="D186" s="84">
        <v>5</v>
      </c>
      <c r="E186" s="85">
        <v>3178.98</v>
      </c>
      <c r="F186" s="85">
        <v>2785.58</v>
      </c>
      <c r="G186" s="85">
        <v>-393.4</v>
      </c>
    </row>
    <row r="187" spans="1:7" x14ac:dyDescent="0.3">
      <c r="A187" s="84">
        <v>2026</v>
      </c>
      <c r="B187" s="84" t="s">
        <v>393</v>
      </c>
      <c r="C187" s="84">
        <v>7</v>
      </c>
      <c r="D187" s="84">
        <v>6</v>
      </c>
      <c r="E187" s="85">
        <v>3178.98</v>
      </c>
      <c r="F187" s="85">
        <v>2982.28</v>
      </c>
      <c r="G187" s="85">
        <v>-196.7</v>
      </c>
    </row>
    <row r="188" spans="1:7" x14ac:dyDescent="0.3">
      <c r="A188" s="84">
        <v>2026</v>
      </c>
      <c r="B188" s="84" t="s">
        <v>393</v>
      </c>
      <c r="C188" s="84">
        <v>7</v>
      </c>
      <c r="D188" s="84">
        <v>7</v>
      </c>
      <c r="E188" s="85">
        <v>3178.98</v>
      </c>
      <c r="F188" s="85">
        <v>3178.98</v>
      </c>
      <c r="G188" s="85">
        <v>0</v>
      </c>
    </row>
    <row r="189" spans="1:7" x14ac:dyDescent="0.3">
      <c r="A189" s="84">
        <v>2026</v>
      </c>
      <c r="B189" s="84" t="s">
        <v>393</v>
      </c>
      <c r="C189" s="84">
        <v>7</v>
      </c>
      <c r="D189" s="84">
        <v>8</v>
      </c>
      <c r="E189" s="85">
        <v>3178.98</v>
      </c>
      <c r="F189" s="85">
        <v>3375.26</v>
      </c>
      <c r="G189" s="85">
        <v>196.28</v>
      </c>
    </row>
    <row r="190" spans="1:7" x14ac:dyDescent="0.3">
      <c r="A190" s="84">
        <v>2026</v>
      </c>
      <c r="B190" s="84" t="s">
        <v>393</v>
      </c>
      <c r="C190" s="84">
        <v>7</v>
      </c>
      <c r="D190" s="84">
        <v>9</v>
      </c>
      <c r="E190" s="85">
        <v>3178.98</v>
      </c>
      <c r="F190" s="85">
        <v>3572.38</v>
      </c>
      <c r="G190" s="85">
        <v>393.4</v>
      </c>
    </row>
    <row r="191" spans="1:7" x14ac:dyDescent="0.3">
      <c r="A191" s="84">
        <v>2026</v>
      </c>
      <c r="B191" s="84" t="s">
        <v>393</v>
      </c>
      <c r="C191" s="84">
        <v>7</v>
      </c>
      <c r="D191" s="84">
        <v>10</v>
      </c>
      <c r="E191" s="85">
        <v>3178.98</v>
      </c>
      <c r="F191" s="85">
        <v>3768.8</v>
      </c>
      <c r="G191" s="85">
        <v>589.82000000000005</v>
      </c>
    </row>
    <row r="192" spans="1:7" x14ac:dyDescent="0.3">
      <c r="A192" s="84">
        <v>2026</v>
      </c>
      <c r="B192" s="84" t="s">
        <v>393</v>
      </c>
      <c r="C192" s="84">
        <v>7</v>
      </c>
      <c r="D192" s="84">
        <v>11</v>
      </c>
      <c r="E192" s="85">
        <v>3178.98</v>
      </c>
      <c r="F192" s="85">
        <v>4161.3599999999997</v>
      </c>
      <c r="G192" s="85">
        <v>982.38</v>
      </c>
    </row>
    <row r="193" spans="1:7" x14ac:dyDescent="0.3">
      <c r="A193" s="84">
        <v>2026</v>
      </c>
      <c r="B193" s="84" t="s">
        <v>393</v>
      </c>
      <c r="C193" s="84">
        <v>7</v>
      </c>
      <c r="D193" s="84">
        <v>12</v>
      </c>
      <c r="E193" s="85">
        <v>3178.98</v>
      </c>
      <c r="F193" s="85">
        <v>4554.8999999999996</v>
      </c>
      <c r="G193" s="85">
        <v>1375.92</v>
      </c>
    </row>
    <row r="194" spans="1:7" x14ac:dyDescent="0.3">
      <c r="A194" s="84">
        <v>2026</v>
      </c>
      <c r="B194" s="84" t="s">
        <v>393</v>
      </c>
      <c r="C194" s="84">
        <v>7</v>
      </c>
      <c r="D194" s="84">
        <v>13</v>
      </c>
      <c r="E194" s="85">
        <v>3178.98</v>
      </c>
      <c r="F194" s="85">
        <v>4948.16</v>
      </c>
      <c r="G194" s="85">
        <v>1769.18</v>
      </c>
    </row>
    <row r="195" spans="1:7" x14ac:dyDescent="0.3">
      <c r="A195" s="84">
        <v>2026</v>
      </c>
      <c r="B195" s="84" t="s">
        <v>393</v>
      </c>
      <c r="C195" s="84">
        <v>7</v>
      </c>
      <c r="D195" s="84">
        <v>14</v>
      </c>
      <c r="E195" s="85">
        <v>3178.98</v>
      </c>
      <c r="F195" s="85">
        <v>5341.98</v>
      </c>
      <c r="G195" s="85">
        <v>2163</v>
      </c>
    </row>
    <row r="196" spans="1:7" x14ac:dyDescent="0.3">
      <c r="A196" s="84">
        <v>2026</v>
      </c>
      <c r="B196" s="84" t="s">
        <v>393</v>
      </c>
      <c r="C196" s="84">
        <v>7</v>
      </c>
      <c r="D196" s="84">
        <v>15</v>
      </c>
      <c r="E196" s="85">
        <v>3178.98</v>
      </c>
      <c r="F196" s="85">
        <v>5734.26</v>
      </c>
      <c r="G196" s="85">
        <v>2555.2800000000002</v>
      </c>
    </row>
    <row r="197" spans="1:7" x14ac:dyDescent="0.3">
      <c r="A197" s="84">
        <v>2026</v>
      </c>
      <c r="B197" s="84" t="s">
        <v>393</v>
      </c>
      <c r="C197" s="84">
        <v>7</v>
      </c>
      <c r="D197" s="84">
        <v>16</v>
      </c>
      <c r="E197" s="85">
        <v>3178.98</v>
      </c>
      <c r="F197" s="85">
        <v>6128.22</v>
      </c>
      <c r="G197" s="85">
        <v>2949.24</v>
      </c>
    </row>
    <row r="198" spans="1:7" x14ac:dyDescent="0.3">
      <c r="A198" s="84">
        <v>2026</v>
      </c>
      <c r="B198" s="84" t="s">
        <v>393</v>
      </c>
      <c r="C198" s="84">
        <v>7</v>
      </c>
      <c r="D198" s="84">
        <v>17</v>
      </c>
      <c r="E198" s="85">
        <v>3178.98</v>
      </c>
      <c r="F198" s="85">
        <v>6520.5</v>
      </c>
      <c r="G198" s="85">
        <v>3341.52</v>
      </c>
    </row>
    <row r="199" spans="1:7" x14ac:dyDescent="0.3">
      <c r="A199" s="84">
        <v>2026</v>
      </c>
      <c r="B199" s="84" t="s">
        <v>393</v>
      </c>
      <c r="C199" s="84">
        <v>7</v>
      </c>
      <c r="D199" s="84">
        <v>18</v>
      </c>
      <c r="E199" s="85">
        <v>3178.98</v>
      </c>
      <c r="F199" s="85">
        <v>6914.04</v>
      </c>
      <c r="G199" s="85">
        <v>3735.06</v>
      </c>
    </row>
    <row r="200" spans="1:7" x14ac:dyDescent="0.3">
      <c r="A200" s="84">
        <v>2026</v>
      </c>
      <c r="B200" s="84" t="s">
        <v>393</v>
      </c>
      <c r="C200" s="84">
        <v>7</v>
      </c>
      <c r="D200" s="84">
        <v>19</v>
      </c>
      <c r="E200" s="85">
        <v>3178.98</v>
      </c>
      <c r="F200" s="85">
        <v>7307.16</v>
      </c>
      <c r="G200" s="85">
        <v>4128.18</v>
      </c>
    </row>
    <row r="201" spans="1:7" x14ac:dyDescent="0.3">
      <c r="A201" s="84">
        <v>2026</v>
      </c>
      <c r="B201" s="84" t="s">
        <v>393</v>
      </c>
      <c r="C201" s="84">
        <v>7</v>
      </c>
      <c r="D201" s="84">
        <v>20</v>
      </c>
      <c r="E201" s="85">
        <v>3178.98</v>
      </c>
      <c r="F201" s="85">
        <v>7700.14</v>
      </c>
      <c r="G201" s="85">
        <v>4521.16</v>
      </c>
    </row>
    <row r="202" spans="1:7" x14ac:dyDescent="0.3">
      <c r="A202" s="84">
        <v>2026</v>
      </c>
      <c r="B202" s="84" t="s">
        <v>393</v>
      </c>
      <c r="C202" s="84">
        <v>7</v>
      </c>
      <c r="D202" s="84">
        <v>21</v>
      </c>
      <c r="E202" s="85">
        <v>3178.98</v>
      </c>
      <c r="F202" s="85">
        <v>8289.5400000000009</v>
      </c>
      <c r="G202" s="85">
        <v>5110.5600000000004</v>
      </c>
    </row>
    <row r="203" spans="1:7" x14ac:dyDescent="0.3">
      <c r="A203" s="84">
        <v>2026</v>
      </c>
      <c r="B203" s="84" t="s">
        <v>393</v>
      </c>
      <c r="C203" s="84">
        <v>7</v>
      </c>
      <c r="D203" s="84">
        <v>22</v>
      </c>
      <c r="E203" s="85">
        <v>3178.98</v>
      </c>
      <c r="F203" s="85">
        <v>8928.2199999999993</v>
      </c>
      <c r="G203" s="85">
        <v>5749.24</v>
      </c>
    </row>
    <row r="204" spans="1:7" x14ac:dyDescent="0.3">
      <c r="A204" s="84">
        <v>2026</v>
      </c>
      <c r="B204" s="84" t="s">
        <v>393</v>
      </c>
      <c r="C204" s="84">
        <v>7</v>
      </c>
      <c r="D204" s="84">
        <v>23</v>
      </c>
      <c r="E204" s="85">
        <v>3178.98</v>
      </c>
      <c r="F204" s="85">
        <v>9568.7199999999993</v>
      </c>
      <c r="G204" s="85">
        <v>6389.74</v>
      </c>
    </row>
    <row r="205" spans="1:7" x14ac:dyDescent="0.3">
      <c r="A205" s="84">
        <v>2026</v>
      </c>
      <c r="B205" s="84" t="s">
        <v>393</v>
      </c>
      <c r="C205" s="84">
        <v>7</v>
      </c>
      <c r="D205" s="84">
        <v>24</v>
      </c>
      <c r="E205" s="85">
        <v>3178.98</v>
      </c>
      <c r="F205" s="85">
        <v>10207.959999999999</v>
      </c>
      <c r="G205" s="85">
        <v>7028.98</v>
      </c>
    </row>
    <row r="206" spans="1:7" x14ac:dyDescent="0.3">
      <c r="A206" s="84">
        <v>2026</v>
      </c>
      <c r="B206" s="84" t="s">
        <v>393</v>
      </c>
      <c r="C206" s="84">
        <v>7</v>
      </c>
      <c r="D206" s="84">
        <v>25</v>
      </c>
      <c r="E206" s="85">
        <v>3178.98</v>
      </c>
      <c r="F206" s="85">
        <v>10848.04</v>
      </c>
      <c r="G206" s="85">
        <v>7669.06</v>
      </c>
    </row>
    <row r="207" spans="1:7" x14ac:dyDescent="0.3">
      <c r="A207" s="84">
        <v>2026</v>
      </c>
      <c r="B207" s="84" t="s">
        <v>393</v>
      </c>
      <c r="C207" s="84">
        <v>7</v>
      </c>
      <c r="D207" s="84">
        <v>26</v>
      </c>
      <c r="E207" s="85">
        <v>3178.98</v>
      </c>
      <c r="F207" s="85">
        <v>12227.32</v>
      </c>
      <c r="G207" s="85">
        <v>9048.34</v>
      </c>
    </row>
    <row r="208" spans="1:7" x14ac:dyDescent="0.3">
      <c r="A208" s="84">
        <v>2026</v>
      </c>
      <c r="B208" s="84" t="s">
        <v>393</v>
      </c>
      <c r="C208" s="84">
        <v>7</v>
      </c>
      <c r="D208" s="84">
        <v>27</v>
      </c>
      <c r="E208" s="85">
        <v>3178.98</v>
      </c>
      <c r="F208" s="85">
        <v>13936.58</v>
      </c>
      <c r="G208" s="85">
        <v>10757.6</v>
      </c>
    </row>
    <row r="209" spans="1:7" x14ac:dyDescent="0.3">
      <c r="A209" s="84">
        <v>2026</v>
      </c>
      <c r="B209" s="84" t="s">
        <v>393</v>
      </c>
      <c r="C209" s="84">
        <v>7</v>
      </c>
      <c r="D209" s="84">
        <v>28</v>
      </c>
      <c r="E209" s="85">
        <v>3178.98</v>
      </c>
      <c r="F209" s="85">
        <v>14577.08</v>
      </c>
      <c r="G209" s="85">
        <v>11398.1</v>
      </c>
    </row>
    <row r="210" spans="1:7" x14ac:dyDescent="0.3">
      <c r="A210" s="84">
        <v>2026</v>
      </c>
      <c r="B210" s="84" t="s">
        <v>393</v>
      </c>
      <c r="C210" s="84">
        <v>7</v>
      </c>
      <c r="D210" s="84">
        <v>29</v>
      </c>
      <c r="E210" s="85">
        <v>3178.98</v>
      </c>
      <c r="F210" s="85">
        <v>15216.46</v>
      </c>
      <c r="G210" s="85">
        <v>12037.48</v>
      </c>
    </row>
    <row r="211" spans="1:7" x14ac:dyDescent="0.3">
      <c r="A211" s="84">
        <v>2026</v>
      </c>
      <c r="B211" s="84" t="s">
        <v>393</v>
      </c>
      <c r="C211" s="84">
        <v>7</v>
      </c>
      <c r="D211" s="84">
        <v>30</v>
      </c>
      <c r="E211" s="85">
        <v>3178.98</v>
      </c>
      <c r="F211" s="85">
        <v>16964.78</v>
      </c>
      <c r="G211" s="85">
        <v>13785.8</v>
      </c>
    </row>
    <row r="212" spans="1:7" x14ac:dyDescent="0.3">
      <c r="A212" s="84">
        <v>2026</v>
      </c>
      <c r="B212" s="84" t="s">
        <v>393</v>
      </c>
      <c r="C212" s="84">
        <v>8</v>
      </c>
      <c r="D212" s="84">
        <v>1</v>
      </c>
      <c r="E212" s="85">
        <v>3375.26</v>
      </c>
      <c r="F212" s="85">
        <v>1607.34</v>
      </c>
      <c r="G212" s="85">
        <v>-1767.92</v>
      </c>
    </row>
    <row r="213" spans="1:7" x14ac:dyDescent="0.3">
      <c r="A213" s="84">
        <v>2026</v>
      </c>
      <c r="B213" s="84" t="s">
        <v>393</v>
      </c>
      <c r="C213" s="84">
        <v>8</v>
      </c>
      <c r="D213" s="84">
        <v>2</v>
      </c>
      <c r="E213" s="85">
        <v>3375.26</v>
      </c>
      <c r="F213" s="85">
        <v>1901.76</v>
      </c>
      <c r="G213" s="85">
        <v>-1473.5</v>
      </c>
    </row>
    <row r="214" spans="1:7" x14ac:dyDescent="0.3">
      <c r="A214" s="84">
        <v>2026</v>
      </c>
      <c r="B214" s="84" t="s">
        <v>393</v>
      </c>
      <c r="C214" s="84">
        <v>8</v>
      </c>
      <c r="D214" s="84">
        <v>3</v>
      </c>
      <c r="E214" s="85">
        <v>3375.26</v>
      </c>
      <c r="F214" s="85">
        <v>2196.7399999999998</v>
      </c>
      <c r="G214" s="85">
        <v>-1178.52</v>
      </c>
    </row>
    <row r="215" spans="1:7" x14ac:dyDescent="0.3">
      <c r="A215" s="84">
        <v>2026</v>
      </c>
      <c r="B215" s="84" t="s">
        <v>393</v>
      </c>
      <c r="C215" s="84">
        <v>8</v>
      </c>
      <c r="D215" s="84">
        <v>4</v>
      </c>
      <c r="E215" s="85">
        <v>3375.26</v>
      </c>
      <c r="F215" s="85">
        <v>2490.88</v>
      </c>
      <c r="G215" s="85">
        <v>-884.38</v>
      </c>
    </row>
    <row r="216" spans="1:7" x14ac:dyDescent="0.3">
      <c r="A216" s="84">
        <v>2026</v>
      </c>
      <c r="B216" s="84" t="s">
        <v>393</v>
      </c>
      <c r="C216" s="84">
        <v>8</v>
      </c>
      <c r="D216" s="84">
        <v>5</v>
      </c>
      <c r="E216" s="85">
        <v>3375.26</v>
      </c>
      <c r="F216" s="85">
        <v>2785.58</v>
      </c>
      <c r="G216" s="85">
        <v>-589.67999999999995</v>
      </c>
    </row>
    <row r="217" spans="1:7" x14ac:dyDescent="0.3">
      <c r="A217" s="84">
        <v>2026</v>
      </c>
      <c r="B217" s="84" t="s">
        <v>393</v>
      </c>
      <c r="C217" s="84">
        <v>8</v>
      </c>
      <c r="D217" s="84">
        <v>6</v>
      </c>
      <c r="E217" s="85">
        <v>3375.26</v>
      </c>
      <c r="F217" s="85">
        <v>2982.28</v>
      </c>
      <c r="G217" s="85">
        <v>-392.98</v>
      </c>
    </row>
    <row r="218" spans="1:7" x14ac:dyDescent="0.3">
      <c r="A218" s="84">
        <v>2026</v>
      </c>
      <c r="B218" s="84" t="s">
        <v>393</v>
      </c>
      <c r="C218" s="84">
        <v>8</v>
      </c>
      <c r="D218" s="84">
        <v>7</v>
      </c>
      <c r="E218" s="85">
        <v>3375.26</v>
      </c>
      <c r="F218" s="85">
        <v>3178.98</v>
      </c>
      <c r="G218" s="85">
        <v>-196.28</v>
      </c>
    </row>
    <row r="219" spans="1:7" x14ac:dyDescent="0.3">
      <c r="A219" s="84">
        <v>2026</v>
      </c>
      <c r="B219" s="84" t="s">
        <v>393</v>
      </c>
      <c r="C219" s="84">
        <v>8</v>
      </c>
      <c r="D219" s="84">
        <v>8</v>
      </c>
      <c r="E219" s="85">
        <v>3375.26</v>
      </c>
      <c r="F219" s="85">
        <v>3375.26</v>
      </c>
      <c r="G219" s="85">
        <v>0</v>
      </c>
    </row>
    <row r="220" spans="1:7" x14ac:dyDescent="0.3">
      <c r="A220" s="84">
        <v>2026</v>
      </c>
      <c r="B220" s="84" t="s">
        <v>393</v>
      </c>
      <c r="C220" s="84">
        <v>8</v>
      </c>
      <c r="D220" s="84">
        <v>9</v>
      </c>
      <c r="E220" s="85">
        <v>3375.26</v>
      </c>
      <c r="F220" s="85">
        <v>3572.38</v>
      </c>
      <c r="G220" s="85">
        <v>197.12</v>
      </c>
    </row>
    <row r="221" spans="1:7" x14ac:dyDescent="0.3">
      <c r="A221" s="84">
        <v>2026</v>
      </c>
      <c r="B221" s="84" t="s">
        <v>393</v>
      </c>
      <c r="C221" s="84">
        <v>8</v>
      </c>
      <c r="D221" s="84">
        <v>10</v>
      </c>
      <c r="E221" s="85">
        <v>3375.26</v>
      </c>
      <c r="F221" s="85">
        <v>3768.8</v>
      </c>
      <c r="G221" s="85">
        <v>393.54</v>
      </c>
    </row>
    <row r="222" spans="1:7" x14ac:dyDescent="0.3">
      <c r="A222" s="84">
        <v>2026</v>
      </c>
      <c r="B222" s="84" t="s">
        <v>393</v>
      </c>
      <c r="C222" s="84">
        <v>8</v>
      </c>
      <c r="D222" s="84">
        <v>11</v>
      </c>
      <c r="E222" s="85">
        <v>3375.26</v>
      </c>
      <c r="F222" s="85">
        <v>4161.3599999999997</v>
      </c>
      <c r="G222" s="85">
        <v>786.1</v>
      </c>
    </row>
    <row r="223" spans="1:7" x14ac:dyDescent="0.3">
      <c r="A223" s="84">
        <v>2026</v>
      </c>
      <c r="B223" s="84" t="s">
        <v>393</v>
      </c>
      <c r="C223" s="84">
        <v>8</v>
      </c>
      <c r="D223" s="84">
        <v>12</v>
      </c>
      <c r="E223" s="85">
        <v>3375.26</v>
      </c>
      <c r="F223" s="85">
        <v>4554.8999999999996</v>
      </c>
      <c r="G223" s="85">
        <v>1179.6400000000001</v>
      </c>
    </row>
    <row r="224" spans="1:7" x14ac:dyDescent="0.3">
      <c r="A224" s="84">
        <v>2026</v>
      </c>
      <c r="B224" s="84" t="s">
        <v>393</v>
      </c>
      <c r="C224" s="84">
        <v>8</v>
      </c>
      <c r="D224" s="84">
        <v>13</v>
      </c>
      <c r="E224" s="85">
        <v>3375.26</v>
      </c>
      <c r="F224" s="85">
        <v>4948.16</v>
      </c>
      <c r="G224" s="85">
        <v>1572.9</v>
      </c>
    </row>
    <row r="225" spans="1:7" x14ac:dyDescent="0.3">
      <c r="A225" s="84">
        <v>2026</v>
      </c>
      <c r="B225" s="84" t="s">
        <v>393</v>
      </c>
      <c r="C225" s="84">
        <v>8</v>
      </c>
      <c r="D225" s="84">
        <v>14</v>
      </c>
      <c r="E225" s="85">
        <v>3375.26</v>
      </c>
      <c r="F225" s="85">
        <v>5341.98</v>
      </c>
      <c r="G225" s="85">
        <v>1966.72</v>
      </c>
    </row>
    <row r="226" spans="1:7" x14ac:dyDescent="0.3">
      <c r="A226" s="84">
        <v>2026</v>
      </c>
      <c r="B226" s="84" t="s">
        <v>393</v>
      </c>
      <c r="C226" s="84">
        <v>8</v>
      </c>
      <c r="D226" s="84">
        <v>15</v>
      </c>
      <c r="E226" s="85">
        <v>3375.26</v>
      </c>
      <c r="F226" s="85">
        <v>5734.26</v>
      </c>
      <c r="G226" s="85">
        <v>2359</v>
      </c>
    </row>
    <row r="227" spans="1:7" x14ac:dyDescent="0.3">
      <c r="A227" s="84">
        <v>2026</v>
      </c>
      <c r="B227" s="84" t="s">
        <v>393</v>
      </c>
      <c r="C227" s="84">
        <v>8</v>
      </c>
      <c r="D227" s="84">
        <v>16</v>
      </c>
      <c r="E227" s="85">
        <v>3375.26</v>
      </c>
      <c r="F227" s="85">
        <v>6128.22</v>
      </c>
      <c r="G227" s="85">
        <v>2752.96</v>
      </c>
    </row>
    <row r="228" spans="1:7" x14ac:dyDescent="0.3">
      <c r="A228" s="84">
        <v>2026</v>
      </c>
      <c r="B228" s="84" t="s">
        <v>393</v>
      </c>
      <c r="C228" s="84">
        <v>8</v>
      </c>
      <c r="D228" s="84">
        <v>17</v>
      </c>
      <c r="E228" s="85">
        <v>3375.26</v>
      </c>
      <c r="F228" s="85">
        <v>6520.5</v>
      </c>
      <c r="G228" s="85">
        <v>3145.24</v>
      </c>
    </row>
    <row r="229" spans="1:7" x14ac:dyDescent="0.3">
      <c r="A229" s="84">
        <v>2026</v>
      </c>
      <c r="B229" s="84" t="s">
        <v>393</v>
      </c>
      <c r="C229" s="84">
        <v>8</v>
      </c>
      <c r="D229" s="84">
        <v>18</v>
      </c>
      <c r="E229" s="85">
        <v>3375.26</v>
      </c>
      <c r="F229" s="85">
        <v>6914.04</v>
      </c>
      <c r="G229" s="85">
        <v>3538.78</v>
      </c>
    </row>
    <row r="230" spans="1:7" x14ac:dyDescent="0.3">
      <c r="A230" s="84">
        <v>2026</v>
      </c>
      <c r="B230" s="84" t="s">
        <v>393</v>
      </c>
      <c r="C230" s="84">
        <v>8</v>
      </c>
      <c r="D230" s="84">
        <v>19</v>
      </c>
      <c r="E230" s="85">
        <v>3375.26</v>
      </c>
      <c r="F230" s="85">
        <v>7307.16</v>
      </c>
      <c r="G230" s="85">
        <v>3931.9</v>
      </c>
    </row>
    <row r="231" spans="1:7" x14ac:dyDescent="0.3">
      <c r="A231" s="84">
        <v>2026</v>
      </c>
      <c r="B231" s="84" t="s">
        <v>393</v>
      </c>
      <c r="C231" s="84">
        <v>8</v>
      </c>
      <c r="D231" s="84">
        <v>20</v>
      </c>
      <c r="E231" s="85">
        <v>3375.26</v>
      </c>
      <c r="F231" s="85">
        <v>7700.14</v>
      </c>
      <c r="G231" s="85">
        <v>4324.88</v>
      </c>
    </row>
    <row r="232" spans="1:7" x14ac:dyDescent="0.3">
      <c r="A232" s="84">
        <v>2026</v>
      </c>
      <c r="B232" s="84" t="s">
        <v>393</v>
      </c>
      <c r="C232" s="84">
        <v>8</v>
      </c>
      <c r="D232" s="84">
        <v>21</v>
      </c>
      <c r="E232" s="85">
        <v>3375.26</v>
      </c>
      <c r="F232" s="85">
        <v>8289.5400000000009</v>
      </c>
      <c r="G232" s="85">
        <v>4914.28</v>
      </c>
    </row>
    <row r="233" spans="1:7" x14ac:dyDescent="0.3">
      <c r="A233" s="84">
        <v>2026</v>
      </c>
      <c r="B233" s="84" t="s">
        <v>393</v>
      </c>
      <c r="C233" s="84">
        <v>8</v>
      </c>
      <c r="D233" s="84">
        <v>22</v>
      </c>
      <c r="E233" s="85">
        <v>3375.26</v>
      </c>
      <c r="F233" s="85">
        <v>8928.2199999999993</v>
      </c>
      <c r="G233" s="85">
        <v>5552.96</v>
      </c>
    </row>
    <row r="234" spans="1:7" x14ac:dyDescent="0.3">
      <c r="A234" s="84">
        <v>2026</v>
      </c>
      <c r="B234" s="84" t="s">
        <v>393</v>
      </c>
      <c r="C234" s="84">
        <v>8</v>
      </c>
      <c r="D234" s="84">
        <v>23</v>
      </c>
      <c r="E234" s="85">
        <v>3375.26</v>
      </c>
      <c r="F234" s="85">
        <v>9568.7199999999993</v>
      </c>
      <c r="G234" s="85">
        <v>6193.46</v>
      </c>
    </row>
    <row r="235" spans="1:7" x14ac:dyDescent="0.3">
      <c r="A235" s="84">
        <v>2026</v>
      </c>
      <c r="B235" s="84" t="s">
        <v>393</v>
      </c>
      <c r="C235" s="84">
        <v>8</v>
      </c>
      <c r="D235" s="84">
        <v>24</v>
      </c>
      <c r="E235" s="85">
        <v>3375.26</v>
      </c>
      <c r="F235" s="85">
        <v>10207.959999999999</v>
      </c>
      <c r="G235" s="85">
        <v>6832.7</v>
      </c>
    </row>
    <row r="236" spans="1:7" x14ac:dyDescent="0.3">
      <c r="A236" s="84">
        <v>2026</v>
      </c>
      <c r="B236" s="84" t="s">
        <v>393</v>
      </c>
      <c r="C236" s="84">
        <v>8</v>
      </c>
      <c r="D236" s="84">
        <v>25</v>
      </c>
      <c r="E236" s="85">
        <v>3375.26</v>
      </c>
      <c r="F236" s="85">
        <v>10848.04</v>
      </c>
      <c r="G236" s="85">
        <v>7472.78</v>
      </c>
    </row>
    <row r="237" spans="1:7" x14ac:dyDescent="0.3">
      <c r="A237" s="84">
        <v>2026</v>
      </c>
      <c r="B237" s="84" t="s">
        <v>393</v>
      </c>
      <c r="C237" s="84">
        <v>8</v>
      </c>
      <c r="D237" s="84">
        <v>26</v>
      </c>
      <c r="E237" s="85">
        <v>3375.26</v>
      </c>
      <c r="F237" s="85">
        <v>12227.32</v>
      </c>
      <c r="G237" s="85">
        <v>8852.06</v>
      </c>
    </row>
    <row r="238" spans="1:7" x14ac:dyDescent="0.3">
      <c r="A238" s="84">
        <v>2026</v>
      </c>
      <c r="B238" s="84" t="s">
        <v>393</v>
      </c>
      <c r="C238" s="84">
        <v>8</v>
      </c>
      <c r="D238" s="84">
        <v>27</v>
      </c>
      <c r="E238" s="85">
        <v>3375.26</v>
      </c>
      <c r="F238" s="85">
        <v>13936.58</v>
      </c>
      <c r="G238" s="85">
        <v>10561.32</v>
      </c>
    </row>
    <row r="239" spans="1:7" x14ac:dyDescent="0.3">
      <c r="A239" s="84">
        <v>2026</v>
      </c>
      <c r="B239" s="84" t="s">
        <v>393</v>
      </c>
      <c r="C239" s="84">
        <v>8</v>
      </c>
      <c r="D239" s="84">
        <v>28</v>
      </c>
      <c r="E239" s="85">
        <v>3375.26</v>
      </c>
      <c r="F239" s="85">
        <v>14577.08</v>
      </c>
      <c r="G239" s="85">
        <v>11201.82</v>
      </c>
    </row>
    <row r="240" spans="1:7" x14ac:dyDescent="0.3">
      <c r="A240" s="84">
        <v>2026</v>
      </c>
      <c r="B240" s="84" t="s">
        <v>393</v>
      </c>
      <c r="C240" s="84">
        <v>8</v>
      </c>
      <c r="D240" s="84">
        <v>29</v>
      </c>
      <c r="E240" s="85">
        <v>3375.26</v>
      </c>
      <c r="F240" s="85">
        <v>15216.46</v>
      </c>
      <c r="G240" s="85">
        <v>11841.2</v>
      </c>
    </row>
    <row r="241" spans="1:7" x14ac:dyDescent="0.3">
      <c r="A241" s="84">
        <v>2026</v>
      </c>
      <c r="B241" s="84" t="s">
        <v>393</v>
      </c>
      <c r="C241" s="84">
        <v>8</v>
      </c>
      <c r="D241" s="84">
        <v>30</v>
      </c>
      <c r="E241" s="85">
        <v>3375.26</v>
      </c>
      <c r="F241" s="85">
        <v>16964.78</v>
      </c>
      <c r="G241" s="85">
        <v>13589.52</v>
      </c>
    </row>
    <row r="242" spans="1:7" x14ac:dyDescent="0.3">
      <c r="A242" s="84">
        <v>2026</v>
      </c>
      <c r="B242" s="84" t="s">
        <v>393</v>
      </c>
      <c r="C242" s="84">
        <v>9</v>
      </c>
      <c r="D242" s="84">
        <v>1</v>
      </c>
      <c r="E242" s="85">
        <v>3572.38</v>
      </c>
      <c r="F242" s="85">
        <v>1607.34</v>
      </c>
      <c r="G242" s="85">
        <v>-1965.04</v>
      </c>
    </row>
    <row r="243" spans="1:7" x14ac:dyDescent="0.3">
      <c r="A243" s="84">
        <v>2026</v>
      </c>
      <c r="B243" s="84" t="s">
        <v>393</v>
      </c>
      <c r="C243" s="84">
        <v>9</v>
      </c>
      <c r="D243" s="84">
        <v>2</v>
      </c>
      <c r="E243" s="85">
        <v>3572.38</v>
      </c>
      <c r="F243" s="85">
        <v>1901.76</v>
      </c>
      <c r="G243" s="85">
        <v>-1670.62</v>
      </c>
    </row>
    <row r="244" spans="1:7" x14ac:dyDescent="0.3">
      <c r="A244" s="84">
        <v>2026</v>
      </c>
      <c r="B244" s="84" t="s">
        <v>393</v>
      </c>
      <c r="C244" s="84">
        <v>9</v>
      </c>
      <c r="D244" s="84">
        <v>3</v>
      </c>
      <c r="E244" s="85">
        <v>3572.38</v>
      </c>
      <c r="F244" s="85">
        <v>2196.7399999999998</v>
      </c>
      <c r="G244" s="85">
        <v>-1375.64</v>
      </c>
    </row>
    <row r="245" spans="1:7" x14ac:dyDescent="0.3">
      <c r="A245" s="84">
        <v>2026</v>
      </c>
      <c r="B245" s="84" t="s">
        <v>393</v>
      </c>
      <c r="C245" s="84">
        <v>9</v>
      </c>
      <c r="D245" s="84">
        <v>4</v>
      </c>
      <c r="E245" s="85">
        <v>3572.38</v>
      </c>
      <c r="F245" s="85">
        <v>2490.88</v>
      </c>
      <c r="G245" s="85">
        <v>-1081.5</v>
      </c>
    </row>
    <row r="246" spans="1:7" x14ac:dyDescent="0.3">
      <c r="A246" s="84">
        <v>2026</v>
      </c>
      <c r="B246" s="84" t="s">
        <v>393</v>
      </c>
      <c r="C246" s="84">
        <v>9</v>
      </c>
      <c r="D246" s="84">
        <v>5</v>
      </c>
      <c r="E246" s="85">
        <v>3572.38</v>
      </c>
      <c r="F246" s="85">
        <v>2785.58</v>
      </c>
      <c r="G246" s="85">
        <v>-786.8</v>
      </c>
    </row>
    <row r="247" spans="1:7" x14ac:dyDescent="0.3">
      <c r="A247" s="84">
        <v>2026</v>
      </c>
      <c r="B247" s="84" t="s">
        <v>393</v>
      </c>
      <c r="C247" s="84">
        <v>9</v>
      </c>
      <c r="D247" s="84">
        <v>6</v>
      </c>
      <c r="E247" s="85">
        <v>3572.38</v>
      </c>
      <c r="F247" s="85">
        <v>2982.28</v>
      </c>
      <c r="G247" s="85">
        <v>-590.1</v>
      </c>
    </row>
    <row r="248" spans="1:7" x14ac:dyDescent="0.3">
      <c r="A248" s="84">
        <v>2026</v>
      </c>
      <c r="B248" s="84" t="s">
        <v>393</v>
      </c>
      <c r="C248" s="84">
        <v>9</v>
      </c>
      <c r="D248" s="84">
        <v>7</v>
      </c>
      <c r="E248" s="85">
        <v>3572.38</v>
      </c>
      <c r="F248" s="85">
        <v>3178.98</v>
      </c>
      <c r="G248" s="85">
        <v>-393.4</v>
      </c>
    </row>
    <row r="249" spans="1:7" x14ac:dyDescent="0.3">
      <c r="A249" s="84">
        <v>2026</v>
      </c>
      <c r="B249" s="84" t="s">
        <v>393</v>
      </c>
      <c r="C249" s="84">
        <v>9</v>
      </c>
      <c r="D249" s="84">
        <v>8</v>
      </c>
      <c r="E249" s="85">
        <v>3572.38</v>
      </c>
      <c r="F249" s="85">
        <v>3375.26</v>
      </c>
      <c r="G249" s="85">
        <v>-197.12</v>
      </c>
    </row>
    <row r="250" spans="1:7" x14ac:dyDescent="0.3">
      <c r="A250" s="84">
        <v>2026</v>
      </c>
      <c r="B250" s="84" t="s">
        <v>393</v>
      </c>
      <c r="C250" s="84">
        <v>9</v>
      </c>
      <c r="D250" s="84">
        <v>9</v>
      </c>
      <c r="E250" s="85">
        <v>3572.38</v>
      </c>
      <c r="F250" s="85">
        <v>3572.38</v>
      </c>
      <c r="G250" s="85">
        <v>0</v>
      </c>
    </row>
    <row r="251" spans="1:7" x14ac:dyDescent="0.3">
      <c r="A251" s="84">
        <v>2026</v>
      </c>
      <c r="B251" s="84" t="s">
        <v>393</v>
      </c>
      <c r="C251" s="84">
        <v>9</v>
      </c>
      <c r="D251" s="84">
        <v>10</v>
      </c>
      <c r="E251" s="85">
        <v>3572.38</v>
      </c>
      <c r="F251" s="85">
        <v>3768.8</v>
      </c>
      <c r="G251" s="85">
        <v>196.42</v>
      </c>
    </row>
    <row r="252" spans="1:7" x14ac:dyDescent="0.3">
      <c r="A252" s="84">
        <v>2026</v>
      </c>
      <c r="B252" s="84" t="s">
        <v>393</v>
      </c>
      <c r="C252" s="84">
        <v>9</v>
      </c>
      <c r="D252" s="84">
        <v>11</v>
      </c>
      <c r="E252" s="85">
        <v>3572.38</v>
      </c>
      <c r="F252" s="85">
        <v>4161.3599999999997</v>
      </c>
      <c r="G252" s="85">
        <v>588.98</v>
      </c>
    </row>
    <row r="253" spans="1:7" x14ac:dyDescent="0.3">
      <c r="A253" s="84">
        <v>2026</v>
      </c>
      <c r="B253" s="84" t="s">
        <v>393</v>
      </c>
      <c r="C253" s="84">
        <v>9</v>
      </c>
      <c r="D253" s="84">
        <v>12</v>
      </c>
      <c r="E253" s="85">
        <v>3572.38</v>
      </c>
      <c r="F253" s="85">
        <v>4554.8999999999996</v>
      </c>
      <c r="G253" s="85">
        <v>982.52</v>
      </c>
    </row>
    <row r="254" spans="1:7" x14ac:dyDescent="0.3">
      <c r="A254" s="84">
        <v>2026</v>
      </c>
      <c r="B254" s="84" t="s">
        <v>393</v>
      </c>
      <c r="C254" s="84">
        <v>9</v>
      </c>
      <c r="D254" s="84">
        <v>13</v>
      </c>
      <c r="E254" s="85">
        <v>3572.38</v>
      </c>
      <c r="F254" s="85">
        <v>4948.16</v>
      </c>
      <c r="G254" s="85">
        <v>1375.78</v>
      </c>
    </row>
    <row r="255" spans="1:7" x14ac:dyDescent="0.3">
      <c r="A255" s="84">
        <v>2026</v>
      </c>
      <c r="B255" s="84" t="s">
        <v>393</v>
      </c>
      <c r="C255" s="84">
        <v>9</v>
      </c>
      <c r="D255" s="84">
        <v>14</v>
      </c>
      <c r="E255" s="85">
        <v>3572.38</v>
      </c>
      <c r="F255" s="85">
        <v>5341.98</v>
      </c>
      <c r="G255" s="85">
        <v>1769.6</v>
      </c>
    </row>
    <row r="256" spans="1:7" x14ac:dyDescent="0.3">
      <c r="A256" s="84">
        <v>2026</v>
      </c>
      <c r="B256" s="84" t="s">
        <v>393</v>
      </c>
      <c r="C256" s="84">
        <v>9</v>
      </c>
      <c r="D256" s="84">
        <v>15</v>
      </c>
      <c r="E256" s="85">
        <v>3572.38</v>
      </c>
      <c r="F256" s="85">
        <v>5734.26</v>
      </c>
      <c r="G256" s="85">
        <v>2161.88</v>
      </c>
    </row>
    <row r="257" spans="1:7" x14ac:dyDescent="0.3">
      <c r="A257" s="84">
        <v>2026</v>
      </c>
      <c r="B257" s="84" t="s">
        <v>393</v>
      </c>
      <c r="C257" s="84">
        <v>9</v>
      </c>
      <c r="D257" s="84">
        <v>16</v>
      </c>
      <c r="E257" s="85">
        <v>3572.38</v>
      </c>
      <c r="F257" s="85">
        <v>6128.22</v>
      </c>
      <c r="G257" s="85">
        <v>2555.84</v>
      </c>
    </row>
    <row r="258" spans="1:7" x14ac:dyDescent="0.3">
      <c r="A258" s="84">
        <v>2026</v>
      </c>
      <c r="B258" s="84" t="s">
        <v>393</v>
      </c>
      <c r="C258" s="84">
        <v>9</v>
      </c>
      <c r="D258" s="84">
        <v>17</v>
      </c>
      <c r="E258" s="85">
        <v>3572.38</v>
      </c>
      <c r="F258" s="85">
        <v>6520.5</v>
      </c>
      <c r="G258" s="85">
        <v>2948.12</v>
      </c>
    </row>
    <row r="259" spans="1:7" x14ac:dyDescent="0.3">
      <c r="A259" s="84">
        <v>2026</v>
      </c>
      <c r="B259" s="84" t="s">
        <v>393</v>
      </c>
      <c r="C259" s="84">
        <v>9</v>
      </c>
      <c r="D259" s="84">
        <v>18</v>
      </c>
      <c r="E259" s="85">
        <v>3572.38</v>
      </c>
      <c r="F259" s="85">
        <v>6914.04</v>
      </c>
      <c r="G259" s="85">
        <v>3341.66</v>
      </c>
    </row>
    <row r="260" spans="1:7" x14ac:dyDescent="0.3">
      <c r="A260" s="84">
        <v>2026</v>
      </c>
      <c r="B260" s="84" t="s">
        <v>393</v>
      </c>
      <c r="C260" s="84">
        <v>9</v>
      </c>
      <c r="D260" s="84">
        <v>19</v>
      </c>
      <c r="E260" s="85">
        <v>3572.38</v>
      </c>
      <c r="F260" s="85">
        <v>7307.16</v>
      </c>
      <c r="G260" s="85">
        <v>3734.78</v>
      </c>
    </row>
    <row r="261" spans="1:7" x14ac:dyDescent="0.3">
      <c r="A261" s="84">
        <v>2026</v>
      </c>
      <c r="B261" s="84" t="s">
        <v>393</v>
      </c>
      <c r="C261" s="84">
        <v>9</v>
      </c>
      <c r="D261" s="84">
        <v>20</v>
      </c>
      <c r="E261" s="85">
        <v>3572.38</v>
      </c>
      <c r="F261" s="85">
        <v>7700.14</v>
      </c>
      <c r="G261" s="85">
        <v>4127.76</v>
      </c>
    </row>
    <row r="262" spans="1:7" x14ac:dyDescent="0.3">
      <c r="A262" s="84">
        <v>2026</v>
      </c>
      <c r="B262" s="84" t="s">
        <v>393</v>
      </c>
      <c r="C262" s="84">
        <v>9</v>
      </c>
      <c r="D262" s="84">
        <v>21</v>
      </c>
      <c r="E262" s="85">
        <v>3572.38</v>
      </c>
      <c r="F262" s="85">
        <v>8289.5400000000009</v>
      </c>
      <c r="G262" s="85">
        <v>4717.16</v>
      </c>
    </row>
    <row r="263" spans="1:7" x14ac:dyDescent="0.3">
      <c r="A263" s="84">
        <v>2026</v>
      </c>
      <c r="B263" s="84" t="s">
        <v>393</v>
      </c>
      <c r="C263" s="84">
        <v>9</v>
      </c>
      <c r="D263" s="84">
        <v>22</v>
      </c>
      <c r="E263" s="85">
        <v>3572.38</v>
      </c>
      <c r="F263" s="85">
        <v>8928.2199999999993</v>
      </c>
      <c r="G263" s="85">
        <v>5355.84</v>
      </c>
    </row>
    <row r="264" spans="1:7" x14ac:dyDescent="0.3">
      <c r="A264" s="84">
        <v>2026</v>
      </c>
      <c r="B264" s="84" t="s">
        <v>393</v>
      </c>
      <c r="C264" s="84">
        <v>9</v>
      </c>
      <c r="D264" s="84">
        <v>23</v>
      </c>
      <c r="E264" s="85">
        <v>3572.38</v>
      </c>
      <c r="F264" s="85">
        <v>9568.7199999999993</v>
      </c>
      <c r="G264" s="85">
        <v>5996.34</v>
      </c>
    </row>
    <row r="265" spans="1:7" x14ac:dyDescent="0.3">
      <c r="A265" s="84">
        <v>2026</v>
      </c>
      <c r="B265" s="84" t="s">
        <v>393</v>
      </c>
      <c r="C265" s="84">
        <v>9</v>
      </c>
      <c r="D265" s="84">
        <v>24</v>
      </c>
      <c r="E265" s="85">
        <v>3572.38</v>
      </c>
      <c r="F265" s="85">
        <v>10207.959999999999</v>
      </c>
      <c r="G265" s="85">
        <v>6635.58</v>
      </c>
    </row>
    <row r="266" spans="1:7" x14ac:dyDescent="0.3">
      <c r="A266" s="84">
        <v>2026</v>
      </c>
      <c r="B266" s="84" t="s">
        <v>393</v>
      </c>
      <c r="C266" s="84">
        <v>9</v>
      </c>
      <c r="D266" s="84">
        <v>25</v>
      </c>
      <c r="E266" s="85">
        <v>3572.38</v>
      </c>
      <c r="F266" s="85">
        <v>10848.04</v>
      </c>
      <c r="G266" s="85">
        <v>7275.66</v>
      </c>
    </row>
    <row r="267" spans="1:7" x14ac:dyDescent="0.3">
      <c r="A267" s="84">
        <v>2026</v>
      </c>
      <c r="B267" s="84" t="s">
        <v>393</v>
      </c>
      <c r="C267" s="84">
        <v>9</v>
      </c>
      <c r="D267" s="84">
        <v>26</v>
      </c>
      <c r="E267" s="85">
        <v>3572.38</v>
      </c>
      <c r="F267" s="85">
        <v>12227.32</v>
      </c>
      <c r="G267" s="85">
        <v>8654.94</v>
      </c>
    </row>
    <row r="268" spans="1:7" x14ac:dyDescent="0.3">
      <c r="A268" s="84">
        <v>2026</v>
      </c>
      <c r="B268" s="84" t="s">
        <v>393</v>
      </c>
      <c r="C268" s="84">
        <v>9</v>
      </c>
      <c r="D268" s="84">
        <v>27</v>
      </c>
      <c r="E268" s="85">
        <v>3572.38</v>
      </c>
      <c r="F268" s="85">
        <v>13936.58</v>
      </c>
      <c r="G268" s="85">
        <v>10364.200000000001</v>
      </c>
    </row>
    <row r="269" spans="1:7" x14ac:dyDescent="0.3">
      <c r="A269" s="84">
        <v>2026</v>
      </c>
      <c r="B269" s="84" t="s">
        <v>393</v>
      </c>
      <c r="C269" s="84">
        <v>9</v>
      </c>
      <c r="D269" s="84">
        <v>28</v>
      </c>
      <c r="E269" s="85">
        <v>3572.38</v>
      </c>
      <c r="F269" s="85">
        <v>14577.08</v>
      </c>
      <c r="G269" s="85">
        <v>11004.7</v>
      </c>
    </row>
    <row r="270" spans="1:7" x14ac:dyDescent="0.3">
      <c r="A270" s="84">
        <v>2026</v>
      </c>
      <c r="B270" s="84" t="s">
        <v>393</v>
      </c>
      <c r="C270" s="84">
        <v>9</v>
      </c>
      <c r="D270" s="84">
        <v>29</v>
      </c>
      <c r="E270" s="85">
        <v>3572.38</v>
      </c>
      <c r="F270" s="85">
        <v>15216.46</v>
      </c>
      <c r="G270" s="85">
        <v>11644.08</v>
      </c>
    </row>
    <row r="271" spans="1:7" x14ac:dyDescent="0.3">
      <c r="A271" s="84">
        <v>2026</v>
      </c>
      <c r="B271" s="84" t="s">
        <v>393</v>
      </c>
      <c r="C271" s="84">
        <v>9</v>
      </c>
      <c r="D271" s="84">
        <v>30</v>
      </c>
      <c r="E271" s="85">
        <v>3572.38</v>
      </c>
      <c r="F271" s="85">
        <v>16964.78</v>
      </c>
      <c r="G271" s="85">
        <v>13392.4</v>
      </c>
    </row>
    <row r="272" spans="1:7" x14ac:dyDescent="0.3">
      <c r="A272" s="84">
        <v>2026</v>
      </c>
      <c r="B272" s="84" t="s">
        <v>393</v>
      </c>
      <c r="C272" s="84">
        <v>10</v>
      </c>
      <c r="D272" s="84">
        <v>1</v>
      </c>
      <c r="E272" s="85">
        <v>3768.8</v>
      </c>
      <c r="F272" s="85">
        <v>1607.34</v>
      </c>
      <c r="G272" s="85">
        <v>-2161.46</v>
      </c>
    </row>
    <row r="273" spans="1:7" x14ac:dyDescent="0.3">
      <c r="A273" s="84">
        <v>2026</v>
      </c>
      <c r="B273" s="84" t="s">
        <v>393</v>
      </c>
      <c r="C273" s="84">
        <v>10</v>
      </c>
      <c r="D273" s="84">
        <v>2</v>
      </c>
      <c r="E273" s="85">
        <v>3768.8</v>
      </c>
      <c r="F273" s="85">
        <v>1901.76</v>
      </c>
      <c r="G273" s="85">
        <v>-1867.04</v>
      </c>
    </row>
    <row r="274" spans="1:7" x14ac:dyDescent="0.3">
      <c r="A274" s="84">
        <v>2026</v>
      </c>
      <c r="B274" s="84" t="s">
        <v>393</v>
      </c>
      <c r="C274" s="84">
        <v>10</v>
      </c>
      <c r="D274" s="84">
        <v>3</v>
      </c>
      <c r="E274" s="85">
        <v>3768.8</v>
      </c>
      <c r="F274" s="85">
        <v>2196.7399999999998</v>
      </c>
      <c r="G274" s="85">
        <v>-1572.06</v>
      </c>
    </row>
    <row r="275" spans="1:7" x14ac:dyDescent="0.3">
      <c r="A275" s="84">
        <v>2026</v>
      </c>
      <c r="B275" s="84" t="s">
        <v>393</v>
      </c>
      <c r="C275" s="84">
        <v>10</v>
      </c>
      <c r="D275" s="84">
        <v>4</v>
      </c>
      <c r="E275" s="85">
        <v>3768.8</v>
      </c>
      <c r="F275" s="85">
        <v>2490.88</v>
      </c>
      <c r="G275" s="85">
        <v>-1277.92</v>
      </c>
    </row>
    <row r="276" spans="1:7" x14ac:dyDescent="0.3">
      <c r="A276" s="84">
        <v>2026</v>
      </c>
      <c r="B276" s="84" t="s">
        <v>393</v>
      </c>
      <c r="C276" s="84">
        <v>10</v>
      </c>
      <c r="D276" s="84">
        <v>5</v>
      </c>
      <c r="E276" s="85">
        <v>3768.8</v>
      </c>
      <c r="F276" s="85">
        <v>2785.58</v>
      </c>
      <c r="G276" s="85">
        <v>-983.22</v>
      </c>
    </row>
    <row r="277" spans="1:7" x14ac:dyDescent="0.3">
      <c r="A277" s="84">
        <v>2026</v>
      </c>
      <c r="B277" s="84" t="s">
        <v>393</v>
      </c>
      <c r="C277" s="84">
        <v>10</v>
      </c>
      <c r="D277" s="84">
        <v>6</v>
      </c>
      <c r="E277" s="85">
        <v>3768.8</v>
      </c>
      <c r="F277" s="85">
        <v>2982.28</v>
      </c>
      <c r="G277" s="85">
        <v>-786.52</v>
      </c>
    </row>
    <row r="278" spans="1:7" x14ac:dyDescent="0.3">
      <c r="A278" s="84">
        <v>2026</v>
      </c>
      <c r="B278" s="84" t="s">
        <v>393</v>
      </c>
      <c r="C278" s="84">
        <v>10</v>
      </c>
      <c r="D278" s="84">
        <v>7</v>
      </c>
      <c r="E278" s="85">
        <v>3768.8</v>
      </c>
      <c r="F278" s="85">
        <v>3178.98</v>
      </c>
      <c r="G278" s="85">
        <v>-589.82000000000005</v>
      </c>
    </row>
    <row r="279" spans="1:7" x14ac:dyDescent="0.3">
      <c r="A279" s="84">
        <v>2026</v>
      </c>
      <c r="B279" s="84" t="s">
        <v>393</v>
      </c>
      <c r="C279" s="84">
        <v>10</v>
      </c>
      <c r="D279" s="84">
        <v>8</v>
      </c>
      <c r="E279" s="85">
        <v>3768.8</v>
      </c>
      <c r="F279" s="85">
        <v>3375.26</v>
      </c>
      <c r="G279" s="85">
        <v>-393.54</v>
      </c>
    </row>
    <row r="280" spans="1:7" x14ac:dyDescent="0.3">
      <c r="A280" s="84">
        <v>2026</v>
      </c>
      <c r="B280" s="84" t="s">
        <v>393</v>
      </c>
      <c r="C280" s="84">
        <v>10</v>
      </c>
      <c r="D280" s="84">
        <v>9</v>
      </c>
      <c r="E280" s="85">
        <v>3768.8</v>
      </c>
      <c r="F280" s="85">
        <v>3572.38</v>
      </c>
      <c r="G280" s="85">
        <v>-196.42</v>
      </c>
    </row>
    <row r="281" spans="1:7" x14ac:dyDescent="0.3">
      <c r="A281" s="84">
        <v>2026</v>
      </c>
      <c r="B281" s="84" t="s">
        <v>393</v>
      </c>
      <c r="C281" s="84">
        <v>10</v>
      </c>
      <c r="D281" s="84">
        <v>10</v>
      </c>
      <c r="E281" s="85">
        <v>3768.8</v>
      </c>
      <c r="F281" s="85">
        <v>3768.8</v>
      </c>
      <c r="G281" s="85">
        <v>0</v>
      </c>
    </row>
    <row r="282" spans="1:7" x14ac:dyDescent="0.3">
      <c r="A282" s="84">
        <v>2026</v>
      </c>
      <c r="B282" s="84" t="s">
        <v>393</v>
      </c>
      <c r="C282" s="84">
        <v>10</v>
      </c>
      <c r="D282" s="84">
        <v>11</v>
      </c>
      <c r="E282" s="85">
        <v>3768.8</v>
      </c>
      <c r="F282" s="85">
        <v>4161.3599999999997</v>
      </c>
      <c r="G282" s="85">
        <v>392.56</v>
      </c>
    </row>
    <row r="283" spans="1:7" x14ac:dyDescent="0.3">
      <c r="A283" s="84">
        <v>2026</v>
      </c>
      <c r="B283" s="84" t="s">
        <v>393</v>
      </c>
      <c r="C283" s="84">
        <v>10</v>
      </c>
      <c r="D283" s="84">
        <v>12</v>
      </c>
      <c r="E283" s="85">
        <v>3768.8</v>
      </c>
      <c r="F283" s="85">
        <v>4554.8999999999996</v>
      </c>
      <c r="G283" s="85">
        <v>786.1</v>
      </c>
    </row>
    <row r="284" spans="1:7" x14ac:dyDescent="0.3">
      <c r="A284" s="84">
        <v>2026</v>
      </c>
      <c r="B284" s="84" t="s">
        <v>393</v>
      </c>
      <c r="C284" s="84">
        <v>10</v>
      </c>
      <c r="D284" s="84">
        <v>13</v>
      </c>
      <c r="E284" s="85">
        <v>3768.8</v>
      </c>
      <c r="F284" s="85">
        <v>4948.16</v>
      </c>
      <c r="G284" s="85">
        <v>1179.3599999999999</v>
      </c>
    </row>
    <row r="285" spans="1:7" x14ac:dyDescent="0.3">
      <c r="A285" s="84">
        <v>2026</v>
      </c>
      <c r="B285" s="84" t="s">
        <v>393</v>
      </c>
      <c r="C285" s="84">
        <v>10</v>
      </c>
      <c r="D285" s="84">
        <v>14</v>
      </c>
      <c r="E285" s="85">
        <v>3768.8</v>
      </c>
      <c r="F285" s="85">
        <v>5341.98</v>
      </c>
      <c r="G285" s="85">
        <v>1573.18</v>
      </c>
    </row>
    <row r="286" spans="1:7" x14ac:dyDescent="0.3">
      <c r="A286" s="84">
        <v>2026</v>
      </c>
      <c r="B286" s="84" t="s">
        <v>393</v>
      </c>
      <c r="C286" s="84">
        <v>10</v>
      </c>
      <c r="D286" s="84">
        <v>15</v>
      </c>
      <c r="E286" s="85">
        <v>3768.8</v>
      </c>
      <c r="F286" s="85">
        <v>5734.26</v>
      </c>
      <c r="G286" s="85">
        <v>1965.46</v>
      </c>
    </row>
    <row r="287" spans="1:7" x14ac:dyDescent="0.3">
      <c r="A287" s="84">
        <v>2026</v>
      </c>
      <c r="B287" s="84" t="s">
        <v>393</v>
      </c>
      <c r="C287" s="84">
        <v>10</v>
      </c>
      <c r="D287" s="84">
        <v>16</v>
      </c>
      <c r="E287" s="85">
        <v>3768.8</v>
      </c>
      <c r="F287" s="85">
        <v>6128.22</v>
      </c>
      <c r="G287" s="85">
        <v>2359.42</v>
      </c>
    </row>
    <row r="288" spans="1:7" x14ac:dyDescent="0.3">
      <c r="A288" s="84">
        <v>2026</v>
      </c>
      <c r="B288" s="84" t="s">
        <v>393</v>
      </c>
      <c r="C288" s="84">
        <v>10</v>
      </c>
      <c r="D288" s="84">
        <v>17</v>
      </c>
      <c r="E288" s="85">
        <v>3768.8</v>
      </c>
      <c r="F288" s="85">
        <v>6520.5</v>
      </c>
      <c r="G288" s="85">
        <v>2751.7</v>
      </c>
    </row>
    <row r="289" spans="1:7" x14ac:dyDescent="0.3">
      <c r="A289" s="84">
        <v>2026</v>
      </c>
      <c r="B289" s="84" t="s">
        <v>393</v>
      </c>
      <c r="C289" s="84">
        <v>10</v>
      </c>
      <c r="D289" s="84">
        <v>18</v>
      </c>
      <c r="E289" s="85">
        <v>3768.8</v>
      </c>
      <c r="F289" s="85">
        <v>6914.04</v>
      </c>
      <c r="G289" s="85">
        <v>3145.24</v>
      </c>
    </row>
    <row r="290" spans="1:7" x14ac:dyDescent="0.3">
      <c r="A290" s="84">
        <v>2026</v>
      </c>
      <c r="B290" s="84" t="s">
        <v>393</v>
      </c>
      <c r="C290" s="84">
        <v>10</v>
      </c>
      <c r="D290" s="84">
        <v>19</v>
      </c>
      <c r="E290" s="85">
        <v>3768.8</v>
      </c>
      <c r="F290" s="85">
        <v>7307.16</v>
      </c>
      <c r="G290" s="85">
        <v>3538.36</v>
      </c>
    </row>
    <row r="291" spans="1:7" x14ac:dyDescent="0.3">
      <c r="A291" s="84">
        <v>2026</v>
      </c>
      <c r="B291" s="84" t="s">
        <v>393</v>
      </c>
      <c r="C291" s="84">
        <v>10</v>
      </c>
      <c r="D291" s="84">
        <v>20</v>
      </c>
      <c r="E291" s="85">
        <v>3768.8</v>
      </c>
      <c r="F291" s="85">
        <v>7700.14</v>
      </c>
      <c r="G291" s="85">
        <v>3931.34</v>
      </c>
    </row>
    <row r="292" spans="1:7" x14ac:dyDescent="0.3">
      <c r="A292" s="84">
        <v>2026</v>
      </c>
      <c r="B292" s="84" t="s">
        <v>393</v>
      </c>
      <c r="C292" s="84">
        <v>10</v>
      </c>
      <c r="D292" s="84">
        <v>21</v>
      </c>
      <c r="E292" s="85">
        <v>3768.8</v>
      </c>
      <c r="F292" s="85">
        <v>8289.5400000000009</v>
      </c>
      <c r="G292" s="85">
        <v>4520.74</v>
      </c>
    </row>
    <row r="293" spans="1:7" x14ac:dyDescent="0.3">
      <c r="A293" s="84">
        <v>2026</v>
      </c>
      <c r="B293" s="84" t="s">
        <v>393</v>
      </c>
      <c r="C293" s="84">
        <v>10</v>
      </c>
      <c r="D293" s="84">
        <v>22</v>
      </c>
      <c r="E293" s="85">
        <v>3768.8</v>
      </c>
      <c r="F293" s="85">
        <v>8928.2199999999993</v>
      </c>
      <c r="G293" s="85">
        <v>5159.42</v>
      </c>
    </row>
    <row r="294" spans="1:7" x14ac:dyDescent="0.3">
      <c r="A294" s="84">
        <v>2026</v>
      </c>
      <c r="B294" s="84" t="s">
        <v>393</v>
      </c>
      <c r="C294" s="84">
        <v>10</v>
      </c>
      <c r="D294" s="84">
        <v>23</v>
      </c>
      <c r="E294" s="85">
        <v>3768.8</v>
      </c>
      <c r="F294" s="85">
        <v>9568.7199999999993</v>
      </c>
      <c r="G294" s="85">
        <v>5799.92</v>
      </c>
    </row>
    <row r="295" spans="1:7" x14ac:dyDescent="0.3">
      <c r="A295" s="84">
        <v>2026</v>
      </c>
      <c r="B295" s="84" t="s">
        <v>393</v>
      </c>
      <c r="C295" s="84">
        <v>10</v>
      </c>
      <c r="D295" s="84">
        <v>24</v>
      </c>
      <c r="E295" s="85">
        <v>3768.8</v>
      </c>
      <c r="F295" s="85">
        <v>10207.959999999999</v>
      </c>
      <c r="G295" s="85">
        <v>6439.16</v>
      </c>
    </row>
    <row r="296" spans="1:7" x14ac:dyDescent="0.3">
      <c r="A296" s="84">
        <v>2026</v>
      </c>
      <c r="B296" s="84" t="s">
        <v>393</v>
      </c>
      <c r="C296" s="84">
        <v>10</v>
      </c>
      <c r="D296" s="84">
        <v>25</v>
      </c>
      <c r="E296" s="85">
        <v>3768.8</v>
      </c>
      <c r="F296" s="85">
        <v>10848.04</v>
      </c>
      <c r="G296" s="85">
        <v>7079.24</v>
      </c>
    </row>
    <row r="297" spans="1:7" x14ac:dyDescent="0.3">
      <c r="A297" s="84">
        <v>2026</v>
      </c>
      <c r="B297" s="84" t="s">
        <v>393</v>
      </c>
      <c r="C297" s="84">
        <v>10</v>
      </c>
      <c r="D297" s="84">
        <v>26</v>
      </c>
      <c r="E297" s="85">
        <v>3768.8</v>
      </c>
      <c r="F297" s="85">
        <v>12227.32</v>
      </c>
      <c r="G297" s="85">
        <v>8458.52</v>
      </c>
    </row>
    <row r="298" spans="1:7" x14ac:dyDescent="0.3">
      <c r="A298" s="84">
        <v>2026</v>
      </c>
      <c r="B298" s="84" t="s">
        <v>393</v>
      </c>
      <c r="C298" s="84">
        <v>10</v>
      </c>
      <c r="D298" s="84">
        <v>27</v>
      </c>
      <c r="E298" s="85">
        <v>3768.8</v>
      </c>
      <c r="F298" s="85">
        <v>13936.58</v>
      </c>
      <c r="G298" s="85">
        <v>10167.780000000001</v>
      </c>
    </row>
    <row r="299" spans="1:7" x14ac:dyDescent="0.3">
      <c r="A299" s="84">
        <v>2026</v>
      </c>
      <c r="B299" s="84" t="s">
        <v>393</v>
      </c>
      <c r="C299" s="84">
        <v>10</v>
      </c>
      <c r="D299" s="84">
        <v>28</v>
      </c>
      <c r="E299" s="85">
        <v>3768.8</v>
      </c>
      <c r="F299" s="85">
        <v>14577.08</v>
      </c>
      <c r="G299" s="85">
        <v>10808.28</v>
      </c>
    </row>
    <row r="300" spans="1:7" x14ac:dyDescent="0.3">
      <c r="A300" s="84">
        <v>2026</v>
      </c>
      <c r="B300" s="84" t="s">
        <v>393</v>
      </c>
      <c r="C300" s="84">
        <v>10</v>
      </c>
      <c r="D300" s="84">
        <v>29</v>
      </c>
      <c r="E300" s="85">
        <v>3768.8</v>
      </c>
      <c r="F300" s="85">
        <v>15216.46</v>
      </c>
      <c r="G300" s="85">
        <v>11447.66</v>
      </c>
    </row>
    <row r="301" spans="1:7" x14ac:dyDescent="0.3">
      <c r="A301" s="84">
        <v>2026</v>
      </c>
      <c r="B301" s="84" t="s">
        <v>393</v>
      </c>
      <c r="C301" s="84">
        <v>10</v>
      </c>
      <c r="D301" s="84">
        <v>30</v>
      </c>
      <c r="E301" s="85">
        <v>3768.8</v>
      </c>
      <c r="F301" s="85">
        <v>16964.78</v>
      </c>
      <c r="G301" s="85">
        <v>13195.98</v>
      </c>
    </row>
    <row r="302" spans="1:7" x14ac:dyDescent="0.3">
      <c r="A302" s="84">
        <v>2026</v>
      </c>
      <c r="B302" s="84" t="s">
        <v>393</v>
      </c>
      <c r="C302" s="84">
        <v>11</v>
      </c>
      <c r="D302" s="84">
        <v>1</v>
      </c>
      <c r="E302" s="85">
        <v>4161.3599999999997</v>
      </c>
      <c r="F302" s="85">
        <v>1607.34</v>
      </c>
      <c r="G302" s="85">
        <v>-2554.02</v>
      </c>
    </row>
    <row r="303" spans="1:7" x14ac:dyDescent="0.3">
      <c r="A303" s="84">
        <v>2026</v>
      </c>
      <c r="B303" s="84" t="s">
        <v>393</v>
      </c>
      <c r="C303" s="84">
        <v>11</v>
      </c>
      <c r="D303" s="84">
        <v>2</v>
      </c>
      <c r="E303" s="85">
        <v>4161.3599999999997</v>
      </c>
      <c r="F303" s="85">
        <v>1901.76</v>
      </c>
      <c r="G303" s="85">
        <v>-2259.6</v>
      </c>
    </row>
    <row r="304" spans="1:7" x14ac:dyDescent="0.3">
      <c r="A304" s="84">
        <v>2026</v>
      </c>
      <c r="B304" s="84" t="s">
        <v>393</v>
      </c>
      <c r="C304" s="84">
        <v>11</v>
      </c>
      <c r="D304" s="84">
        <v>3</v>
      </c>
      <c r="E304" s="85">
        <v>4161.3599999999997</v>
      </c>
      <c r="F304" s="85">
        <v>2196.7399999999998</v>
      </c>
      <c r="G304" s="85">
        <v>-1964.62</v>
      </c>
    </row>
    <row r="305" spans="1:7" x14ac:dyDescent="0.3">
      <c r="A305" s="84">
        <v>2026</v>
      </c>
      <c r="B305" s="84" t="s">
        <v>393</v>
      </c>
      <c r="C305" s="84">
        <v>11</v>
      </c>
      <c r="D305" s="84">
        <v>4</v>
      </c>
      <c r="E305" s="85">
        <v>4161.3599999999997</v>
      </c>
      <c r="F305" s="85">
        <v>2490.88</v>
      </c>
      <c r="G305" s="85">
        <v>-1670.48</v>
      </c>
    </row>
    <row r="306" spans="1:7" x14ac:dyDescent="0.3">
      <c r="A306" s="84">
        <v>2026</v>
      </c>
      <c r="B306" s="84" t="s">
        <v>393</v>
      </c>
      <c r="C306" s="84">
        <v>11</v>
      </c>
      <c r="D306" s="84">
        <v>5</v>
      </c>
      <c r="E306" s="85">
        <v>4161.3599999999997</v>
      </c>
      <c r="F306" s="85">
        <v>2785.58</v>
      </c>
      <c r="G306" s="85">
        <v>-1375.78</v>
      </c>
    </row>
    <row r="307" spans="1:7" x14ac:dyDescent="0.3">
      <c r="A307" s="84">
        <v>2026</v>
      </c>
      <c r="B307" s="84" t="s">
        <v>393</v>
      </c>
      <c r="C307" s="84">
        <v>11</v>
      </c>
      <c r="D307" s="84">
        <v>6</v>
      </c>
      <c r="E307" s="85">
        <v>4161.3599999999997</v>
      </c>
      <c r="F307" s="85">
        <v>2982.28</v>
      </c>
      <c r="G307" s="85">
        <v>-1179.08</v>
      </c>
    </row>
    <row r="308" spans="1:7" x14ac:dyDescent="0.3">
      <c r="A308" s="84">
        <v>2026</v>
      </c>
      <c r="B308" s="84" t="s">
        <v>393</v>
      </c>
      <c r="C308" s="84">
        <v>11</v>
      </c>
      <c r="D308" s="84">
        <v>7</v>
      </c>
      <c r="E308" s="85">
        <v>4161.3599999999997</v>
      </c>
      <c r="F308" s="85">
        <v>3178.98</v>
      </c>
      <c r="G308" s="85">
        <v>-982.38</v>
      </c>
    </row>
    <row r="309" spans="1:7" x14ac:dyDescent="0.3">
      <c r="A309" s="84">
        <v>2026</v>
      </c>
      <c r="B309" s="84" t="s">
        <v>393</v>
      </c>
      <c r="C309" s="84">
        <v>11</v>
      </c>
      <c r="D309" s="84">
        <v>8</v>
      </c>
      <c r="E309" s="85">
        <v>4161.3599999999997</v>
      </c>
      <c r="F309" s="85">
        <v>3375.26</v>
      </c>
      <c r="G309" s="85">
        <v>-786.1</v>
      </c>
    </row>
    <row r="310" spans="1:7" x14ac:dyDescent="0.3">
      <c r="A310" s="84">
        <v>2026</v>
      </c>
      <c r="B310" s="84" t="s">
        <v>393</v>
      </c>
      <c r="C310" s="84">
        <v>11</v>
      </c>
      <c r="D310" s="84">
        <v>9</v>
      </c>
      <c r="E310" s="85">
        <v>4161.3599999999997</v>
      </c>
      <c r="F310" s="85">
        <v>3572.38</v>
      </c>
      <c r="G310" s="85">
        <v>-588.98</v>
      </c>
    </row>
    <row r="311" spans="1:7" x14ac:dyDescent="0.3">
      <c r="A311" s="84">
        <v>2026</v>
      </c>
      <c r="B311" s="84" t="s">
        <v>393</v>
      </c>
      <c r="C311" s="84">
        <v>11</v>
      </c>
      <c r="D311" s="84">
        <v>10</v>
      </c>
      <c r="E311" s="85">
        <v>4161.3599999999997</v>
      </c>
      <c r="F311" s="85">
        <v>3768.8</v>
      </c>
      <c r="G311" s="85">
        <v>-392.56</v>
      </c>
    </row>
    <row r="312" spans="1:7" x14ac:dyDescent="0.3">
      <c r="A312" s="84">
        <v>2026</v>
      </c>
      <c r="B312" s="84" t="s">
        <v>393</v>
      </c>
      <c r="C312" s="84">
        <v>11</v>
      </c>
      <c r="D312" s="84">
        <v>11</v>
      </c>
      <c r="E312" s="85">
        <v>4161.3599999999997</v>
      </c>
      <c r="F312" s="85">
        <v>4161.3599999999997</v>
      </c>
      <c r="G312" s="85">
        <v>0</v>
      </c>
    </row>
    <row r="313" spans="1:7" x14ac:dyDescent="0.3">
      <c r="A313" s="84">
        <v>2026</v>
      </c>
      <c r="B313" s="84" t="s">
        <v>393</v>
      </c>
      <c r="C313" s="84">
        <v>11</v>
      </c>
      <c r="D313" s="84">
        <v>12</v>
      </c>
      <c r="E313" s="85">
        <v>4161.3599999999997</v>
      </c>
      <c r="F313" s="85">
        <v>4554.8999999999996</v>
      </c>
      <c r="G313" s="85">
        <v>393.54</v>
      </c>
    </row>
    <row r="314" spans="1:7" x14ac:dyDescent="0.3">
      <c r="A314" s="84">
        <v>2026</v>
      </c>
      <c r="B314" s="84" t="s">
        <v>393</v>
      </c>
      <c r="C314" s="84">
        <v>11</v>
      </c>
      <c r="D314" s="84">
        <v>13</v>
      </c>
      <c r="E314" s="85">
        <v>4161.3599999999997</v>
      </c>
      <c r="F314" s="85">
        <v>4948.16</v>
      </c>
      <c r="G314" s="85">
        <v>786.8</v>
      </c>
    </row>
    <row r="315" spans="1:7" x14ac:dyDescent="0.3">
      <c r="A315" s="84">
        <v>2026</v>
      </c>
      <c r="B315" s="84" t="s">
        <v>393</v>
      </c>
      <c r="C315" s="84">
        <v>11</v>
      </c>
      <c r="D315" s="84">
        <v>14</v>
      </c>
      <c r="E315" s="85">
        <v>4161.3599999999997</v>
      </c>
      <c r="F315" s="85">
        <v>5341.98</v>
      </c>
      <c r="G315" s="85">
        <v>1180.6199999999999</v>
      </c>
    </row>
    <row r="316" spans="1:7" x14ac:dyDescent="0.3">
      <c r="A316" s="84">
        <v>2026</v>
      </c>
      <c r="B316" s="84" t="s">
        <v>393</v>
      </c>
      <c r="C316" s="84">
        <v>11</v>
      </c>
      <c r="D316" s="84">
        <v>15</v>
      </c>
      <c r="E316" s="85">
        <v>4161.3599999999997</v>
      </c>
      <c r="F316" s="85">
        <v>5734.26</v>
      </c>
      <c r="G316" s="85">
        <v>1572.9</v>
      </c>
    </row>
    <row r="317" spans="1:7" x14ac:dyDescent="0.3">
      <c r="A317" s="84">
        <v>2026</v>
      </c>
      <c r="B317" s="84" t="s">
        <v>393</v>
      </c>
      <c r="C317" s="84">
        <v>11</v>
      </c>
      <c r="D317" s="84">
        <v>16</v>
      </c>
      <c r="E317" s="85">
        <v>4161.3599999999997</v>
      </c>
      <c r="F317" s="85">
        <v>6128.22</v>
      </c>
      <c r="G317" s="85">
        <v>1966.86</v>
      </c>
    </row>
    <row r="318" spans="1:7" x14ac:dyDescent="0.3">
      <c r="A318" s="84">
        <v>2026</v>
      </c>
      <c r="B318" s="84" t="s">
        <v>393</v>
      </c>
      <c r="C318" s="84">
        <v>11</v>
      </c>
      <c r="D318" s="84">
        <v>17</v>
      </c>
      <c r="E318" s="85">
        <v>4161.3599999999997</v>
      </c>
      <c r="F318" s="85">
        <v>6520.5</v>
      </c>
      <c r="G318" s="85">
        <v>2359.14</v>
      </c>
    </row>
    <row r="319" spans="1:7" x14ac:dyDescent="0.3">
      <c r="A319" s="84">
        <v>2026</v>
      </c>
      <c r="B319" s="84" t="s">
        <v>393</v>
      </c>
      <c r="C319" s="84">
        <v>11</v>
      </c>
      <c r="D319" s="84">
        <v>18</v>
      </c>
      <c r="E319" s="85">
        <v>4161.3599999999997</v>
      </c>
      <c r="F319" s="85">
        <v>6914.04</v>
      </c>
      <c r="G319" s="85">
        <v>2752.68</v>
      </c>
    </row>
    <row r="320" spans="1:7" x14ac:dyDescent="0.3">
      <c r="A320" s="84">
        <v>2026</v>
      </c>
      <c r="B320" s="84" t="s">
        <v>393</v>
      </c>
      <c r="C320" s="84">
        <v>11</v>
      </c>
      <c r="D320" s="84">
        <v>19</v>
      </c>
      <c r="E320" s="85">
        <v>4161.3599999999997</v>
      </c>
      <c r="F320" s="85">
        <v>7307.16</v>
      </c>
      <c r="G320" s="85">
        <v>3145.8</v>
      </c>
    </row>
    <row r="321" spans="1:7" x14ac:dyDescent="0.3">
      <c r="A321" s="84">
        <v>2026</v>
      </c>
      <c r="B321" s="84" t="s">
        <v>393</v>
      </c>
      <c r="C321" s="84">
        <v>11</v>
      </c>
      <c r="D321" s="84">
        <v>20</v>
      </c>
      <c r="E321" s="85">
        <v>4161.3599999999997</v>
      </c>
      <c r="F321" s="85">
        <v>7700.14</v>
      </c>
      <c r="G321" s="85">
        <v>3538.78</v>
      </c>
    </row>
    <row r="322" spans="1:7" x14ac:dyDescent="0.3">
      <c r="A322" s="84">
        <v>2026</v>
      </c>
      <c r="B322" s="84" t="s">
        <v>393</v>
      </c>
      <c r="C322" s="84">
        <v>11</v>
      </c>
      <c r="D322" s="84">
        <v>21</v>
      </c>
      <c r="E322" s="85">
        <v>4161.3599999999997</v>
      </c>
      <c r="F322" s="85">
        <v>8289.5400000000009</v>
      </c>
      <c r="G322" s="85">
        <v>4128.18</v>
      </c>
    </row>
    <row r="323" spans="1:7" x14ac:dyDescent="0.3">
      <c r="A323" s="84">
        <v>2026</v>
      </c>
      <c r="B323" s="84" t="s">
        <v>393</v>
      </c>
      <c r="C323" s="84">
        <v>11</v>
      </c>
      <c r="D323" s="84">
        <v>22</v>
      </c>
      <c r="E323" s="85">
        <v>4161.3599999999997</v>
      </c>
      <c r="F323" s="85">
        <v>8928.2199999999993</v>
      </c>
      <c r="G323" s="85">
        <v>4766.8599999999997</v>
      </c>
    </row>
    <row r="324" spans="1:7" x14ac:dyDescent="0.3">
      <c r="A324" s="84">
        <v>2026</v>
      </c>
      <c r="B324" s="84" t="s">
        <v>393</v>
      </c>
      <c r="C324" s="84">
        <v>11</v>
      </c>
      <c r="D324" s="84">
        <v>23</v>
      </c>
      <c r="E324" s="85">
        <v>4161.3599999999997</v>
      </c>
      <c r="F324" s="85">
        <v>9568.7199999999993</v>
      </c>
      <c r="G324" s="85">
        <v>5407.36</v>
      </c>
    </row>
    <row r="325" spans="1:7" x14ac:dyDescent="0.3">
      <c r="A325" s="84">
        <v>2026</v>
      </c>
      <c r="B325" s="84" t="s">
        <v>393</v>
      </c>
      <c r="C325" s="84">
        <v>11</v>
      </c>
      <c r="D325" s="84">
        <v>24</v>
      </c>
      <c r="E325" s="85">
        <v>4161.3599999999997</v>
      </c>
      <c r="F325" s="85">
        <v>10207.959999999999</v>
      </c>
      <c r="G325" s="85">
        <v>6046.6</v>
      </c>
    </row>
    <row r="326" spans="1:7" x14ac:dyDescent="0.3">
      <c r="A326" s="84">
        <v>2026</v>
      </c>
      <c r="B326" s="84" t="s">
        <v>393</v>
      </c>
      <c r="C326" s="84">
        <v>11</v>
      </c>
      <c r="D326" s="84">
        <v>25</v>
      </c>
      <c r="E326" s="85">
        <v>4161.3599999999997</v>
      </c>
      <c r="F326" s="85">
        <v>10848.04</v>
      </c>
      <c r="G326" s="85">
        <v>6686.68</v>
      </c>
    </row>
    <row r="327" spans="1:7" x14ac:dyDescent="0.3">
      <c r="A327" s="84">
        <v>2026</v>
      </c>
      <c r="B327" s="84" t="s">
        <v>393</v>
      </c>
      <c r="C327" s="84">
        <v>11</v>
      </c>
      <c r="D327" s="84">
        <v>26</v>
      </c>
      <c r="E327" s="85">
        <v>4161.3599999999997</v>
      </c>
      <c r="F327" s="85">
        <v>12227.32</v>
      </c>
      <c r="G327" s="85">
        <v>8065.96</v>
      </c>
    </row>
    <row r="328" spans="1:7" x14ac:dyDescent="0.3">
      <c r="A328" s="84">
        <v>2026</v>
      </c>
      <c r="B328" s="84" t="s">
        <v>393</v>
      </c>
      <c r="C328" s="84">
        <v>11</v>
      </c>
      <c r="D328" s="84">
        <v>27</v>
      </c>
      <c r="E328" s="85">
        <v>4161.3599999999997</v>
      </c>
      <c r="F328" s="85">
        <v>13936.58</v>
      </c>
      <c r="G328" s="85">
        <v>9775.2199999999993</v>
      </c>
    </row>
    <row r="329" spans="1:7" x14ac:dyDescent="0.3">
      <c r="A329" s="84">
        <v>2026</v>
      </c>
      <c r="B329" s="84" t="s">
        <v>393</v>
      </c>
      <c r="C329" s="84">
        <v>11</v>
      </c>
      <c r="D329" s="84">
        <v>28</v>
      </c>
      <c r="E329" s="85">
        <v>4161.3599999999997</v>
      </c>
      <c r="F329" s="85">
        <v>14577.08</v>
      </c>
      <c r="G329" s="85">
        <v>10415.719999999999</v>
      </c>
    </row>
    <row r="330" spans="1:7" x14ac:dyDescent="0.3">
      <c r="A330" s="84">
        <v>2026</v>
      </c>
      <c r="B330" s="84" t="s">
        <v>393</v>
      </c>
      <c r="C330" s="84">
        <v>11</v>
      </c>
      <c r="D330" s="84">
        <v>29</v>
      </c>
      <c r="E330" s="85">
        <v>4161.3599999999997</v>
      </c>
      <c r="F330" s="85">
        <v>15216.46</v>
      </c>
      <c r="G330" s="85">
        <v>11055.1</v>
      </c>
    </row>
    <row r="331" spans="1:7" x14ac:dyDescent="0.3">
      <c r="A331" s="84">
        <v>2026</v>
      </c>
      <c r="B331" s="84" t="s">
        <v>393</v>
      </c>
      <c r="C331" s="84">
        <v>11</v>
      </c>
      <c r="D331" s="84">
        <v>30</v>
      </c>
      <c r="E331" s="85">
        <v>4161.3599999999997</v>
      </c>
      <c r="F331" s="85">
        <v>16964.78</v>
      </c>
      <c r="G331" s="85">
        <v>12803.42</v>
      </c>
    </row>
    <row r="332" spans="1:7" x14ac:dyDescent="0.3">
      <c r="A332" s="84">
        <v>2026</v>
      </c>
      <c r="B332" s="84" t="s">
        <v>393</v>
      </c>
      <c r="C332" s="84">
        <v>12</v>
      </c>
      <c r="D332" s="84">
        <v>1</v>
      </c>
      <c r="E332" s="85">
        <v>4554.8999999999996</v>
      </c>
      <c r="F332" s="85">
        <v>1607.34</v>
      </c>
      <c r="G332" s="85">
        <v>-2947.56</v>
      </c>
    </row>
    <row r="333" spans="1:7" x14ac:dyDescent="0.3">
      <c r="A333" s="84">
        <v>2026</v>
      </c>
      <c r="B333" s="84" t="s">
        <v>393</v>
      </c>
      <c r="C333" s="84">
        <v>12</v>
      </c>
      <c r="D333" s="84">
        <v>2</v>
      </c>
      <c r="E333" s="85">
        <v>4554.8999999999996</v>
      </c>
      <c r="F333" s="85">
        <v>1901.76</v>
      </c>
      <c r="G333" s="85">
        <v>-2653.14</v>
      </c>
    </row>
    <row r="334" spans="1:7" x14ac:dyDescent="0.3">
      <c r="A334" s="84">
        <v>2026</v>
      </c>
      <c r="B334" s="84" t="s">
        <v>393</v>
      </c>
      <c r="C334" s="84">
        <v>12</v>
      </c>
      <c r="D334" s="84">
        <v>3</v>
      </c>
      <c r="E334" s="85">
        <v>4554.8999999999996</v>
      </c>
      <c r="F334" s="85">
        <v>2196.7399999999998</v>
      </c>
      <c r="G334" s="85">
        <v>-2358.16</v>
      </c>
    </row>
    <row r="335" spans="1:7" x14ac:dyDescent="0.3">
      <c r="A335" s="84">
        <v>2026</v>
      </c>
      <c r="B335" s="84" t="s">
        <v>393</v>
      </c>
      <c r="C335" s="84">
        <v>12</v>
      </c>
      <c r="D335" s="84">
        <v>4</v>
      </c>
      <c r="E335" s="85">
        <v>4554.8999999999996</v>
      </c>
      <c r="F335" s="85">
        <v>2490.88</v>
      </c>
      <c r="G335" s="85">
        <v>-2064.02</v>
      </c>
    </row>
    <row r="336" spans="1:7" x14ac:dyDescent="0.3">
      <c r="A336" s="84">
        <v>2026</v>
      </c>
      <c r="B336" s="84" t="s">
        <v>393</v>
      </c>
      <c r="C336" s="84">
        <v>12</v>
      </c>
      <c r="D336" s="84">
        <v>5</v>
      </c>
      <c r="E336" s="85">
        <v>4554.8999999999996</v>
      </c>
      <c r="F336" s="85">
        <v>2785.58</v>
      </c>
      <c r="G336" s="85">
        <v>-1769.32</v>
      </c>
    </row>
    <row r="337" spans="1:7" x14ac:dyDescent="0.3">
      <c r="A337" s="84">
        <v>2026</v>
      </c>
      <c r="B337" s="84" t="s">
        <v>393</v>
      </c>
      <c r="C337" s="84">
        <v>12</v>
      </c>
      <c r="D337" s="84">
        <v>6</v>
      </c>
      <c r="E337" s="85">
        <v>4554.8999999999996</v>
      </c>
      <c r="F337" s="85">
        <v>2982.28</v>
      </c>
      <c r="G337" s="85">
        <v>-1572.62</v>
      </c>
    </row>
    <row r="338" spans="1:7" x14ac:dyDescent="0.3">
      <c r="A338" s="84">
        <v>2026</v>
      </c>
      <c r="B338" s="84" t="s">
        <v>393</v>
      </c>
      <c r="C338" s="84">
        <v>12</v>
      </c>
      <c r="D338" s="84">
        <v>7</v>
      </c>
      <c r="E338" s="85">
        <v>4554.8999999999996</v>
      </c>
      <c r="F338" s="85">
        <v>3178.98</v>
      </c>
      <c r="G338" s="85">
        <v>-1375.92</v>
      </c>
    </row>
    <row r="339" spans="1:7" x14ac:dyDescent="0.3">
      <c r="A339" s="84">
        <v>2026</v>
      </c>
      <c r="B339" s="84" t="s">
        <v>393</v>
      </c>
      <c r="C339" s="84">
        <v>12</v>
      </c>
      <c r="D339" s="84">
        <v>8</v>
      </c>
      <c r="E339" s="85">
        <v>4554.8999999999996</v>
      </c>
      <c r="F339" s="85">
        <v>3375.26</v>
      </c>
      <c r="G339" s="85">
        <v>-1179.6400000000001</v>
      </c>
    </row>
    <row r="340" spans="1:7" x14ac:dyDescent="0.3">
      <c r="A340" s="84">
        <v>2026</v>
      </c>
      <c r="B340" s="84" t="s">
        <v>393</v>
      </c>
      <c r="C340" s="84">
        <v>12</v>
      </c>
      <c r="D340" s="84">
        <v>9</v>
      </c>
      <c r="E340" s="85">
        <v>4554.8999999999996</v>
      </c>
      <c r="F340" s="85">
        <v>3572.38</v>
      </c>
      <c r="G340" s="85">
        <v>-982.52</v>
      </c>
    </row>
    <row r="341" spans="1:7" x14ac:dyDescent="0.3">
      <c r="A341" s="84">
        <v>2026</v>
      </c>
      <c r="B341" s="84" t="s">
        <v>393</v>
      </c>
      <c r="C341" s="84">
        <v>12</v>
      </c>
      <c r="D341" s="84">
        <v>10</v>
      </c>
      <c r="E341" s="85">
        <v>4554.8999999999996</v>
      </c>
      <c r="F341" s="85">
        <v>3768.8</v>
      </c>
      <c r="G341" s="85">
        <v>-786.1</v>
      </c>
    </row>
    <row r="342" spans="1:7" x14ac:dyDescent="0.3">
      <c r="A342" s="84">
        <v>2026</v>
      </c>
      <c r="B342" s="84" t="s">
        <v>393</v>
      </c>
      <c r="C342" s="84">
        <v>12</v>
      </c>
      <c r="D342" s="84">
        <v>11</v>
      </c>
      <c r="E342" s="85">
        <v>4554.8999999999996</v>
      </c>
      <c r="F342" s="85">
        <v>4161.3599999999997</v>
      </c>
      <c r="G342" s="85">
        <v>-393.54</v>
      </c>
    </row>
    <row r="343" spans="1:7" x14ac:dyDescent="0.3">
      <c r="A343" s="84">
        <v>2026</v>
      </c>
      <c r="B343" s="84" t="s">
        <v>393</v>
      </c>
      <c r="C343" s="84">
        <v>12</v>
      </c>
      <c r="D343" s="84">
        <v>12</v>
      </c>
      <c r="E343" s="85">
        <v>4554.8999999999996</v>
      </c>
      <c r="F343" s="85">
        <v>4554.8999999999996</v>
      </c>
      <c r="G343" s="85">
        <v>0</v>
      </c>
    </row>
    <row r="344" spans="1:7" x14ac:dyDescent="0.3">
      <c r="A344" s="84">
        <v>2026</v>
      </c>
      <c r="B344" s="84" t="s">
        <v>393</v>
      </c>
      <c r="C344" s="84">
        <v>12</v>
      </c>
      <c r="D344" s="84">
        <v>13</v>
      </c>
      <c r="E344" s="85">
        <v>4554.8999999999996</v>
      </c>
      <c r="F344" s="85">
        <v>4948.16</v>
      </c>
      <c r="G344" s="85">
        <v>393.26</v>
      </c>
    </row>
    <row r="345" spans="1:7" x14ac:dyDescent="0.3">
      <c r="A345" s="84">
        <v>2026</v>
      </c>
      <c r="B345" s="84" t="s">
        <v>393</v>
      </c>
      <c r="C345" s="84">
        <v>12</v>
      </c>
      <c r="D345" s="84">
        <v>14</v>
      </c>
      <c r="E345" s="85">
        <v>4554.8999999999996</v>
      </c>
      <c r="F345" s="85">
        <v>5341.98</v>
      </c>
      <c r="G345" s="85">
        <v>787.08</v>
      </c>
    </row>
    <row r="346" spans="1:7" x14ac:dyDescent="0.3">
      <c r="A346" s="84">
        <v>2026</v>
      </c>
      <c r="B346" s="84" t="s">
        <v>393</v>
      </c>
      <c r="C346" s="84">
        <v>12</v>
      </c>
      <c r="D346" s="84">
        <v>15</v>
      </c>
      <c r="E346" s="85">
        <v>4554.8999999999996</v>
      </c>
      <c r="F346" s="85">
        <v>5734.26</v>
      </c>
      <c r="G346" s="85">
        <v>1179.3599999999999</v>
      </c>
    </row>
    <row r="347" spans="1:7" x14ac:dyDescent="0.3">
      <c r="A347" s="84">
        <v>2026</v>
      </c>
      <c r="B347" s="84" t="s">
        <v>393</v>
      </c>
      <c r="C347" s="84">
        <v>12</v>
      </c>
      <c r="D347" s="84">
        <v>16</v>
      </c>
      <c r="E347" s="85">
        <v>4554.8999999999996</v>
      </c>
      <c r="F347" s="85">
        <v>6128.22</v>
      </c>
      <c r="G347" s="85">
        <v>1573.32</v>
      </c>
    </row>
    <row r="348" spans="1:7" x14ac:dyDescent="0.3">
      <c r="A348" s="84">
        <v>2026</v>
      </c>
      <c r="B348" s="84" t="s">
        <v>393</v>
      </c>
      <c r="C348" s="84">
        <v>12</v>
      </c>
      <c r="D348" s="84">
        <v>17</v>
      </c>
      <c r="E348" s="85">
        <v>4554.8999999999996</v>
      </c>
      <c r="F348" s="85">
        <v>6520.5</v>
      </c>
      <c r="G348" s="85">
        <v>1965.6</v>
      </c>
    </row>
    <row r="349" spans="1:7" x14ac:dyDescent="0.3">
      <c r="A349" s="84">
        <v>2026</v>
      </c>
      <c r="B349" s="84" t="s">
        <v>393</v>
      </c>
      <c r="C349" s="84">
        <v>12</v>
      </c>
      <c r="D349" s="84">
        <v>18</v>
      </c>
      <c r="E349" s="85">
        <v>4554.8999999999996</v>
      </c>
      <c r="F349" s="85">
        <v>6914.04</v>
      </c>
      <c r="G349" s="85">
        <v>2359.14</v>
      </c>
    </row>
    <row r="350" spans="1:7" x14ac:dyDescent="0.3">
      <c r="A350" s="84">
        <v>2026</v>
      </c>
      <c r="B350" s="84" t="s">
        <v>393</v>
      </c>
      <c r="C350" s="84">
        <v>12</v>
      </c>
      <c r="D350" s="84">
        <v>19</v>
      </c>
      <c r="E350" s="85">
        <v>4554.8999999999996</v>
      </c>
      <c r="F350" s="85">
        <v>7307.16</v>
      </c>
      <c r="G350" s="85">
        <v>2752.26</v>
      </c>
    </row>
    <row r="351" spans="1:7" x14ac:dyDescent="0.3">
      <c r="A351" s="84">
        <v>2026</v>
      </c>
      <c r="B351" s="84" t="s">
        <v>393</v>
      </c>
      <c r="C351" s="84">
        <v>12</v>
      </c>
      <c r="D351" s="84">
        <v>20</v>
      </c>
      <c r="E351" s="85">
        <v>4554.8999999999996</v>
      </c>
      <c r="F351" s="85">
        <v>7700.14</v>
      </c>
      <c r="G351" s="85">
        <v>3145.24</v>
      </c>
    </row>
    <row r="352" spans="1:7" x14ac:dyDescent="0.3">
      <c r="A352" s="84">
        <v>2026</v>
      </c>
      <c r="B352" s="84" t="s">
        <v>393</v>
      </c>
      <c r="C352" s="84">
        <v>12</v>
      </c>
      <c r="D352" s="84">
        <v>21</v>
      </c>
      <c r="E352" s="85">
        <v>4554.8999999999996</v>
      </c>
      <c r="F352" s="85">
        <v>8289.5400000000009</v>
      </c>
      <c r="G352" s="85">
        <v>3734.64</v>
      </c>
    </row>
    <row r="353" spans="1:7" x14ac:dyDescent="0.3">
      <c r="A353" s="84">
        <v>2026</v>
      </c>
      <c r="B353" s="84" t="s">
        <v>393</v>
      </c>
      <c r="C353" s="84">
        <v>12</v>
      </c>
      <c r="D353" s="84">
        <v>22</v>
      </c>
      <c r="E353" s="85">
        <v>4554.8999999999996</v>
      </c>
      <c r="F353" s="85">
        <v>8928.2199999999993</v>
      </c>
      <c r="G353" s="85">
        <v>4373.32</v>
      </c>
    </row>
    <row r="354" spans="1:7" x14ac:dyDescent="0.3">
      <c r="A354" s="84">
        <v>2026</v>
      </c>
      <c r="B354" s="84" t="s">
        <v>393</v>
      </c>
      <c r="C354" s="84">
        <v>12</v>
      </c>
      <c r="D354" s="84">
        <v>23</v>
      </c>
      <c r="E354" s="85">
        <v>4554.8999999999996</v>
      </c>
      <c r="F354" s="85">
        <v>9568.7199999999993</v>
      </c>
      <c r="G354" s="85">
        <v>5013.82</v>
      </c>
    </row>
    <row r="355" spans="1:7" x14ac:dyDescent="0.3">
      <c r="A355" s="84">
        <v>2026</v>
      </c>
      <c r="B355" s="84" t="s">
        <v>393</v>
      </c>
      <c r="C355" s="84">
        <v>12</v>
      </c>
      <c r="D355" s="84">
        <v>24</v>
      </c>
      <c r="E355" s="85">
        <v>4554.8999999999996</v>
      </c>
      <c r="F355" s="85">
        <v>10207.959999999999</v>
      </c>
      <c r="G355" s="85">
        <v>5653.06</v>
      </c>
    </row>
    <row r="356" spans="1:7" x14ac:dyDescent="0.3">
      <c r="A356" s="84">
        <v>2026</v>
      </c>
      <c r="B356" s="84" t="s">
        <v>393</v>
      </c>
      <c r="C356" s="84">
        <v>12</v>
      </c>
      <c r="D356" s="84">
        <v>25</v>
      </c>
      <c r="E356" s="85">
        <v>4554.8999999999996</v>
      </c>
      <c r="F356" s="85">
        <v>10848.04</v>
      </c>
      <c r="G356" s="85">
        <v>6293.14</v>
      </c>
    </row>
    <row r="357" spans="1:7" x14ac:dyDescent="0.3">
      <c r="A357" s="84">
        <v>2026</v>
      </c>
      <c r="B357" s="84" t="s">
        <v>393</v>
      </c>
      <c r="C357" s="84">
        <v>12</v>
      </c>
      <c r="D357" s="84">
        <v>26</v>
      </c>
      <c r="E357" s="85">
        <v>4554.8999999999996</v>
      </c>
      <c r="F357" s="85">
        <v>12227.32</v>
      </c>
      <c r="G357" s="85">
        <v>7672.42</v>
      </c>
    </row>
    <row r="358" spans="1:7" x14ac:dyDescent="0.3">
      <c r="A358" s="84">
        <v>2026</v>
      </c>
      <c r="B358" s="84" t="s">
        <v>393</v>
      </c>
      <c r="C358" s="84">
        <v>12</v>
      </c>
      <c r="D358" s="84">
        <v>27</v>
      </c>
      <c r="E358" s="85">
        <v>4554.8999999999996</v>
      </c>
      <c r="F358" s="85">
        <v>13936.58</v>
      </c>
      <c r="G358" s="85">
        <v>9381.68</v>
      </c>
    </row>
    <row r="359" spans="1:7" x14ac:dyDescent="0.3">
      <c r="A359" s="84">
        <v>2026</v>
      </c>
      <c r="B359" s="84" t="s">
        <v>393</v>
      </c>
      <c r="C359" s="84">
        <v>12</v>
      </c>
      <c r="D359" s="84">
        <v>28</v>
      </c>
      <c r="E359" s="85">
        <v>4554.8999999999996</v>
      </c>
      <c r="F359" s="85">
        <v>14577.08</v>
      </c>
      <c r="G359" s="85">
        <v>10022.18</v>
      </c>
    </row>
    <row r="360" spans="1:7" x14ac:dyDescent="0.3">
      <c r="A360" s="84">
        <v>2026</v>
      </c>
      <c r="B360" s="84" t="s">
        <v>393</v>
      </c>
      <c r="C360" s="84">
        <v>12</v>
      </c>
      <c r="D360" s="84">
        <v>29</v>
      </c>
      <c r="E360" s="85">
        <v>4554.8999999999996</v>
      </c>
      <c r="F360" s="85">
        <v>15216.46</v>
      </c>
      <c r="G360" s="85">
        <v>10661.56</v>
      </c>
    </row>
    <row r="361" spans="1:7" x14ac:dyDescent="0.3">
      <c r="A361" s="84">
        <v>2026</v>
      </c>
      <c r="B361" s="84" t="s">
        <v>393</v>
      </c>
      <c r="C361" s="84">
        <v>12</v>
      </c>
      <c r="D361" s="84">
        <v>30</v>
      </c>
      <c r="E361" s="85">
        <v>4554.8999999999996</v>
      </c>
      <c r="F361" s="85">
        <v>16964.78</v>
      </c>
      <c r="G361" s="85">
        <v>12409.88</v>
      </c>
    </row>
    <row r="362" spans="1:7" x14ac:dyDescent="0.3">
      <c r="A362" s="84">
        <v>2026</v>
      </c>
      <c r="B362" s="84" t="s">
        <v>393</v>
      </c>
      <c r="C362" s="84">
        <v>13</v>
      </c>
      <c r="D362" s="84">
        <v>1</v>
      </c>
      <c r="E362" s="85">
        <v>4948.16</v>
      </c>
      <c r="F362" s="85">
        <v>1607.34</v>
      </c>
      <c r="G362" s="85">
        <v>-3340.82</v>
      </c>
    </row>
    <row r="363" spans="1:7" x14ac:dyDescent="0.3">
      <c r="A363" s="84">
        <v>2026</v>
      </c>
      <c r="B363" s="84" t="s">
        <v>393</v>
      </c>
      <c r="C363" s="84">
        <v>13</v>
      </c>
      <c r="D363" s="84">
        <v>2</v>
      </c>
      <c r="E363" s="85">
        <v>4948.16</v>
      </c>
      <c r="F363" s="85">
        <v>1901.76</v>
      </c>
      <c r="G363" s="85">
        <v>-3046.4</v>
      </c>
    </row>
    <row r="364" spans="1:7" x14ac:dyDescent="0.3">
      <c r="A364" s="84">
        <v>2026</v>
      </c>
      <c r="B364" s="84" t="s">
        <v>393</v>
      </c>
      <c r="C364" s="84">
        <v>13</v>
      </c>
      <c r="D364" s="84">
        <v>3</v>
      </c>
      <c r="E364" s="85">
        <v>4948.16</v>
      </c>
      <c r="F364" s="85">
        <v>2196.7399999999998</v>
      </c>
      <c r="G364" s="85">
        <v>-2751.42</v>
      </c>
    </row>
    <row r="365" spans="1:7" x14ac:dyDescent="0.3">
      <c r="A365" s="84">
        <v>2026</v>
      </c>
      <c r="B365" s="84" t="s">
        <v>393</v>
      </c>
      <c r="C365" s="84">
        <v>13</v>
      </c>
      <c r="D365" s="84">
        <v>4</v>
      </c>
      <c r="E365" s="85">
        <v>4948.16</v>
      </c>
      <c r="F365" s="85">
        <v>2490.88</v>
      </c>
      <c r="G365" s="85">
        <v>-2457.2800000000002</v>
      </c>
    </row>
    <row r="366" spans="1:7" x14ac:dyDescent="0.3">
      <c r="A366" s="84">
        <v>2026</v>
      </c>
      <c r="B366" s="84" t="s">
        <v>393</v>
      </c>
      <c r="C366" s="84">
        <v>13</v>
      </c>
      <c r="D366" s="84">
        <v>5</v>
      </c>
      <c r="E366" s="85">
        <v>4948.16</v>
      </c>
      <c r="F366" s="85">
        <v>2785.58</v>
      </c>
      <c r="G366" s="85">
        <v>-2162.58</v>
      </c>
    </row>
    <row r="367" spans="1:7" x14ac:dyDescent="0.3">
      <c r="A367" s="84">
        <v>2026</v>
      </c>
      <c r="B367" s="84" t="s">
        <v>393</v>
      </c>
      <c r="C367" s="84">
        <v>13</v>
      </c>
      <c r="D367" s="84">
        <v>6</v>
      </c>
      <c r="E367" s="85">
        <v>4948.16</v>
      </c>
      <c r="F367" s="85">
        <v>2982.28</v>
      </c>
      <c r="G367" s="85">
        <v>-1965.88</v>
      </c>
    </row>
    <row r="368" spans="1:7" x14ac:dyDescent="0.3">
      <c r="A368" s="84">
        <v>2026</v>
      </c>
      <c r="B368" s="84" t="s">
        <v>393</v>
      </c>
      <c r="C368" s="84">
        <v>13</v>
      </c>
      <c r="D368" s="84">
        <v>7</v>
      </c>
      <c r="E368" s="85">
        <v>4948.16</v>
      </c>
      <c r="F368" s="85">
        <v>3178.98</v>
      </c>
      <c r="G368" s="85">
        <v>-1769.18</v>
      </c>
    </row>
    <row r="369" spans="1:7" x14ac:dyDescent="0.3">
      <c r="A369" s="84">
        <v>2026</v>
      </c>
      <c r="B369" s="84" t="s">
        <v>393</v>
      </c>
      <c r="C369" s="84">
        <v>13</v>
      </c>
      <c r="D369" s="84">
        <v>8</v>
      </c>
      <c r="E369" s="85">
        <v>4948.16</v>
      </c>
      <c r="F369" s="85">
        <v>3375.26</v>
      </c>
      <c r="G369" s="85">
        <v>-1572.9</v>
      </c>
    </row>
    <row r="370" spans="1:7" x14ac:dyDescent="0.3">
      <c r="A370" s="84">
        <v>2026</v>
      </c>
      <c r="B370" s="84" t="s">
        <v>393</v>
      </c>
      <c r="C370" s="84">
        <v>13</v>
      </c>
      <c r="D370" s="84">
        <v>9</v>
      </c>
      <c r="E370" s="85">
        <v>4948.16</v>
      </c>
      <c r="F370" s="85">
        <v>3572.38</v>
      </c>
      <c r="G370" s="85">
        <v>-1375.78</v>
      </c>
    </row>
    <row r="371" spans="1:7" x14ac:dyDescent="0.3">
      <c r="A371" s="84">
        <v>2026</v>
      </c>
      <c r="B371" s="84" t="s">
        <v>393</v>
      </c>
      <c r="C371" s="84">
        <v>13</v>
      </c>
      <c r="D371" s="84">
        <v>10</v>
      </c>
      <c r="E371" s="85">
        <v>4948.16</v>
      </c>
      <c r="F371" s="85">
        <v>3768.8</v>
      </c>
      <c r="G371" s="85">
        <v>-1179.3599999999999</v>
      </c>
    </row>
    <row r="372" spans="1:7" x14ac:dyDescent="0.3">
      <c r="A372" s="84">
        <v>2026</v>
      </c>
      <c r="B372" s="84" t="s">
        <v>393</v>
      </c>
      <c r="C372" s="84">
        <v>13</v>
      </c>
      <c r="D372" s="84">
        <v>11</v>
      </c>
      <c r="E372" s="85">
        <v>4948.16</v>
      </c>
      <c r="F372" s="85">
        <v>4161.3599999999997</v>
      </c>
      <c r="G372" s="85">
        <v>-786.8</v>
      </c>
    </row>
    <row r="373" spans="1:7" x14ac:dyDescent="0.3">
      <c r="A373" s="84">
        <v>2026</v>
      </c>
      <c r="B373" s="84" t="s">
        <v>393</v>
      </c>
      <c r="C373" s="84">
        <v>13</v>
      </c>
      <c r="D373" s="84">
        <v>12</v>
      </c>
      <c r="E373" s="85">
        <v>4948.16</v>
      </c>
      <c r="F373" s="85">
        <v>4554.8999999999996</v>
      </c>
      <c r="G373" s="85">
        <v>-393.26</v>
      </c>
    </row>
    <row r="374" spans="1:7" x14ac:dyDescent="0.3">
      <c r="A374" s="84">
        <v>2026</v>
      </c>
      <c r="B374" s="84" t="s">
        <v>393</v>
      </c>
      <c r="C374" s="84">
        <v>13</v>
      </c>
      <c r="D374" s="84">
        <v>13</v>
      </c>
      <c r="E374" s="85">
        <v>4948.16</v>
      </c>
      <c r="F374" s="85">
        <v>4948.16</v>
      </c>
      <c r="G374" s="85">
        <v>0</v>
      </c>
    </row>
    <row r="375" spans="1:7" x14ac:dyDescent="0.3">
      <c r="A375" s="84">
        <v>2026</v>
      </c>
      <c r="B375" s="84" t="s">
        <v>393</v>
      </c>
      <c r="C375" s="84">
        <v>13</v>
      </c>
      <c r="D375" s="84">
        <v>14</v>
      </c>
      <c r="E375" s="85">
        <v>4948.16</v>
      </c>
      <c r="F375" s="85">
        <v>5341.98</v>
      </c>
      <c r="G375" s="85">
        <v>393.82</v>
      </c>
    </row>
    <row r="376" spans="1:7" x14ac:dyDescent="0.3">
      <c r="A376" s="84">
        <v>2026</v>
      </c>
      <c r="B376" s="84" t="s">
        <v>393</v>
      </c>
      <c r="C376" s="84">
        <v>13</v>
      </c>
      <c r="D376" s="84">
        <v>15</v>
      </c>
      <c r="E376" s="85">
        <v>4948.16</v>
      </c>
      <c r="F376" s="85">
        <v>5734.26</v>
      </c>
      <c r="G376" s="85">
        <v>786.1</v>
      </c>
    </row>
    <row r="377" spans="1:7" x14ac:dyDescent="0.3">
      <c r="A377" s="84">
        <v>2026</v>
      </c>
      <c r="B377" s="84" t="s">
        <v>393</v>
      </c>
      <c r="C377" s="84">
        <v>13</v>
      </c>
      <c r="D377" s="84">
        <v>16</v>
      </c>
      <c r="E377" s="85">
        <v>4948.16</v>
      </c>
      <c r="F377" s="85">
        <v>6128.22</v>
      </c>
      <c r="G377" s="85">
        <v>1180.06</v>
      </c>
    </row>
    <row r="378" spans="1:7" x14ac:dyDescent="0.3">
      <c r="A378" s="84">
        <v>2026</v>
      </c>
      <c r="B378" s="84" t="s">
        <v>393</v>
      </c>
      <c r="C378" s="84">
        <v>13</v>
      </c>
      <c r="D378" s="84">
        <v>17</v>
      </c>
      <c r="E378" s="85">
        <v>4948.16</v>
      </c>
      <c r="F378" s="85">
        <v>6520.5</v>
      </c>
      <c r="G378" s="85">
        <v>1572.34</v>
      </c>
    </row>
    <row r="379" spans="1:7" x14ac:dyDescent="0.3">
      <c r="A379" s="84">
        <v>2026</v>
      </c>
      <c r="B379" s="84" t="s">
        <v>393</v>
      </c>
      <c r="C379" s="84">
        <v>13</v>
      </c>
      <c r="D379" s="84">
        <v>18</v>
      </c>
      <c r="E379" s="85">
        <v>4948.16</v>
      </c>
      <c r="F379" s="85">
        <v>6914.04</v>
      </c>
      <c r="G379" s="85">
        <v>1965.88</v>
      </c>
    </row>
    <row r="380" spans="1:7" x14ac:dyDescent="0.3">
      <c r="A380" s="84">
        <v>2026</v>
      </c>
      <c r="B380" s="84" t="s">
        <v>393</v>
      </c>
      <c r="C380" s="84">
        <v>13</v>
      </c>
      <c r="D380" s="84">
        <v>19</v>
      </c>
      <c r="E380" s="85">
        <v>4948.16</v>
      </c>
      <c r="F380" s="85">
        <v>7307.16</v>
      </c>
      <c r="G380" s="85">
        <v>2359</v>
      </c>
    </row>
    <row r="381" spans="1:7" x14ac:dyDescent="0.3">
      <c r="A381" s="84">
        <v>2026</v>
      </c>
      <c r="B381" s="84" t="s">
        <v>393</v>
      </c>
      <c r="C381" s="84">
        <v>13</v>
      </c>
      <c r="D381" s="84">
        <v>20</v>
      </c>
      <c r="E381" s="85">
        <v>4948.16</v>
      </c>
      <c r="F381" s="85">
        <v>7700.14</v>
      </c>
      <c r="G381" s="85">
        <v>2751.98</v>
      </c>
    </row>
    <row r="382" spans="1:7" x14ac:dyDescent="0.3">
      <c r="A382" s="84">
        <v>2026</v>
      </c>
      <c r="B382" s="84" t="s">
        <v>393</v>
      </c>
      <c r="C382" s="84">
        <v>13</v>
      </c>
      <c r="D382" s="84">
        <v>21</v>
      </c>
      <c r="E382" s="85">
        <v>4948.16</v>
      </c>
      <c r="F382" s="85">
        <v>8289.5400000000009</v>
      </c>
      <c r="G382" s="85">
        <v>3341.38</v>
      </c>
    </row>
    <row r="383" spans="1:7" x14ac:dyDescent="0.3">
      <c r="A383" s="84">
        <v>2026</v>
      </c>
      <c r="B383" s="84" t="s">
        <v>393</v>
      </c>
      <c r="C383" s="84">
        <v>13</v>
      </c>
      <c r="D383" s="84">
        <v>22</v>
      </c>
      <c r="E383" s="85">
        <v>4948.16</v>
      </c>
      <c r="F383" s="85">
        <v>8928.2199999999993</v>
      </c>
      <c r="G383" s="85">
        <v>3980.06</v>
      </c>
    </row>
    <row r="384" spans="1:7" x14ac:dyDescent="0.3">
      <c r="A384" s="84">
        <v>2026</v>
      </c>
      <c r="B384" s="84" t="s">
        <v>393</v>
      </c>
      <c r="C384" s="84">
        <v>13</v>
      </c>
      <c r="D384" s="84">
        <v>23</v>
      </c>
      <c r="E384" s="85">
        <v>4948.16</v>
      </c>
      <c r="F384" s="85">
        <v>9568.7199999999993</v>
      </c>
      <c r="G384" s="85">
        <v>4620.5600000000004</v>
      </c>
    </row>
    <row r="385" spans="1:7" x14ac:dyDescent="0.3">
      <c r="A385" s="84">
        <v>2026</v>
      </c>
      <c r="B385" s="84" t="s">
        <v>393</v>
      </c>
      <c r="C385" s="84">
        <v>13</v>
      </c>
      <c r="D385" s="84">
        <v>24</v>
      </c>
      <c r="E385" s="85">
        <v>4948.16</v>
      </c>
      <c r="F385" s="85">
        <v>10207.959999999999</v>
      </c>
      <c r="G385" s="85">
        <v>5259.8</v>
      </c>
    </row>
    <row r="386" spans="1:7" x14ac:dyDescent="0.3">
      <c r="A386" s="84">
        <v>2026</v>
      </c>
      <c r="B386" s="84" t="s">
        <v>393</v>
      </c>
      <c r="C386" s="84">
        <v>13</v>
      </c>
      <c r="D386" s="84">
        <v>25</v>
      </c>
      <c r="E386" s="85">
        <v>4948.16</v>
      </c>
      <c r="F386" s="85">
        <v>10848.04</v>
      </c>
      <c r="G386" s="85">
        <v>5899.88</v>
      </c>
    </row>
    <row r="387" spans="1:7" x14ac:dyDescent="0.3">
      <c r="A387" s="84">
        <v>2026</v>
      </c>
      <c r="B387" s="84" t="s">
        <v>393</v>
      </c>
      <c r="C387" s="84">
        <v>13</v>
      </c>
      <c r="D387" s="84">
        <v>26</v>
      </c>
      <c r="E387" s="85">
        <v>4948.16</v>
      </c>
      <c r="F387" s="85">
        <v>12227.32</v>
      </c>
      <c r="G387" s="85">
        <v>7279.16</v>
      </c>
    </row>
    <row r="388" spans="1:7" x14ac:dyDescent="0.3">
      <c r="A388" s="84">
        <v>2026</v>
      </c>
      <c r="B388" s="84" t="s">
        <v>393</v>
      </c>
      <c r="C388" s="84">
        <v>13</v>
      </c>
      <c r="D388" s="84">
        <v>27</v>
      </c>
      <c r="E388" s="85">
        <v>4948.16</v>
      </c>
      <c r="F388" s="85">
        <v>13936.58</v>
      </c>
      <c r="G388" s="85">
        <v>8988.42</v>
      </c>
    </row>
    <row r="389" spans="1:7" x14ac:dyDescent="0.3">
      <c r="A389" s="84">
        <v>2026</v>
      </c>
      <c r="B389" s="84" t="s">
        <v>393</v>
      </c>
      <c r="C389" s="84">
        <v>13</v>
      </c>
      <c r="D389" s="84">
        <v>28</v>
      </c>
      <c r="E389" s="85">
        <v>4948.16</v>
      </c>
      <c r="F389" s="85">
        <v>14577.08</v>
      </c>
      <c r="G389" s="85">
        <v>9628.92</v>
      </c>
    </row>
    <row r="390" spans="1:7" x14ac:dyDescent="0.3">
      <c r="A390" s="84">
        <v>2026</v>
      </c>
      <c r="B390" s="84" t="s">
        <v>393</v>
      </c>
      <c r="C390" s="84">
        <v>13</v>
      </c>
      <c r="D390" s="84">
        <v>29</v>
      </c>
      <c r="E390" s="85">
        <v>4948.16</v>
      </c>
      <c r="F390" s="85">
        <v>15216.46</v>
      </c>
      <c r="G390" s="85">
        <v>10268.299999999999</v>
      </c>
    </row>
    <row r="391" spans="1:7" x14ac:dyDescent="0.3">
      <c r="A391" s="84">
        <v>2026</v>
      </c>
      <c r="B391" s="84" t="s">
        <v>393</v>
      </c>
      <c r="C391" s="84">
        <v>13</v>
      </c>
      <c r="D391" s="84">
        <v>30</v>
      </c>
      <c r="E391" s="85">
        <v>4948.16</v>
      </c>
      <c r="F391" s="85">
        <v>16964.78</v>
      </c>
      <c r="G391" s="85">
        <v>12016.62</v>
      </c>
    </row>
    <row r="392" spans="1:7" x14ac:dyDescent="0.3">
      <c r="A392" s="84">
        <v>2026</v>
      </c>
      <c r="B392" s="84" t="s">
        <v>393</v>
      </c>
      <c r="C392" s="84">
        <v>14</v>
      </c>
      <c r="D392" s="84">
        <v>1</v>
      </c>
      <c r="E392" s="85">
        <v>5341.98</v>
      </c>
      <c r="F392" s="85">
        <v>1607.34</v>
      </c>
      <c r="G392" s="85">
        <v>-3734.64</v>
      </c>
    </row>
    <row r="393" spans="1:7" x14ac:dyDescent="0.3">
      <c r="A393" s="84">
        <v>2026</v>
      </c>
      <c r="B393" s="84" t="s">
        <v>393</v>
      </c>
      <c r="C393" s="84">
        <v>14</v>
      </c>
      <c r="D393" s="84">
        <v>2</v>
      </c>
      <c r="E393" s="85">
        <v>5341.98</v>
      </c>
      <c r="F393" s="85">
        <v>1901.76</v>
      </c>
      <c r="G393" s="85">
        <v>-3440.22</v>
      </c>
    </row>
    <row r="394" spans="1:7" x14ac:dyDescent="0.3">
      <c r="A394" s="84">
        <v>2026</v>
      </c>
      <c r="B394" s="84" t="s">
        <v>393</v>
      </c>
      <c r="C394" s="84">
        <v>14</v>
      </c>
      <c r="D394" s="84">
        <v>3</v>
      </c>
      <c r="E394" s="85">
        <v>5341.98</v>
      </c>
      <c r="F394" s="85">
        <v>2196.7399999999998</v>
      </c>
      <c r="G394" s="85">
        <v>-3145.24</v>
      </c>
    </row>
    <row r="395" spans="1:7" x14ac:dyDescent="0.3">
      <c r="A395" s="84">
        <v>2026</v>
      </c>
      <c r="B395" s="84" t="s">
        <v>393</v>
      </c>
      <c r="C395" s="84">
        <v>14</v>
      </c>
      <c r="D395" s="84">
        <v>4</v>
      </c>
      <c r="E395" s="85">
        <v>5341.98</v>
      </c>
      <c r="F395" s="85">
        <v>2490.88</v>
      </c>
      <c r="G395" s="85">
        <v>-2851.1</v>
      </c>
    </row>
    <row r="396" spans="1:7" x14ac:dyDescent="0.3">
      <c r="A396" s="84">
        <v>2026</v>
      </c>
      <c r="B396" s="84" t="s">
        <v>393</v>
      </c>
      <c r="C396" s="84">
        <v>14</v>
      </c>
      <c r="D396" s="84">
        <v>5</v>
      </c>
      <c r="E396" s="85">
        <v>5341.98</v>
      </c>
      <c r="F396" s="85">
        <v>2785.58</v>
      </c>
      <c r="G396" s="85">
        <v>-2556.4</v>
      </c>
    </row>
    <row r="397" spans="1:7" x14ac:dyDescent="0.3">
      <c r="A397" s="84">
        <v>2026</v>
      </c>
      <c r="B397" s="84" t="s">
        <v>393</v>
      </c>
      <c r="C397" s="84">
        <v>14</v>
      </c>
      <c r="D397" s="84">
        <v>6</v>
      </c>
      <c r="E397" s="85">
        <v>5341.98</v>
      </c>
      <c r="F397" s="85">
        <v>2982.28</v>
      </c>
      <c r="G397" s="85">
        <v>-2359.6999999999998</v>
      </c>
    </row>
    <row r="398" spans="1:7" x14ac:dyDescent="0.3">
      <c r="A398" s="84">
        <v>2026</v>
      </c>
      <c r="B398" s="84" t="s">
        <v>393</v>
      </c>
      <c r="C398" s="84">
        <v>14</v>
      </c>
      <c r="D398" s="84">
        <v>7</v>
      </c>
      <c r="E398" s="85">
        <v>5341.98</v>
      </c>
      <c r="F398" s="85">
        <v>3178.98</v>
      </c>
      <c r="G398" s="85">
        <v>-2163</v>
      </c>
    </row>
    <row r="399" spans="1:7" x14ac:dyDescent="0.3">
      <c r="A399" s="84">
        <v>2026</v>
      </c>
      <c r="B399" s="84" t="s">
        <v>393</v>
      </c>
      <c r="C399" s="84">
        <v>14</v>
      </c>
      <c r="D399" s="84">
        <v>8</v>
      </c>
      <c r="E399" s="85">
        <v>5341.98</v>
      </c>
      <c r="F399" s="85">
        <v>3375.26</v>
      </c>
      <c r="G399" s="85">
        <v>-1966.72</v>
      </c>
    </row>
    <row r="400" spans="1:7" x14ac:dyDescent="0.3">
      <c r="A400" s="84">
        <v>2026</v>
      </c>
      <c r="B400" s="84" t="s">
        <v>393</v>
      </c>
      <c r="C400" s="84">
        <v>14</v>
      </c>
      <c r="D400" s="84">
        <v>9</v>
      </c>
      <c r="E400" s="85">
        <v>5341.98</v>
      </c>
      <c r="F400" s="85">
        <v>3572.38</v>
      </c>
      <c r="G400" s="85">
        <v>-1769.6</v>
      </c>
    </row>
    <row r="401" spans="1:7" x14ac:dyDescent="0.3">
      <c r="A401" s="84">
        <v>2026</v>
      </c>
      <c r="B401" s="84" t="s">
        <v>393</v>
      </c>
      <c r="C401" s="84">
        <v>14</v>
      </c>
      <c r="D401" s="84">
        <v>10</v>
      </c>
      <c r="E401" s="85">
        <v>5341.98</v>
      </c>
      <c r="F401" s="85">
        <v>3768.8</v>
      </c>
      <c r="G401" s="85">
        <v>-1573.18</v>
      </c>
    </row>
    <row r="402" spans="1:7" x14ac:dyDescent="0.3">
      <c r="A402" s="84">
        <v>2026</v>
      </c>
      <c r="B402" s="84" t="s">
        <v>393</v>
      </c>
      <c r="C402" s="84">
        <v>14</v>
      </c>
      <c r="D402" s="84">
        <v>11</v>
      </c>
      <c r="E402" s="85">
        <v>5341.98</v>
      </c>
      <c r="F402" s="85">
        <v>4161.3599999999997</v>
      </c>
      <c r="G402" s="85">
        <v>-1180.6199999999999</v>
      </c>
    </row>
    <row r="403" spans="1:7" x14ac:dyDescent="0.3">
      <c r="A403" s="84">
        <v>2026</v>
      </c>
      <c r="B403" s="84" t="s">
        <v>393</v>
      </c>
      <c r="C403" s="84">
        <v>14</v>
      </c>
      <c r="D403" s="84">
        <v>12</v>
      </c>
      <c r="E403" s="85">
        <v>5341.98</v>
      </c>
      <c r="F403" s="85">
        <v>4554.8999999999996</v>
      </c>
      <c r="G403" s="85">
        <v>-787.08</v>
      </c>
    </row>
    <row r="404" spans="1:7" x14ac:dyDescent="0.3">
      <c r="A404" s="84">
        <v>2026</v>
      </c>
      <c r="B404" s="84" t="s">
        <v>393</v>
      </c>
      <c r="C404" s="84">
        <v>14</v>
      </c>
      <c r="D404" s="84">
        <v>13</v>
      </c>
      <c r="E404" s="85">
        <v>5341.98</v>
      </c>
      <c r="F404" s="85">
        <v>4948.16</v>
      </c>
      <c r="G404" s="85">
        <v>-393.82</v>
      </c>
    </row>
    <row r="405" spans="1:7" x14ac:dyDescent="0.3">
      <c r="A405" s="84">
        <v>2026</v>
      </c>
      <c r="B405" s="84" t="s">
        <v>393</v>
      </c>
      <c r="C405" s="84">
        <v>14</v>
      </c>
      <c r="D405" s="84">
        <v>14</v>
      </c>
      <c r="E405" s="85">
        <v>5341.98</v>
      </c>
      <c r="F405" s="85">
        <v>5341.98</v>
      </c>
      <c r="G405" s="85">
        <v>0</v>
      </c>
    </row>
    <row r="406" spans="1:7" x14ac:dyDescent="0.3">
      <c r="A406" s="84">
        <v>2026</v>
      </c>
      <c r="B406" s="84" t="s">
        <v>393</v>
      </c>
      <c r="C406" s="84">
        <v>14</v>
      </c>
      <c r="D406" s="84">
        <v>15</v>
      </c>
      <c r="E406" s="85">
        <v>5341.98</v>
      </c>
      <c r="F406" s="85">
        <v>5734.26</v>
      </c>
      <c r="G406" s="85">
        <v>392.28</v>
      </c>
    </row>
    <row r="407" spans="1:7" x14ac:dyDescent="0.3">
      <c r="A407" s="84">
        <v>2026</v>
      </c>
      <c r="B407" s="84" t="s">
        <v>393</v>
      </c>
      <c r="C407" s="84">
        <v>14</v>
      </c>
      <c r="D407" s="84">
        <v>16</v>
      </c>
      <c r="E407" s="85">
        <v>5341.98</v>
      </c>
      <c r="F407" s="85">
        <v>6128.22</v>
      </c>
      <c r="G407" s="85">
        <v>786.24</v>
      </c>
    </row>
    <row r="408" spans="1:7" x14ac:dyDescent="0.3">
      <c r="A408" s="84">
        <v>2026</v>
      </c>
      <c r="B408" s="84" t="s">
        <v>393</v>
      </c>
      <c r="C408" s="84">
        <v>14</v>
      </c>
      <c r="D408" s="84">
        <v>17</v>
      </c>
      <c r="E408" s="85">
        <v>5341.98</v>
      </c>
      <c r="F408" s="85">
        <v>6520.5</v>
      </c>
      <c r="G408" s="85">
        <v>1178.52</v>
      </c>
    </row>
    <row r="409" spans="1:7" x14ac:dyDescent="0.3">
      <c r="A409" s="84">
        <v>2026</v>
      </c>
      <c r="B409" s="84" t="s">
        <v>393</v>
      </c>
      <c r="C409" s="84">
        <v>14</v>
      </c>
      <c r="D409" s="84">
        <v>18</v>
      </c>
      <c r="E409" s="85">
        <v>5341.98</v>
      </c>
      <c r="F409" s="85">
        <v>6914.04</v>
      </c>
      <c r="G409" s="85">
        <v>1572.06</v>
      </c>
    </row>
    <row r="410" spans="1:7" x14ac:dyDescent="0.3">
      <c r="A410" s="84">
        <v>2026</v>
      </c>
      <c r="B410" s="84" t="s">
        <v>393</v>
      </c>
      <c r="C410" s="84">
        <v>14</v>
      </c>
      <c r="D410" s="84">
        <v>19</v>
      </c>
      <c r="E410" s="85">
        <v>5341.98</v>
      </c>
      <c r="F410" s="85">
        <v>7307.16</v>
      </c>
      <c r="G410" s="85">
        <v>1965.18</v>
      </c>
    </row>
    <row r="411" spans="1:7" x14ac:dyDescent="0.3">
      <c r="A411" s="84">
        <v>2026</v>
      </c>
      <c r="B411" s="84" t="s">
        <v>393</v>
      </c>
      <c r="C411" s="84">
        <v>14</v>
      </c>
      <c r="D411" s="84">
        <v>20</v>
      </c>
      <c r="E411" s="85">
        <v>5341.98</v>
      </c>
      <c r="F411" s="85">
        <v>7700.14</v>
      </c>
      <c r="G411" s="85">
        <v>2358.16</v>
      </c>
    </row>
    <row r="412" spans="1:7" x14ac:dyDescent="0.3">
      <c r="A412" s="84">
        <v>2026</v>
      </c>
      <c r="B412" s="84" t="s">
        <v>393</v>
      </c>
      <c r="C412" s="84">
        <v>14</v>
      </c>
      <c r="D412" s="84">
        <v>21</v>
      </c>
      <c r="E412" s="85">
        <v>5341.98</v>
      </c>
      <c r="F412" s="85">
        <v>8289.5400000000009</v>
      </c>
      <c r="G412" s="85">
        <v>2947.56</v>
      </c>
    </row>
    <row r="413" spans="1:7" x14ac:dyDescent="0.3">
      <c r="A413" s="84">
        <v>2026</v>
      </c>
      <c r="B413" s="84" t="s">
        <v>393</v>
      </c>
      <c r="C413" s="84">
        <v>14</v>
      </c>
      <c r="D413" s="84">
        <v>22</v>
      </c>
      <c r="E413" s="85">
        <v>5341.98</v>
      </c>
      <c r="F413" s="85">
        <v>8928.2199999999993</v>
      </c>
      <c r="G413" s="85">
        <v>3586.24</v>
      </c>
    </row>
    <row r="414" spans="1:7" x14ac:dyDescent="0.3">
      <c r="A414" s="84">
        <v>2026</v>
      </c>
      <c r="B414" s="84" t="s">
        <v>393</v>
      </c>
      <c r="C414" s="84">
        <v>14</v>
      </c>
      <c r="D414" s="84">
        <v>23</v>
      </c>
      <c r="E414" s="85">
        <v>5341.98</v>
      </c>
      <c r="F414" s="85">
        <v>9568.7199999999993</v>
      </c>
      <c r="G414" s="85">
        <v>4226.74</v>
      </c>
    </row>
    <row r="415" spans="1:7" x14ac:dyDescent="0.3">
      <c r="A415" s="84">
        <v>2026</v>
      </c>
      <c r="B415" s="84" t="s">
        <v>393</v>
      </c>
      <c r="C415" s="84">
        <v>14</v>
      </c>
      <c r="D415" s="84">
        <v>24</v>
      </c>
      <c r="E415" s="85">
        <v>5341.98</v>
      </c>
      <c r="F415" s="85">
        <v>10207.959999999999</v>
      </c>
      <c r="G415" s="85">
        <v>4865.9799999999996</v>
      </c>
    </row>
    <row r="416" spans="1:7" x14ac:dyDescent="0.3">
      <c r="A416" s="84">
        <v>2026</v>
      </c>
      <c r="B416" s="84" t="s">
        <v>393</v>
      </c>
      <c r="C416" s="84">
        <v>14</v>
      </c>
      <c r="D416" s="84">
        <v>25</v>
      </c>
      <c r="E416" s="85">
        <v>5341.98</v>
      </c>
      <c r="F416" s="85">
        <v>10848.04</v>
      </c>
      <c r="G416" s="85">
        <v>5506.06</v>
      </c>
    </row>
    <row r="417" spans="1:7" x14ac:dyDescent="0.3">
      <c r="A417" s="84">
        <v>2026</v>
      </c>
      <c r="B417" s="84" t="s">
        <v>393</v>
      </c>
      <c r="C417" s="84">
        <v>14</v>
      </c>
      <c r="D417" s="84">
        <v>26</v>
      </c>
      <c r="E417" s="85">
        <v>5341.98</v>
      </c>
      <c r="F417" s="85">
        <v>12227.32</v>
      </c>
      <c r="G417" s="85">
        <v>6885.34</v>
      </c>
    </row>
    <row r="418" spans="1:7" x14ac:dyDescent="0.3">
      <c r="A418" s="84">
        <v>2026</v>
      </c>
      <c r="B418" s="84" t="s">
        <v>393</v>
      </c>
      <c r="C418" s="84">
        <v>14</v>
      </c>
      <c r="D418" s="84">
        <v>27</v>
      </c>
      <c r="E418" s="85">
        <v>5341.98</v>
      </c>
      <c r="F418" s="85">
        <v>13936.58</v>
      </c>
      <c r="G418" s="85">
        <v>8594.6</v>
      </c>
    </row>
    <row r="419" spans="1:7" x14ac:dyDescent="0.3">
      <c r="A419" s="84">
        <v>2026</v>
      </c>
      <c r="B419" s="84" t="s">
        <v>393</v>
      </c>
      <c r="C419" s="84">
        <v>14</v>
      </c>
      <c r="D419" s="84">
        <v>28</v>
      </c>
      <c r="E419" s="85">
        <v>5341.98</v>
      </c>
      <c r="F419" s="85">
        <v>14577.08</v>
      </c>
      <c r="G419" s="85">
        <v>9235.1</v>
      </c>
    </row>
    <row r="420" spans="1:7" x14ac:dyDescent="0.3">
      <c r="A420" s="84">
        <v>2026</v>
      </c>
      <c r="B420" s="84" t="s">
        <v>393</v>
      </c>
      <c r="C420" s="84">
        <v>14</v>
      </c>
      <c r="D420" s="84">
        <v>29</v>
      </c>
      <c r="E420" s="85">
        <v>5341.98</v>
      </c>
      <c r="F420" s="85">
        <v>15216.46</v>
      </c>
      <c r="G420" s="85">
        <v>9874.48</v>
      </c>
    </row>
    <row r="421" spans="1:7" x14ac:dyDescent="0.3">
      <c r="A421" s="84">
        <v>2026</v>
      </c>
      <c r="B421" s="84" t="s">
        <v>393</v>
      </c>
      <c r="C421" s="84">
        <v>14</v>
      </c>
      <c r="D421" s="84">
        <v>30</v>
      </c>
      <c r="E421" s="85">
        <v>5341.98</v>
      </c>
      <c r="F421" s="85">
        <v>16964.78</v>
      </c>
      <c r="G421" s="85">
        <v>11622.8</v>
      </c>
    </row>
    <row r="422" spans="1:7" x14ac:dyDescent="0.3">
      <c r="A422" s="84">
        <v>2026</v>
      </c>
      <c r="B422" s="84" t="s">
        <v>393</v>
      </c>
      <c r="C422" s="84">
        <v>15</v>
      </c>
      <c r="D422" s="84">
        <v>1</v>
      </c>
      <c r="E422" s="85">
        <v>5734.26</v>
      </c>
      <c r="F422" s="85">
        <v>1607.34</v>
      </c>
      <c r="G422" s="85">
        <v>-4126.92</v>
      </c>
    </row>
    <row r="423" spans="1:7" x14ac:dyDescent="0.3">
      <c r="A423" s="84">
        <v>2026</v>
      </c>
      <c r="B423" s="84" t="s">
        <v>393</v>
      </c>
      <c r="C423" s="84">
        <v>15</v>
      </c>
      <c r="D423" s="84">
        <v>2</v>
      </c>
      <c r="E423" s="85">
        <v>5734.26</v>
      </c>
      <c r="F423" s="85">
        <v>1901.76</v>
      </c>
      <c r="G423" s="85">
        <v>-3832.5</v>
      </c>
    </row>
    <row r="424" spans="1:7" x14ac:dyDescent="0.3">
      <c r="A424" s="84">
        <v>2026</v>
      </c>
      <c r="B424" s="84" t="s">
        <v>393</v>
      </c>
      <c r="C424" s="84">
        <v>15</v>
      </c>
      <c r="D424" s="84">
        <v>3</v>
      </c>
      <c r="E424" s="85">
        <v>5734.26</v>
      </c>
      <c r="F424" s="85">
        <v>2196.7399999999998</v>
      </c>
      <c r="G424" s="85">
        <v>-3537.52</v>
      </c>
    </row>
    <row r="425" spans="1:7" x14ac:dyDescent="0.3">
      <c r="A425" s="84">
        <v>2026</v>
      </c>
      <c r="B425" s="84" t="s">
        <v>393</v>
      </c>
      <c r="C425" s="84">
        <v>15</v>
      </c>
      <c r="D425" s="84">
        <v>4</v>
      </c>
      <c r="E425" s="85">
        <v>5734.26</v>
      </c>
      <c r="F425" s="85">
        <v>2490.88</v>
      </c>
      <c r="G425" s="85">
        <v>-3243.38</v>
      </c>
    </row>
    <row r="426" spans="1:7" x14ac:dyDescent="0.3">
      <c r="A426" s="84">
        <v>2026</v>
      </c>
      <c r="B426" s="84" t="s">
        <v>393</v>
      </c>
      <c r="C426" s="84">
        <v>15</v>
      </c>
      <c r="D426" s="84">
        <v>5</v>
      </c>
      <c r="E426" s="85">
        <v>5734.26</v>
      </c>
      <c r="F426" s="85">
        <v>2785.58</v>
      </c>
      <c r="G426" s="85">
        <v>-2948.68</v>
      </c>
    </row>
    <row r="427" spans="1:7" x14ac:dyDescent="0.3">
      <c r="A427" s="84">
        <v>2026</v>
      </c>
      <c r="B427" s="84" t="s">
        <v>393</v>
      </c>
      <c r="C427" s="84">
        <v>15</v>
      </c>
      <c r="D427" s="84">
        <v>6</v>
      </c>
      <c r="E427" s="85">
        <v>5734.26</v>
      </c>
      <c r="F427" s="85">
        <v>2982.28</v>
      </c>
      <c r="G427" s="85">
        <v>-2751.98</v>
      </c>
    </row>
    <row r="428" spans="1:7" x14ac:dyDescent="0.3">
      <c r="A428" s="84">
        <v>2026</v>
      </c>
      <c r="B428" s="84" t="s">
        <v>393</v>
      </c>
      <c r="C428" s="84">
        <v>15</v>
      </c>
      <c r="D428" s="84">
        <v>7</v>
      </c>
      <c r="E428" s="85">
        <v>5734.26</v>
      </c>
      <c r="F428" s="85">
        <v>3178.98</v>
      </c>
      <c r="G428" s="85">
        <v>-2555.2800000000002</v>
      </c>
    </row>
    <row r="429" spans="1:7" x14ac:dyDescent="0.3">
      <c r="A429" s="84">
        <v>2026</v>
      </c>
      <c r="B429" s="84" t="s">
        <v>393</v>
      </c>
      <c r="C429" s="84">
        <v>15</v>
      </c>
      <c r="D429" s="84">
        <v>8</v>
      </c>
      <c r="E429" s="85">
        <v>5734.26</v>
      </c>
      <c r="F429" s="85">
        <v>3375.26</v>
      </c>
      <c r="G429" s="85">
        <v>-2359</v>
      </c>
    </row>
    <row r="430" spans="1:7" x14ac:dyDescent="0.3">
      <c r="A430" s="84">
        <v>2026</v>
      </c>
      <c r="B430" s="84" t="s">
        <v>393</v>
      </c>
      <c r="C430" s="84">
        <v>15</v>
      </c>
      <c r="D430" s="84">
        <v>9</v>
      </c>
      <c r="E430" s="85">
        <v>5734.26</v>
      </c>
      <c r="F430" s="85">
        <v>3572.38</v>
      </c>
      <c r="G430" s="85">
        <v>-2161.88</v>
      </c>
    </row>
    <row r="431" spans="1:7" x14ac:dyDescent="0.3">
      <c r="A431" s="84">
        <v>2026</v>
      </c>
      <c r="B431" s="84" t="s">
        <v>393</v>
      </c>
      <c r="C431" s="84">
        <v>15</v>
      </c>
      <c r="D431" s="84">
        <v>10</v>
      </c>
      <c r="E431" s="85">
        <v>5734.26</v>
      </c>
      <c r="F431" s="85">
        <v>3768.8</v>
      </c>
      <c r="G431" s="85">
        <v>-1965.46</v>
      </c>
    </row>
    <row r="432" spans="1:7" x14ac:dyDescent="0.3">
      <c r="A432" s="84">
        <v>2026</v>
      </c>
      <c r="B432" s="84" t="s">
        <v>393</v>
      </c>
      <c r="C432" s="84">
        <v>15</v>
      </c>
      <c r="D432" s="84">
        <v>11</v>
      </c>
      <c r="E432" s="85">
        <v>5734.26</v>
      </c>
      <c r="F432" s="85">
        <v>4161.3599999999997</v>
      </c>
      <c r="G432" s="85">
        <v>-1572.9</v>
      </c>
    </row>
    <row r="433" spans="1:7" x14ac:dyDescent="0.3">
      <c r="A433" s="84">
        <v>2026</v>
      </c>
      <c r="B433" s="84" t="s">
        <v>393</v>
      </c>
      <c r="C433" s="84">
        <v>15</v>
      </c>
      <c r="D433" s="84">
        <v>12</v>
      </c>
      <c r="E433" s="85">
        <v>5734.26</v>
      </c>
      <c r="F433" s="85">
        <v>4554.8999999999996</v>
      </c>
      <c r="G433" s="85">
        <v>-1179.3599999999999</v>
      </c>
    </row>
    <row r="434" spans="1:7" x14ac:dyDescent="0.3">
      <c r="A434" s="84">
        <v>2026</v>
      </c>
      <c r="B434" s="84" t="s">
        <v>393</v>
      </c>
      <c r="C434" s="84">
        <v>15</v>
      </c>
      <c r="D434" s="84">
        <v>13</v>
      </c>
      <c r="E434" s="85">
        <v>5734.26</v>
      </c>
      <c r="F434" s="85">
        <v>4948.16</v>
      </c>
      <c r="G434" s="85">
        <v>-786.1</v>
      </c>
    </row>
    <row r="435" spans="1:7" x14ac:dyDescent="0.3">
      <c r="A435" s="84">
        <v>2026</v>
      </c>
      <c r="B435" s="84" t="s">
        <v>393</v>
      </c>
      <c r="C435" s="84">
        <v>15</v>
      </c>
      <c r="D435" s="84">
        <v>14</v>
      </c>
      <c r="E435" s="85">
        <v>5734.26</v>
      </c>
      <c r="F435" s="85">
        <v>5341.98</v>
      </c>
      <c r="G435" s="85">
        <v>-392.28</v>
      </c>
    </row>
    <row r="436" spans="1:7" x14ac:dyDescent="0.3">
      <c r="A436" s="84">
        <v>2026</v>
      </c>
      <c r="B436" s="84" t="s">
        <v>393</v>
      </c>
      <c r="C436" s="84">
        <v>15</v>
      </c>
      <c r="D436" s="84">
        <v>15</v>
      </c>
      <c r="E436" s="85">
        <v>5734.26</v>
      </c>
      <c r="F436" s="85">
        <v>5734.26</v>
      </c>
      <c r="G436" s="85">
        <v>0</v>
      </c>
    </row>
    <row r="437" spans="1:7" x14ac:dyDescent="0.3">
      <c r="A437" s="84">
        <v>2026</v>
      </c>
      <c r="B437" s="84" t="s">
        <v>393</v>
      </c>
      <c r="C437" s="84">
        <v>15</v>
      </c>
      <c r="D437" s="84">
        <v>16</v>
      </c>
      <c r="E437" s="85">
        <v>5734.26</v>
      </c>
      <c r="F437" s="85">
        <v>6128.22</v>
      </c>
      <c r="G437" s="85">
        <v>393.96</v>
      </c>
    </row>
    <row r="438" spans="1:7" x14ac:dyDescent="0.3">
      <c r="A438" s="84">
        <v>2026</v>
      </c>
      <c r="B438" s="84" t="s">
        <v>393</v>
      </c>
      <c r="C438" s="84">
        <v>15</v>
      </c>
      <c r="D438" s="84">
        <v>17</v>
      </c>
      <c r="E438" s="85">
        <v>5734.26</v>
      </c>
      <c r="F438" s="85">
        <v>6520.5</v>
      </c>
      <c r="G438" s="85">
        <v>786.24</v>
      </c>
    </row>
    <row r="439" spans="1:7" x14ac:dyDescent="0.3">
      <c r="A439" s="84">
        <v>2026</v>
      </c>
      <c r="B439" s="84" t="s">
        <v>393</v>
      </c>
      <c r="C439" s="84">
        <v>15</v>
      </c>
      <c r="D439" s="84">
        <v>18</v>
      </c>
      <c r="E439" s="85">
        <v>5734.26</v>
      </c>
      <c r="F439" s="85">
        <v>6914.04</v>
      </c>
      <c r="G439" s="85">
        <v>1179.78</v>
      </c>
    </row>
    <row r="440" spans="1:7" x14ac:dyDescent="0.3">
      <c r="A440" s="84">
        <v>2026</v>
      </c>
      <c r="B440" s="84" t="s">
        <v>393</v>
      </c>
      <c r="C440" s="84">
        <v>15</v>
      </c>
      <c r="D440" s="84">
        <v>19</v>
      </c>
      <c r="E440" s="85">
        <v>5734.26</v>
      </c>
      <c r="F440" s="85">
        <v>7307.16</v>
      </c>
      <c r="G440" s="85">
        <v>1572.9</v>
      </c>
    </row>
    <row r="441" spans="1:7" x14ac:dyDescent="0.3">
      <c r="A441" s="84">
        <v>2026</v>
      </c>
      <c r="B441" s="84" t="s">
        <v>393</v>
      </c>
      <c r="C441" s="84">
        <v>15</v>
      </c>
      <c r="D441" s="84">
        <v>20</v>
      </c>
      <c r="E441" s="85">
        <v>5734.26</v>
      </c>
      <c r="F441" s="85">
        <v>7700.14</v>
      </c>
      <c r="G441" s="85">
        <v>1965.88</v>
      </c>
    </row>
    <row r="442" spans="1:7" x14ac:dyDescent="0.3">
      <c r="A442" s="84">
        <v>2026</v>
      </c>
      <c r="B442" s="84" t="s">
        <v>393</v>
      </c>
      <c r="C442" s="84">
        <v>15</v>
      </c>
      <c r="D442" s="84">
        <v>21</v>
      </c>
      <c r="E442" s="85">
        <v>5734.26</v>
      </c>
      <c r="F442" s="85">
        <v>8289.5400000000009</v>
      </c>
      <c r="G442" s="85">
        <v>2555.2800000000002</v>
      </c>
    </row>
    <row r="443" spans="1:7" x14ac:dyDescent="0.3">
      <c r="A443" s="84">
        <v>2026</v>
      </c>
      <c r="B443" s="84" t="s">
        <v>393</v>
      </c>
      <c r="C443" s="84">
        <v>15</v>
      </c>
      <c r="D443" s="84">
        <v>22</v>
      </c>
      <c r="E443" s="85">
        <v>5734.26</v>
      </c>
      <c r="F443" s="85">
        <v>8928.2199999999993</v>
      </c>
      <c r="G443" s="85">
        <v>3193.96</v>
      </c>
    </row>
    <row r="444" spans="1:7" x14ac:dyDescent="0.3">
      <c r="A444" s="84">
        <v>2026</v>
      </c>
      <c r="B444" s="84" t="s">
        <v>393</v>
      </c>
      <c r="C444" s="84">
        <v>15</v>
      </c>
      <c r="D444" s="84">
        <v>23</v>
      </c>
      <c r="E444" s="85">
        <v>5734.26</v>
      </c>
      <c r="F444" s="85">
        <v>9568.7199999999993</v>
      </c>
      <c r="G444" s="85">
        <v>3834.46</v>
      </c>
    </row>
    <row r="445" spans="1:7" x14ac:dyDescent="0.3">
      <c r="A445" s="84">
        <v>2026</v>
      </c>
      <c r="B445" s="84" t="s">
        <v>393</v>
      </c>
      <c r="C445" s="84">
        <v>15</v>
      </c>
      <c r="D445" s="84">
        <v>24</v>
      </c>
      <c r="E445" s="85">
        <v>5734.26</v>
      </c>
      <c r="F445" s="85">
        <v>10207.959999999999</v>
      </c>
      <c r="G445" s="85">
        <v>4473.7</v>
      </c>
    </row>
    <row r="446" spans="1:7" x14ac:dyDescent="0.3">
      <c r="A446" s="84">
        <v>2026</v>
      </c>
      <c r="B446" s="84" t="s">
        <v>393</v>
      </c>
      <c r="C446" s="84">
        <v>15</v>
      </c>
      <c r="D446" s="84">
        <v>25</v>
      </c>
      <c r="E446" s="85">
        <v>5734.26</v>
      </c>
      <c r="F446" s="85">
        <v>10848.04</v>
      </c>
      <c r="G446" s="85">
        <v>5113.78</v>
      </c>
    </row>
    <row r="447" spans="1:7" x14ac:dyDescent="0.3">
      <c r="A447" s="84">
        <v>2026</v>
      </c>
      <c r="B447" s="84" t="s">
        <v>393</v>
      </c>
      <c r="C447" s="84">
        <v>15</v>
      </c>
      <c r="D447" s="84">
        <v>26</v>
      </c>
      <c r="E447" s="85">
        <v>5734.26</v>
      </c>
      <c r="F447" s="85">
        <v>12227.32</v>
      </c>
      <c r="G447" s="85">
        <v>6493.06</v>
      </c>
    </row>
    <row r="448" spans="1:7" x14ac:dyDescent="0.3">
      <c r="A448" s="84">
        <v>2026</v>
      </c>
      <c r="B448" s="84" t="s">
        <v>393</v>
      </c>
      <c r="C448" s="84">
        <v>15</v>
      </c>
      <c r="D448" s="84">
        <v>27</v>
      </c>
      <c r="E448" s="85">
        <v>5734.26</v>
      </c>
      <c r="F448" s="85">
        <v>13936.58</v>
      </c>
      <c r="G448" s="85">
        <v>8202.32</v>
      </c>
    </row>
    <row r="449" spans="1:7" x14ac:dyDescent="0.3">
      <c r="A449" s="84">
        <v>2026</v>
      </c>
      <c r="B449" s="84" t="s">
        <v>393</v>
      </c>
      <c r="C449" s="84">
        <v>15</v>
      </c>
      <c r="D449" s="84">
        <v>28</v>
      </c>
      <c r="E449" s="85">
        <v>5734.26</v>
      </c>
      <c r="F449" s="85">
        <v>14577.08</v>
      </c>
      <c r="G449" s="85">
        <v>8842.82</v>
      </c>
    </row>
    <row r="450" spans="1:7" x14ac:dyDescent="0.3">
      <c r="A450" s="84">
        <v>2026</v>
      </c>
      <c r="B450" s="84" t="s">
        <v>393</v>
      </c>
      <c r="C450" s="84">
        <v>15</v>
      </c>
      <c r="D450" s="84">
        <v>29</v>
      </c>
      <c r="E450" s="85">
        <v>5734.26</v>
      </c>
      <c r="F450" s="85">
        <v>15216.46</v>
      </c>
      <c r="G450" s="85">
        <v>9482.2000000000007</v>
      </c>
    </row>
    <row r="451" spans="1:7" x14ac:dyDescent="0.3">
      <c r="A451" s="84">
        <v>2026</v>
      </c>
      <c r="B451" s="84" t="s">
        <v>393</v>
      </c>
      <c r="C451" s="84">
        <v>15</v>
      </c>
      <c r="D451" s="84">
        <v>30</v>
      </c>
      <c r="E451" s="85">
        <v>5734.26</v>
      </c>
      <c r="F451" s="85">
        <v>16964.78</v>
      </c>
      <c r="G451" s="85">
        <v>11230.52</v>
      </c>
    </row>
    <row r="452" spans="1:7" x14ac:dyDescent="0.3">
      <c r="A452" s="84">
        <v>2026</v>
      </c>
      <c r="B452" s="84" t="s">
        <v>393</v>
      </c>
      <c r="C452" s="84">
        <v>16</v>
      </c>
      <c r="D452" s="84">
        <v>1</v>
      </c>
      <c r="E452" s="85">
        <v>6128.22</v>
      </c>
      <c r="F452" s="85">
        <v>1607.34</v>
      </c>
      <c r="G452" s="85">
        <v>-4520.88</v>
      </c>
    </row>
    <row r="453" spans="1:7" x14ac:dyDescent="0.3">
      <c r="A453" s="84">
        <v>2026</v>
      </c>
      <c r="B453" s="84" t="s">
        <v>393</v>
      </c>
      <c r="C453" s="84">
        <v>16</v>
      </c>
      <c r="D453" s="84">
        <v>2</v>
      </c>
      <c r="E453" s="85">
        <v>6128.22</v>
      </c>
      <c r="F453" s="85">
        <v>1901.76</v>
      </c>
      <c r="G453" s="85">
        <v>-4226.46</v>
      </c>
    </row>
    <row r="454" spans="1:7" x14ac:dyDescent="0.3">
      <c r="A454" s="84">
        <v>2026</v>
      </c>
      <c r="B454" s="84" t="s">
        <v>393</v>
      </c>
      <c r="C454" s="84">
        <v>16</v>
      </c>
      <c r="D454" s="84">
        <v>3</v>
      </c>
      <c r="E454" s="85">
        <v>6128.22</v>
      </c>
      <c r="F454" s="85">
        <v>2196.7399999999998</v>
      </c>
      <c r="G454" s="85">
        <v>-3931.48</v>
      </c>
    </row>
    <row r="455" spans="1:7" x14ac:dyDescent="0.3">
      <c r="A455" s="84">
        <v>2026</v>
      </c>
      <c r="B455" s="84" t="s">
        <v>393</v>
      </c>
      <c r="C455" s="84">
        <v>16</v>
      </c>
      <c r="D455" s="84">
        <v>4</v>
      </c>
      <c r="E455" s="85">
        <v>6128.22</v>
      </c>
      <c r="F455" s="85">
        <v>2490.88</v>
      </c>
      <c r="G455" s="85">
        <v>-3637.34</v>
      </c>
    </row>
    <row r="456" spans="1:7" x14ac:dyDescent="0.3">
      <c r="A456" s="84">
        <v>2026</v>
      </c>
      <c r="B456" s="84" t="s">
        <v>393</v>
      </c>
      <c r="C456" s="84">
        <v>16</v>
      </c>
      <c r="D456" s="84">
        <v>5</v>
      </c>
      <c r="E456" s="85">
        <v>6128.22</v>
      </c>
      <c r="F456" s="85">
        <v>2785.58</v>
      </c>
      <c r="G456" s="85">
        <v>-3342.64</v>
      </c>
    </row>
    <row r="457" spans="1:7" x14ac:dyDescent="0.3">
      <c r="A457" s="84">
        <v>2026</v>
      </c>
      <c r="B457" s="84" t="s">
        <v>393</v>
      </c>
      <c r="C457" s="84">
        <v>16</v>
      </c>
      <c r="D457" s="84">
        <v>6</v>
      </c>
      <c r="E457" s="85">
        <v>6128.22</v>
      </c>
      <c r="F457" s="85">
        <v>2982.28</v>
      </c>
      <c r="G457" s="85">
        <v>-3145.94</v>
      </c>
    </row>
    <row r="458" spans="1:7" x14ac:dyDescent="0.3">
      <c r="A458" s="84">
        <v>2026</v>
      </c>
      <c r="B458" s="84" t="s">
        <v>393</v>
      </c>
      <c r="C458" s="84">
        <v>16</v>
      </c>
      <c r="D458" s="84">
        <v>7</v>
      </c>
      <c r="E458" s="85">
        <v>6128.22</v>
      </c>
      <c r="F458" s="85">
        <v>3178.98</v>
      </c>
      <c r="G458" s="85">
        <v>-2949.24</v>
      </c>
    </row>
    <row r="459" spans="1:7" x14ac:dyDescent="0.3">
      <c r="A459" s="84">
        <v>2026</v>
      </c>
      <c r="B459" s="84" t="s">
        <v>393</v>
      </c>
      <c r="C459" s="84">
        <v>16</v>
      </c>
      <c r="D459" s="84">
        <v>8</v>
      </c>
      <c r="E459" s="85">
        <v>6128.22</v>
      </c>
      <c r="F459" s="85">
        <v>3375.26</v>
      </c>
      <c r="G459" s="85">
        <v>-2752.96</v>
      </c>
    </row>
    <row r="460" spans="1:7" x14ac:dyDescent="0.3">
      <c r="A460" s="84">
        <v>2026</v>
      </c>
      <c r="B460" s="84" t="s">
        <v>393</v>
      </c>
      <c r="C460" s="84">
        <v>16</v>
      </c>
      <c r="D460" s="84">
        <v>9</v>
      </c>
      <c r="E460" s="85">
        <v>6128.22</v>
      </c>
      <c r="F460" s="85">
        <v>3572.38</v>
      </c>
      <c r="G460" s="85">
        <v>-2555.84</v>
      </c>
    </row>
    <row r="461" spans="1:7" x14ac:dyDescent="0.3">
      <c r="A461" s="84">
        <v>2026</v>
      </c>
      <c r="B461" s="84" t="s">
        <v>393</v>
      </c>
      <c r="C461" s="84">
        <v>16</v>
      </c>
      <c r="D461" s="84">
        <v>10</v>
      </c>
      <c r="E461" s="85">
        <v>6128.22</v>
      </c>
      <c r="F461" s="85">
        <v>3768.8</v>
      </c>
      <c r="G461" s="85">
        <v>-2359.42</v>
      </c>
    </row>
    <row r="462" spans="1:7" x14ac:dyDescent="0.3">
      <c r="A462" s="84">
        <v>2026</v>
      </c>
      <c r="B462" s="84" t="s">
        <v>393</v>
      </c>
      <c r="C462" s="84">
        <v>16</v>
      </c>
      <c r="D462" s="84">
        <v>11</v>
      </c>
      <c r="E462" s="85">
        <v>6128.22</v>
      </c>
      <c r="F462" s="85">
        <v>4161.3599999999997</v>
      </c>
      <c r="G462" s="85">
        <v>-1966.86</v>
      </c>
    </row>
    <row r="463" spans="1:7" x14ac:dyDescent="0.3">
      <c r="A463" s="84">
        <v>2026</v>
      </c>
      <c r="B463" s="84" t="s">
        <v>393</v>
      </c>
      <c r="C463" s="84">
        <v>16</v>
      </c>
      <c r="D463" s="84">
        <v>12</v>
      </c>
      <c r="E463" s="85">
        <v>6128.22</v>
      </c>
      <c r="F463" s="85">
        <v>4554.8999999999996</v>
      </c>
      <c r="G463" s="85">
        <v>-1573.32</v>
      </c>
    </row>
    <row r="464" spans="1:7" x14ac:dyDescent="0.3">
      <c r="A464" s="84">
        <v>2026</v>
      </c>
      <c r="B464" s="84" t="s">
        <v>393</v>
      </c>
      <c r="C464" s="84">
        <v>16</v>
      </c>
      <c r="D464" s="84">
        <v>13</v>
      </c>
      <c r="E464" s="85">
        <v>6128.22</v>
      </c>
      <c r="F464" s="85">
        <v>4948.16</v>
      </c>
      <c r="G464" s="85">
        <v>-1180.06</v>
      </c>
    </row>
    <row r="465" spans="1:7" x14ac:dyDescent="0.3">
      <c r="A465" s="84">
        <v>2026</v>
      </c>
      <c r="B465" s="84" t="s">
        <v>393</v>
      </c>
      <c r="C465" s="84">
        <v>16</v>
      </c>
      <c r="D465" s="84">
        <v>14</v>
      </c>
      <c r="E465" s="85">
        <v>6128.22</v>
      </c>
      <c r="F465" s="85">
        <v>5341.98</v>
      </c>
      <c r="G465" s="85">
        <v>-786.24</v>
      </c>
    </row>
    <row r="466" spans="1:7" x14ac:dyDescent="0.3">
      <c r="A466" s="84">
        <v>2026</v>
      </c>
      <c r="B466" s="84" t="s">
        <v>393</v>
      </c>
      <c r="C466" s="84">
        <v>16</v>
      </c>
      <c r="D466" s="84">
        <v>15</v>
      </c>
      <c r="E466" s="85">
        <v>6128.22</v>
      </c>
      <c r="F466" s="85">
        <v>5734.26</v>
      </c>
      <c r="G466" s="85">
        <v>-393.96</v>
      </c>
    </row>
    <row r="467" spans="1:7" x14ac:dyDescent="0.3">
      <c r="A467" s="84">
        <v>2026</v>
      </c>
      <c r="B467" s="84" t="s">
        <v>393</v>
      </c>
      <c r="C467" s="84">
        <v>16</v>
      </c>
      <c r="D467" s="84">
        <v>16</v>
      </c>
      <c r="E467" s="85">
        <v>6128.22</v>
      </c>
      <c r="F467" s="85">
        <v>6128.22</v>
      </c>
      <c r="G467" s="85">
        <v>0</v>
      </c>
    </row>
    <row r="468" spans="1:7" x14ac:dyDescent="0.3">
      <c r="A468" s="84">
        <v>2026</v>
      </c>
      <c r="B468" s="84" t="s">
        <v>393</v>
      </c>
      <c r="C468" s="84">
        <v>16</v>
      </c>
      <c r="D468" s="84">
        <v>17</v>
      </c>
      <c r="E468" s="85">
        <v>6128.22</v>
      </c>
      <c r="F468" s="85">
        <v>6520.5</v>
      </c>
      <c r="G468" s="85">
        <v>392.28</v>
      </c>
    </row>
    <row r="469" spans="1:7" x14ac:dyDescent="0.3">
      <c r="A469" s="84">
        <v>2026</v>
      </c>
      <c r="B469" s="84" t="s">
        <v>393</v>
      </c>
      <c r="C469" s="84">
        <v>16</v>
      </c>
      <c r="D469" s="84">
        <v>18</v>
      </c>
      <c r="E469" s="85">
        <v>6128.22</v>
      </c>
      <c r="F469" s="85">
        <v>6914.04</v>
      </c>
      <c r="G469" s="85">
        <v>785.82</v>
      </c>
    </row>
    <row r="470" spans="1:7" x14ac:dyDescent="0.3">
      <c r="A470" s="84">
        <v>2026</v>
      </c>
      <c r="B470" s="84" t="s">
        <v>393</v>
      </c>
      <c r="C470" s="84">
        <v>16</v>
      </c>
      <c r="D470" s="84">
        <v>19</v>
      </c>
      <c r="E470" s="85">
        <v>6128.22</v>
      </c>
      <c r="F470" s="85">
        <v>7307.16</v>
      </c>
      <c r="G470" s="85">
        <v>1178.94</v>
      </c>
    </row>
    <row r="471" spans="1:7" x14ac:dyDescent="0.3">
      <c r="A471" s="84">
        <v>2026</v>
      </c>
      <c r="B471" s="84" t="s">
        <v>393</v>
      </c>
      <c r="C471" s="84">
        <v>16</v>
      </c>
      <c r="D471" s="84">
        <v>20</v>
      </c>
      <c r="E471" s="85">
        <v>6128.22</v>
      </c>
      <c r="F471" s="85">
        <v>7700.14</v>
      </c>
      <c r="G471" s="85">
        <v>1571.92</v>
      </c>
    </row>
    <row r="472" spans="1:7" x14ac:dyDescent="0.3">
      <c r="A472" s="84">
        <v>2026</v>
      </c>
      <c r="B472" s="84" t="s">
        <v>393</v>
      </c>
      <c r="C472" s="84">
        <v>16</v>
      </c>
      <c r="D472" s="84">
        <v>21</v>
      </c>
      <c r="E472" s="85">
        <v>6128.22</v>
      </c>
      <c r="F472" s="85">
        <v>8289.5400000000009</v>
      </c>
      <c r="G472" s="85">
        <v>2161.3200000000002</v>
      </c>
    </row>
    <row r="473" spans="1:7" x14ac:dyDescent="0.3">
      <c r="A473" s="84">
        <v>2026</v>
      </c>
      <c r="B473" s="84" t="s">
        <v>393</v>
      </c>
      <c r="C473" s="84">
        <v>16</v>
      </c>
      <c r="D473" s="84">
        <v>22</v>
      </c>
      <c r="E473" s="85">
        <v>6128.22</v>
      </c>
      <c r="F473" s="85">
        <v>8928.2199999999993</v>
      </c>
      <c r="G473" s="85">
        <v>2800</v>
      </c>
    </row>
    <row r="474" spans="1:7" x14ac:dyDescent="0.3">
      <c r="A474" s="84">
        <v>2026</v>
      </c>
      <c r="B474" s="84" t="s">
        <v>393</v>
      </c>
      <c r="C474" s="84">
        <v>16</v>
      </c>
      <c r="D474" s="84">
        <v>23</v>
      </c>
      <c r="E474" s="85">
        <v>6128.22</v>
      </c>
      <c r="F474" s="85">
        <v>9568.7199999999993</v>
      </c>
      <c r="G474" s="85">
        <v>3440.5</v>
      </c>
    </row>
    <row r="475" spans="1:7" x14ac:dyDescent="0.3">
      <c r="A475" s="84">
        <v>2026</v>
      </c>
      <c r="B475" s="84" t="s">
        <v>393</v>
      </c>
      <c r="C475" s="84">
        <v>16</v>
      </c>
      <c r="D475" s="84">
        <v>24</v>
      </c>
      <c r="E475" s="85">
        <v>6128.22</v>
      </c>
      <c r="F475" s="85">
        <v>10207.959999999999</v>
      </c>
      <c r="G475" s="85">
        <v>4079.74</v>
      </c>
    </row>
    <row r="476" spans="1:7" x14ac:dyDescent="0.3">
      <c r="A476" s="84">
        <v>2026</v>
      </c>
      <c r="B476" s="84" t="s">
        <v>393</v>
      </c>
      <c r="C476" s="84">
        <v>16</v>
      </c>
      <c r="D476" s="84">
        <v>25</v>
      </c>
      <c r="E476" s="85">
        <v>6128.22</v>
      </c>
      <c r="F476" s="85">
        <v>10848.04</v>
      </c>
      <c r="G476" s="85">
        <v>4719.82</v>
      </c>
    </row>
    <row r="477" spans="1:7" x14ac:dyDescent="0.3">
      <c r="A477" s="84">
        <v>2026</v>
      </c>
      <c r="B477" s="84" t="s">
        <v>393</v>
      </c>
      <c r="C477" s="84">
        <v>16</v>
      </c>
      <c r="D477" s="84">
        <v>26</v>
      </c>
      <c r="E477" s="85">
        <v>6128.22</v>
      </c>
      <c r="F477" s="85">
        <v>12227.32</v>
      </c>
      <c r="G477" s="85">
        <v>6099.1</v>
      </c>
    </row>
    <row r="478" spans="1:7" x14ac:dyDescent="0.3">
      <c r="A478" s="84">
        <v>2026</v>
      </c>
      <c r="B478" s="84" t="s">
        <v>393</v>
      </c>
      <c r="C478" s="84">
        <v>16</v>
      </c>
      <c r="D478" s="84">
        <v>27</v>
      </c>
      <c r="E478" s="85">
        <v>6128.22</v>
      </c>
      <c r="F478" s="85">
        <v>13936.58</v>
      </c>
      <c r="G478" s="85">
        <v>7808.36</v>
      </c>
    </row>
    <row r="479" spans="1:7" x14ac:dyDescent="0.3">
      <c r="A479" s="84">
        <v>2026</v>
      </c>
      <c r="B479" s="84" t="s">
        <v>393</v>
      </c>
      <c r="C479" s="84">
        <v>16</v>
      </c>
      <c r="D479" s="84">
        <v>28</v>
      </c>
      <c r="E479" s="85">
        <v>6128.22</v>
      </c>
      <c r="F479" s="85">
        <v>14577.08</v>
      </c>
      <c r="G479" s="85">
        <v>8448.86</v>
      </c>
    </row>
    <row r="480" spans="1:7" x14ac:dyDescent="0.3">
      <c r="A480" s="84">
        <v>2026</v>
      </c>
      <c r="B480" s="84" t="s">
        <v>393</v>
      </c>
      <c r="C480" s="84">
        <v>16</v>
      </c>
      <c r="D480" s="84">
        <v>29</v>
      </c>
      <c r="E480" s="85">
        <v>6128.22</v>
      </c>
      <c r="F480" s="85">
        <v>15216.46</v>
      </c>
      <c r="G480" s="85">
        <v>9088.24</v>
      </c>
    </row>
    <row r="481" spans="1:7" x14ac:dyDescent="0.3">
      <c r="A481" s="84">
        <v>2026</v>
      </c>
      <c r="B481" s="84" t="s">
        <v>393</v>
      </c>
      <c r="C481" s="84">
        <v>16</v>
      </c>
      <c r="D481" s="84">
        <v>30</v>
      </c>
      <c r="E481" s="85">
        <v>6128.22</v>
      </c>
      <c r="F481" s="85">
        <v>16964.78</v>
      </c>
      <c r="G481" s="85">
        <v>10836.56</v>
      </c>
    </row>
    <row r="482" spans="1:7" x14ac:dyDescent="0.3">
      <c r="A482" s="84">
        <v>2026</v>
      </c>
      <c r="B482" s="84" t="s">
        <v>393</v>
      </c>
      <c r="C482" s="84">
        <v>17</v>
      </c>
      <c r="D482" s="84">
        <v>1</v>
      </c>
      <c r="E482" s="85">
        <v>6520.5</v>
      </c>
      <c r="F482" s="85">
        <v>1607.34</v>
      </c>
      <c r="G482" s="85">
        <v>-4913.16</v>
      </c>
    </row>
    <row r="483" spans="1:7" x14ac:dyDescent="0.3">
      <c r="A483" s="84">
        <v>2026</v>
      </c>
      <c r="B483" s="84" t="s">
        <v>393</v>
      </c>
      <c r="C483" s="84">
        <v>17</v>
      </c>
      <c r="D483" s="84">
        <v>2</v>
      </c>
      <c r="E483" s="85">
        <v>6520.5</v>
      </c>
      <c r="F483" s="85">
        <v>1901.76</v>
      </c>
      <c r="G483" s="85">
        <v>-4618.74</v>
      </c>
    </row>
    <row r="484" spans="1:7" x14ac:dyDescent="0.3">
      <c r="A484" s="84">
        <v>2026</v>
      </c>
      <c r="B484" s="84" t="s">
        <v>393</v>
      </c>
      <c r="C484" s="84">
        <v>17</v>
      </c>
      <c r="D484" s="84">
        <v>3</v>
      </c>
      <c r="E484" s="85">
        <v>6520.5</v>
      </c>
      <c r="F484" s="85">
        <v>2196.7399999999998</v>
      </c>
      <c r="G484" s="85">
        <v>-4323.76</v>
      </c>
    </row>
    <row r="485" spans="1:7" x14ac:dyDescent="0.3">
      <c r="A485" s="84">
        <v>2026</v>
      </c>
      <c r="B485" s="84" t="s">
        <v>393</v>
      </c>
      <c r="C485" s="84">
        <v>17</v>
      </c>
      <c r="D485" s="84">
        <v>4</v>
      </c>
      <c r="E485" s="85">
        <v>6520.5</v>
      </c>
      <c r="F485" s="85">
        <v>2490.88</v>
      </c>
      <c r="G485" s="85">
        <v>-4029.62</v>
      </c>
    </row>
    <row r="486" spans="1:7" x14ac:dyDescent="0.3">
      <c r="A486" s="84">
        <v>2026</v>
      </c>
      <c r="B486" s="84" t="s">
        <v>393</v>
      </c>
      <c r="C486" s="84">
        <v>17</v>
      </c>
      <c r="D486" s="84">
        <v>5</v>
      </c>
      <c r="E486" s="85">
        <v>6520.5</v>
      </c>
      <c r="F486" s="85">
        <v>2785.58</v>
      </c>
      <c r="G486" s="85">
        <v>-3734.92</v>
      </c>
    </row>
    <row r="487" spans="1:7" x14ac:dyDescent="0.3">
      <c r="A487" s="84">
        <v>2026</v>
      </c>
      <c r="B487" s="84" t="s">
        <v>393</v>
      </c>
      <c r="C487" s="84">
        <v>17</v>
      </c>
      <c r="D487" s="84">
        <v>6</v>
      </c>
      <c r="E487" s="85">
        <v>6520.5</v>
      </c>
      <c r="F487" s="85">
        <v>2982.28</v>
      </c>
      <c r="G487" s="85">
        <v>-3538.22</v>
      </c>
    </row>
    <row r="488" spans="1:7" x14ac:dyDescent="0.3">
      <c r="A488" s="84">
        <v>2026</v>
      </c>
      <c r="B488" s="84" t="s">
        <v>393</v>
      </c>
      <c r="C488" s="84">
        <v>17</v>
      </c>
      <c r="D488" s="84">
        <v>7</v>
      </c>
      <c r="E488" s="85">
        <v>6520.5</v>
      </c>
      <c r="F488" s="85">
        <v>3178.98</v>
      </c>
      <c r="G488" s="85">
        <v>-3341.52</v>
      </c>
    </row>
    <row r="489" spans="1:7" x14ac:dyDescent="0.3">
      <c r="A489" s="84">
        <v>2026</v>
      </c>
      <c r="B489" s="84" t="s">
        <v>393</v>
      </c>
      <c r="C489" s="84">
        <v>17</v>
      </c>
      <c r="D489" s="84">
        <v>8</v>
      </c>
      <c r="E489" s="85">
        <v>6520.5</v>
      </c>
      <c r="F489" s="85">
        <v>3375.26</v>
      </c>
      <c r="G489" s="85">
        <v>-3145.24</v>
      </c>
    </row>
    <row r="490" spans="1:7" x14ac:dyDescent="0.3">
      <c r="A490" s="84">
        <v>2026</v>
      </c>
      <c r="B490" s="84" t="s">
        <v>393</v>
      </c>
      <c r="C490" s="84">
        <v>17</v>
      </c>
      <c r="D490" s="84">
        <v>9</v>
      </c>
      <c r="E490" s="85">
        <v>6520.5</v>
      </c>
      <c r="F490" s="85">
        <v>3572.38</v>
      </c>
      <c r="G490" s="85">
        <v>-2948.12</v>
      </c>
    </row>
    <row r="491" spans="1:7" x14ac:dyDescent="0.3">
      <c r="A491" s="84">
        <v>2026</v>
      </c>
      <c r="B491" s="84" t="s">
        <v>393</v>
      </c>
      <c r="C491" s="84">
        <v>17</v>
      </c>
      <c r="D491" s="84">
        <v>10</v>
      </c>
      <c r="E491" s="85">
        <v>6520.5</v>
      </c>
      <c r="F491" s="85">
        <v>3768.8</v>
      </c>
      <c r="G491" s="85">
        <v>-2751.7</v>
      </c>
    </row>
    <row r="492" spans="1:7" x14ac:dyDescent="0.3">
      <c r="A492" s="84">
        <v>2026</v>
      </c>
      <c r="B492" s="84" t="s">
        <v>393</v>
      </c>
      <c r="C492" s="84">
        <v>17</v>
      </c>
      <c r="D492" s="84">
        <v>11</v>
      </c>
      <c r="E492" s="85">
        <v>6520.5</v>
      </c>
      <c r="F492" s="85">
        <v>4161.3599999999997</v>
      </c>
      <c r="G492" s="85">
        <v>-2359.14</v>
      </c>
    </row>
    <row r="493" spans="1:7" x14ac:dyDescent="0.3">
      <c r="A493" s="84">
        <v>2026</v>
      </c>
      <c r="B493" s="84" t="s">
        <v>393</v>
      </c>
      <c r="C493" s="84">
        <v>17</v>
      </c>
      <c r="D493" s="84">
        <v>12</v>
      </c>
      <c r="E493" s="85">
        <v>6520.5</v>
      </c>
      <c r="F493" s="85">
        <v>4554.8999999999996</v>
      </c>
      <c r="G493" s="85">
        <v>-1965.6</v>
      </c>
    </row>
    <row r="494" spans="1:7" x14ac:dyDescent="0.3">
      <c r="A494" s="84">
        <v>2026</v>
      </c>
      <c r="B494" s="84" t="s">
        <v>393</v>
      </c>
      <c r="C494" s="84">
        <v>17</v>
      </c>
      <c r="D494" s="84">
        <v>13</v>
      </c>
      <c r="E494" s="85">
        <v>6520.5</v>
      </c>
      <c r="F494" s="85">
        <v>4948.16</v>
      </c>
      <c r="G494" s="85">
        <v>-1572.34</v>
      </c>
    </row>
    <row r="495" spans="1:7" x14ac:dyDescent="0.3">
      <c r="A495" s="84">
        <v>2026</v>
      </c>
      <c r="B495" s="84" t="s">
        <v>393</v>
      </c>
      <c r="C495" s="84">
        <v>17</v>
      </c>
      <c r="D495" s="84">
        <v>14</v>
      </c>
      <c r="E495" s="85">
        <v>6520.5</v>
      </c>
      <c r="F495" s="85">
        <v>5341.98</v>
      </c>
      <c r="G495" s="85">
        <v>-1178.52</v>
      </c>
    </row>
    <row r="496" spans="1:7" x14ac:dyDescent="0.3">
      <c r="A496" s="84">
        <v>2026</v>
      </c>
      <c r="B496" s="84" t="s">
        <v>393</v>
      </c>
      <c r="C496" s="84">
        <v>17</v>
      </c>
      <c r="D496" s="84">
        <v>15</v>
      </c>
      <c r="E496" s="85">
        <v>6520.5</v>
      </c>
      <c r="F496" s="85">
        <v>5734.26</v>
      </c>
      <c r="G496" s="85">
        <v>-786.24</v>
      </c>
    </row>
    <row r="497" spans="1:7" x14ac:dyDescent="0.3">
      <c r="A497" s="84">
        <v>2026</v>
      </c>
      <c r="B497" s="84" t="s">
        <v>393</v>
      </c>
      <c r="C497" s="84">
        <v>17</v>
      </c>
      <c r="D497" s="84">
        <v>16</v>
      </c>
      <c r="E497" s="85">
        <v>6520.5</v>
      </c>
      <c r="F497" s="85">
        <v>6128.22</v>
      </c>
      <c r="G497" s="85">
        <v>-392.28</v>
      </c>
    </row>
    <row r="498" spans="1:7" x14ac:dyDescent="0.3">
      <c r="A498" s="84">
        <v>2026</v>
      </c>
      <c r="B498" s="84" t="s">
        <v>393</v>
      </c>
      <c r="C498" s="84">
        <v>17</v>
      </c>
      <c r="D498" s="84">
        <v>17</v>
      </c>
      <c r="E498" s="85">
        <v>6520.5</v>
      </c>
      <c r="F498" s="85">
        <v>6520.5</v>
      </c>
      <c r="G498" s="85">
        <v>0</v>
      </c>
    </row>
    <row r="499" spans="1:7" x14ac:dyDescent="0.3">
      <c r="A499" s="84">
        <v>2026</v>
      </c>
      <c r="B499" s="84" t="s">
        <v>393</v>
      </c>
      <c r="C499" s="84">
        <v>17</v>
      </c>
      <c r="D499" s="84">
        <v>18</v>
      </c>
      <c r="E499" s="85">
        <v>6520.5</v>
      </c>
      <c r="F499" s="85">
        <v>6914.04</v>
      </c>
      <c r="G499" s="85">
        <v>393.54</v>
      </c>
    </row>
    <row r="500" spans="1:7" x14ac:dyDescent="0.3">
      <c r="A500" s="84">
        <v>2026</v>
      </c>
      <c r="B500" s="84" t="s">
        <v>393</v>
      </c>
      <c r="C500" s="84">
        <v>17</v>
      </c>
      <c r="D500" s="84">
        <v>19</v>
      </c>
      <c r="E500" s="85">
        <v>6520.5</v>
      </c>
      <c r="F500" s="85">
        <v>7307.16</v>
      </c>
      <c r="G500" s="85">
        <v>786.66</v>
      </c>
    </row>
    <row r="501" spans="1:7" x14ac:dyDescent="0.3">
      <c r="A501" s="84">
        <v>2026</v>
      </c>
      <c r="B501" s="84" t="s">
        <v>393</v>
      </c>
      <c r="C501" s="84">
        <v>17</v>
      </c>
      <c r="D501" s="84">
        <v>20</v>
      </c>
      <c r="E501" s="85">
        <v>6520.5</v>
      </c>
      <c r="F501" s="85">
        <v>7700.14</v>
      </c>
      <c r="G501" s="85">
        <v>1179.6400000000001</v>
      </c>
    </row>
    <row r="502" spans="1:7" x14ac:dyDescent="0.3">
      <c r="A502" s="84">
        <v>2026</v>
      </c>
      <c r="B502" s="84" t="s">
        <v>393</v>
      </c>
      <c r="C502" s="84">
        <v>17</v>
      </c>
      <c r="D502" s="84">
        <v>21</v>
      </c>
      <c r="E502" s="85">
        <v>6520.5</v>
      </c>
      <c r="F502" s="85">
        <v>8289.5400000000009</v>
      </c>
      <c r="G502" s="85">
        <v>1769.04</v>
      </c>
    </row>
    <row r="503" spans="1:7" x14ac:dyDescent="0.3">
      <c r="A503" s="84">
        <v>2026</v>
      </c>
      <c r="B503" s="84" t="s">
        <v>393</v>
      </c>
      <c r="C503" s="84">
        <v>17</v>
      </c>
      <c r="D503" s="84">
        <v>22</v>
      </c>
      <c r="E503" s="85">
        <v>6520.5</v>
      </c>
      <c r="F503" s="85">
        <v>8928.2199999999993</v>
      </c>
      <c r="G503" s="85">
        <v>2407.7199999999998</v>
      </c>
    </row>
    <row r="504" spans="1:7" x14ac:dyDescent="0.3">
      <c r="A504" s="84">
        <v>2026</v>
      </c>
      <c r="B504" s="84" t="s">
        <v>393</v>
      </c>
      <c r="C504" s="84">
        <v>17</v>
      </c>
      <c r="D504" s="84">
        <v>23</v>
      </c>
      <c r="E504" s="85">
        <v>6520.5</v>
      </c>
      <c r="F504" s="85">
        <v>9568.7199999999993</v>
      </c>
      <c r="G504" s="85">
        <v>3048.22</v>
      </c>
    </row>
    <row r="505" spans="1:7" x14ac:dyDescent="0.3">
      <c r="A505" s="84">
        <v>2026</v>
      </c>
      <c r="B505" s="84" t="s">
        <v>393</v>
      </c>
      <c r="C505" s="84">
        <v>17</v>
      </c>
      <c r="D505" s="84">
        <v>24</v>
      </c>
      <c r="E505" s="85">
        <v>6520.5</v>
      </c>
      <c r="F505" s="85">
        <v>10207.959999999999</v>
      </c>
      <c r="G505" s="85">
        <v>3687.46</v>
      </c>
    </row>
    <row r="506" spans="1:7" x14ac:dyDescent="0.3">
      <c r="A506" s="84">
        <v>2026</v>
      </c>
      <c r="B506" s="84" t="s">
        <v>393</v>
      </c>
      <c r="C506" s="84">
        <v>17</v>
      </c>
      <c r="D506" s="84">
        <v>25</v>
      </c>
      <c r="E506" s="85">
        <v>6520.5</v>
      </c>
      <c r="F506" s="85">
        <v>10848.04</v>
      </c>
      <c r="G506" s="85">
        <v>4327.54</v>
      </c>
    </row>
    <row r="507" spans="1:7" x14ac:dyDescent="0.3">
      <c r="A507" s="84">
        <v>2026</v>
      </c>
      <c r="B507" s="84" t="s">
        <v>393</v>
      </c>
      <c r="C507" s="84">
        <v>17</v>
      </c>
      <c r="D507" s="84">
        <v>26</v>
      </c>
      <c r="E507" s="85">
        <v>6520.5</v>
      </c>
      <c r="F507" s="85">
        <v>12227.32</v>
      </c>
      <c r="G507" s="85">
        <v>5706.82</v>
      </c>
    </row>
    <row r="508" spans="1:7" x14ac:dyDescent="0.3">
      <c r="A508" s="84">
        <v>2026</v>
      </c>
      <c r="B508" s="84" t="s">
        <v>393</v>
      </c>
      <c r="C508" s="84">
        <v>17</v>
      </c>
      <c r="D508" s="84">
        <v>27</v>
      </c>
      <c r="E508" s="85">
        <v>6520.5</v>
      </c>
      <c r="F508" s="85">
        <v>13936.58</v>
      </c>
      <c r="G508" s="85">
        <v>7416.08</v>
      </c>
    </row>
    <row r="509" spans="1:7" x14ac:dyDescent="0.3">
      <c r="A509" s="84">
        <v>2026</v>
      </c>
      <c r="B509" s="84" t="s">
        <v>393</v>
      </c>
      <c r="C509" s="84">
        <v>17</v>
      </c>
      <c r="D509" s="84">
        <v>28</v>
      </c>
      <c r="E509" s="85">
        <v>6520.5</v>
      </c>
      <c r="F509" s="85">
        <v>14577.08</v>
      </c>
      <c r="G509" s="85">
        <v>8056.58</v>
      </c>
    </row>
    <row r="510" spans="1:7" x14ac:dyDescent="0.3">
      <c r="A510" s="84">
        <v>2026</v>
      </c>
      <c r="B510" s="84" t="s">
        <v>393</v>
      </c>
      <c r="C510" s="84">
        <v>17</v>
      </c>
      <c r="D510" s="84">
        <v>29</v>
      </c>
      <c r="E510" s="85">
        <v>6520.5</v>
      </c>
      <c r="F510" s="85">
        <v>15216.46</v>
      </c>
      <c r="G510" s="85">
        <v>8695.9599999999991</v>
      </c>
    </row>
    <row r="511" spans="1:7" x14ac:dyDescent="0.3">
      <c r="A511" s="84">
        <v>2026</v>
      </c>
      <c r="B511" s="84" t="s">
        <v>393</v>
      </c>
      <c r="C511" s="84">
        <v>17</v>
      </c>
      <c r="D511" s="84">
        <v>30</v>
      </c>
      <c r="E511" s="85">
        <v>6520.5</v>
      </c>
      <c r="F511" s="85">
        <v>16964.78</v>
      </c>
      <c r="G511" s="85">
        <v>10444.280000000001</v>
      </c>
    </row>
    <row r="512" spans="1:7" x14ac:dyDescent="0.3">
      <c r="A512" s="84">
        <v>2026</v>
      </c>
      <c r="B512" s="84" t="s">
        <v>393</v>
      </c>
      <c r="C512" s="84">
        <v>18</v>
      </c>
      <c r="D512" s="84">
        <v>1</v>
      </c>
      <c r="E512" s="85">
        <v>6914.04</v>
      </c>
      <c r="F512" s="85">
        <v>1607.34</v>
      </c>
      <c r="G512" s="85">
        <v>-5306.7</v>
      </c>
    </row>
    <row r="513" spans="1:7" x14ac:dyDescent="0.3">
      <c r="A513" s="84">
        <v>2026</v>
      </c>
      <c r="B513" s="84" t="s">
        <v>393</v>
      </c>
      <c r="C513" s="84">
        <v>18</v>
      </c>
      <c r="D513" s="84">
        <v>2</v>
      </c>
      <c r="E513" s="85">
        <v>6914.04</v>
      </c>
      <c r="F513" s="85">
        <v>1901.76</v>
      </c>
      <c r="G513" s="85">
        <v>-5012.28</v>
      </c>
    </row>
    <row r="514" spans="1:7" x14ac:dyDescent="0.3">
      <c r="A514" s="84">
        <v>2026</v>
      </c>
      <c r="B514" s="84" t="s">
        <v>393</v>
      </c>
      <c r="C514" s="84">
        <v>18</v>
      </c>
      <c r="D514" s="84">
        <v>3</v>
      </c>
      <c r="E514" s="85">
        <v>6914.04</v>
      </c>
      <c r="F514" s="85">
        <v>2196.7399999999998</v>
      </c>
      <c r="G514" s="85">
        <v>-4717.3</v>
      </c>
    </row>
    <row r="515" spans="1:7" x14ac:dyDescent="0.3">
      <c r="A515" s="84">
        <v>2026</v>
      </c>
      <c r="B515" s="84" t="s">
        <v>393</v>
      </c>
      <c r="C515" s="84">
        <v>18</v>
      </c>
      <c r="D515" s="84">
        <v>4</v>
      </c>
      <c r="E515" s="85">
        <v>6914.04</v>
      </c>
      <c r="F515" s="85">
        <v>2490.88</v>
      </c>
      <c r="G515" s="85">
        <v>-4423.16</v>
      </c>
    </row>
    <row r="516" spans="1:7" x14ac:dyDescent="0.3">
      <c r="A516" s="84">
        <v>2026</v>
      </c>
      <c r="B516" s="84" t="s">
        <v>393</v>
      </c>
      <c r="C516" s="84">
        <v>18</v>
      </c>
      <c r="D516" s="84">
        <v>5</v>
      </c>
      <c r="E516" s="85">
        <v>6914.04</v>
      </c>
      <c r="F516" s="85">
        <v>2785.58</v>
      </c>
      <c r="G516" s="85">
        <v>-4128.46</v>
      </c>
    </row>
    <row r="517" spans="1:7" x14ac:dyDescent="0.3">
      <c r="A517" s="84">
        <v>2026</v>
      </c>
      <c r="B517" s="84" t="s">
        <v>393</v>
      </c>
      <c r="C517" s="84">
        <v>18</v>
      </c>
      <c r="D517" s="84">
        <v>6</v>
      </c>
      <c r="E517" s="85">
        <v>6914.04</v>
      </c>
      <c r="F517" s="85">
        <v>2982.28</v>
      </c>
      <c r="G517" s="85">
        <v>-3931.76</v>
      </c>
    </row>
    <row r="518" spans="1:7" x14ac:dyDescent="0.3">
      <c r="A518" s="84">
        <v>2026</v>
      </c>
      <c r="B518" s="84" t="s">
        <v>393</v>
      </c>
      <c r="C518" s="84">
        <v>18</v>
      </c>
      <c r="D518" s="84">
        <v>7</v>
      </c>
      <c r="E518" s="85">
        <v>6914.04</v>
      </c>
      <c r="F518" s="85">
        <v>3178.98</v>
      </c>
      <c r="G518" s="85">
        <v>-3735.06</v>
      </c>
    </row>
    <row r="519" spans="1:7" x14ac:dyDescent="0.3">
      <c r="A519" s="84">
        <v>2026</v>
      </c>
      <c r="B519" s="84" t="s">
        <v>393</v>
      </c>
      <c r="C519" s="84">
        <v>18</v>
      </c>
      <c r="D519" s="84">
        <v>8</v>
      </c>
      <c r="E519" s="85">
        <v>6914.04</v>
      </c>
      <c r="F519" s="85">
        <v>3375.26</v>
      </c>
      <c r="G519" s="85">
        <v>-3538.78</v>
      </c>
    </row>
    <row r="520" spans="1:7" x14ac:dyDescent="0.3">
      <c r="A520" s="84">
        <v>2026</v>
      </c>
      <c r="B520" s="84" t="s">
        <v>393</v>
      </c>
      <c r="C520" s="84">
        <v>18</v>
      </c>
      <c r="D520" s="84">
        <v>9</v>
      </c>
      <c r="E520" s="85">
        <v>6914.04</v>
      </c>
      <c r="F520" s="85">
        <v>3572.38</v>
      </c>
      <c r="G520" s="85">
        <v>-3341.66</v>
      </c>
    </row>
    <row r="521" spans="1:7" x14ac:dyDescent="0.3">
      <c r="A521" s="84">
        <v>2026</v>
      </c>
      <c r="B521" s="84" t="s">
        <v>393</v>
      </c>
      <c r="C521" s="84">
        <v>18</v>
      </c>
      <c r="D521" s="84">
        <v>10</v>
      </c>
      <c r="E521" s="85">
        <v>6914.04</v>
      </c>
      <c r="F521" s="85">
        <v>3768.8</v>
      </c>
      <c r="G521" s="85">
        <v>-3145.24</v>
      </c>
    </row>
    <row r="522" spans="1:7" x14ac:dyDescent="0.3">
      <c r="A522" s="84">
        <v>2026</v>
      </c>
      <c r="B522" s="84" t="s">
        <v>393</v>
      </c>
      <c r="C522" s="84">
        <v>18</v>
      </c>
      <c r="D522" s="84">
        <v>11</v>
      </c>
      <c r="E522" s="85">
        <v>6914.04</v>
      </c>
      <c r="F522" s="85">
        <v>4161.3599999999997</v>
      </c>
      <c r="G522" s="85">
        <v>-2752.68</v>
      </c>
    </row>
    <row r="523" spans="1:7" x14ac:dyDescent="0.3">
      <c r="A523" s="84">
        <v>2026</v>
      </c>
      <c r="B523" s="84" t="s">
        <v>393</v>
      </c>
      <c r="C523" s="84">
        <v>18</v>
      </c>
      <c r="D523" s="84">
        <v>12</v>
      </c>
      <c r="E523" s="85">
        <v>6914.04</v>
      </c>
      <c r="F523" s="85">
        <v>4554.8999999999996</v>
      </c>
      <c r="G523" s="85">
        <v>-2359.14</v>
      </c>
    </row>
    <row r="524" spans="1:7" x14ac:dyDescent="0.3">
      <c r="A524" s="84">
        <v>2026</v>
      </c>
      <c r="B524" s="84" t="s">
        <v>393</v>
      </c>
      <c r="C524" s="84">
        <v>18</v>
      </c>
      <c r="D524" s="84">
        <v>13</v>
      </c>
      <c r="E524" s="85">
        <v>6914.04</v>
      </c>
      <c r="F524" s="85">
        <v>4948.16</v>
      </c>
      <c r="G524" s="85">
        <v>-1965.88</v>
      </c>
    </row>
    <row r="525" spans="1:7" x14ac:dyDescent="0.3">
      <c r="A525" s="84">
        <v>2026</v>
      </c>
      <c r="B525" s="84" t="s">
        <v>393</v>
      </c>
      <c r="C525" s="84">
        <v>18</v>
      </c>
      <c r="D525" s="84">
        <v>14</v>
      </c>
      <c r="E525" s="85">
        <v>6914.04</v>
      </c>
      <c r="F525" s="85">
        <v>5341.98</v>
      </c>
      <c r="G525" s="85">
        <v>-1572.06</v>
      </c>
    </row>
    <row r="526" spans="1:7" x14ac:dyDescent="0.3">
      <c r="A526" s="84">
        <v>2026</v>
      </c>
      <c r="B526" s="84" t="s">
        <v>393</v>
      </c>
      <c r="C526" s="84">
        <v>18</v>
      </c>
      <c r="D526" s="84">
        <v>15</v>
      </c>
      <c r="E526" s="85">
        <v>6914.04</v>
      </c>
      <c r="F526" s="85">
        <v>5734.26</v>
      </c>
      <c r="G526" s="85">
        <v>-1179.78</v>
      </c>
    </row>
    <row r="527" spans="1:7" x14ac:dyDescent="0.3">
      <c r="A527" s="84">
        <v>2026</v>
      </c>
      <c r="B527" s="84" t="s">
        <v>393</v>
      </c>
      <c r="C527" s="84">
        <v>18</v>
      </c>
      <c r="D527" s="84">
        <v>16</v>
      </c>
      <c r="E527" s="85">
        <v>6914.04</v>
      </c>
      <c r="F527" s="85">
        <v>6128.22</v>
      </c>
      <c r="G527" s="85">
        <v>-785.82</v>
      </c>
    </row>
    <row r="528" spans="1:7" x14ac:dyDescent="0.3">
      <c r="A528" s="84">
        <v>2026</v>
      </c>
      <c r="B528" s="84" t="s">
        <v>393</v>
      </c>
      <c r="C528" s="84">
        <v>18</v>
      </c>
      <c r="D528" s="84">
        <v>17</v>
      </c>
      <c r="E528" s="85">
        <v>6914.04</v>
      </c>
      <c r="F528" s="85">
        <v>6520.5</v>
      </c>
      <c r="G528" s="85">
        <v>-393.54</v>
      </c>
    </row>
    <row r="529" spans="1:7" x14ac:dyDescent="0.3">
      <c r="A529" s="84">
        <v>2026</v>
      </c>
      <c r="B529" s="84" t="s">
        <v>393</v>
      </c>
      <c r="C529" s="84">
        <v>18</v>
      </c>
      <c r="D529" s="84">
        <v>18</v>
      </c>
      <c r="E529" s="85">
        <v>6914.04</v>
      </c>
      <c r="F529" s="85">
        <v>6914.04</v>
      </c>
      <c r="G529" s="85">
        <v>0</v>
      </c>
    </row>
    <row r="530" spans="1:7" x14ac:dyDescent="0.3">
      <c r="A530" s="84">
        <v>2026</v>
      </c>
      <c r="B530" s="84" t="s">
        <v>393</v>
      </c>
      <c r="C530" s="84">
        <v>18</v>
      </c>
      <c r="D530" s="84">
        <v>19</v>
      </c>
      <c r="E530" s="85">
        <v>6914.04</v>
      </c>
      <c r="F530" s="85">
        <v>7307.16</v>
      </c>
      <c r="G530" s="85">
        <v>393.12</v>
      </c>
    </row>
    <row r="531" spans="1:7" x14ac:dyDescent="0.3">
      <c r="A531" s="84">
        <v>2026</v>
      </c>
      <c r="B531" s="84" t="s">
        <v>393</v>
      </c>
      <c r="C531" s="84">
        <v>18</v>
      </c>
      <c r="D531" s="84">
        <v>20</v>
      </c>
      <c r="E531" s="85">
        <v>6914.04</v>
      </c>
      <c r="F531" s="85">
        <v>7700.14</v>
      </c>
      <c r="G531" s="85">
        <v>786.1</v>
      </c>
    </row>
    <row r="532" spans="1:7" x14ac:dyDescent="0.3">
      <c r="A532" s="84">
        <v>2026</v>
      </c>
      <c r="B532" s="84" t="s">
        <v>393</v>
      </c>
      <c r="C532" s="84">
        <v>18</v>
      </c>
      <c r="D532" s="84">
        <v>21</v>
      </c>
      <c r="E532" s="85">
        <v>6914.04</v>
      </c>
      <c r="F532" s="85">
        <v>8289.5400000000009</v>
      </c>
      <c r="G532" s="85">
        <v>1375.5</v>
      </c>
    </row>
    <row r="533" spans="1:7" x14ac:dyDescent="0.3">
      <c r="A533" s="84">
        <v>2026</v>
      </c>
      <c r="B533" s="84" t="s">
        <v>393</v>
      </c>
      <c r="C533" s="84">
        <v>18</v>
      </c>
      <c r="D533" s="84">
        <v>22</v>
      </c>
      <c r="E533" s="85">
        <v>6914.04</v>
      </c>
      <c r="F533" s="85">
        <v>8928.2199999999993</v>
      </c>
      <c r="G533" s="85">
        <v>2014.18</v>
      </c>
    </row>
    <row r="534" spans="1:7" x14ac:dyDescent="0.3">
      <c r="A534" s="84">
        <v>2026</v>
      </c>
      <c r="B534" s="84" t="s">
        <v>393</v>
      </c>
      <c r="C534" s="84">
        <v>18</v>
      </c>
      <c r="D534" s="84">
        <v>23</v>
      </c>
      <c r="E534" s="85">
        <v>6914.04</v>
      </c>
      <c r="F534" s="85">
        <v>9568.7199999999993</v>
      </c>
      <c r="G534" s="85">
        <v>2654.68</v>
      </c>
    </row>
    <row r="535" spans="1:7" x14ac:dyDescent="0.3">
      <c r="A535" s="84">
        <v>2026</v>
      </c>
      <c r="B535" s="84" t="s">
        <v>393</v>
      </c>
      <c r="C535" s="84">
        <v>18</v>
      </c>
      <c r="D535" s="84">
        <v>24</v>
      </c>
      <c r="E535" s="85">
        <v>6914.04</v>
      </c>
      <c r="F535" s="85">
        <v>10207.959999999999</v>
      </c>
      <c r="G535" s="85">
        <v>3293.92</v>
      </c>
    </row>
    <row r="536" spans="1:7" x14ac:dyDescent="0.3">
      <c r="A536" s="84">
        <v>2026</v>
      </c>
      <c r="B536" s="84" t="s">
        <v>393</v>
      </c>
      <c r="C536" s="84">
        <v>18</v>
      </c>
      <c r="D536" s="84">
        <v>25</v>
      </c>
      <c r="E536" s="85">
        <v>6914.04</v>
      </c>
      <c r="F536" s="85">
        <v>10848.04</v>
      </c>
      <c r="G536" s="85">
        <v>3934</v>
      </c>
    </row>
    <row r="537" spans="1:7" x14ac:dyDescent="0.3">
      <c r="A537" s="84">
        <v>2026</v>
      </c>
      <c r="B537" s="84" t="s">
        <v>393</v>
      </c>
      <c r="C537" s="84">
        <v>18</v>
      </c>
      <c r="D537" s="84">
        <v>26</v>
      </c>
      <c r="E537" s="85">
        <v>6914.04</v>
      </c>
      <c r="F537" s="85">
        <v>12227.32</v>
      </c>
      <c r="G537" s="85">
        <v>5313.28</v>
      </c>
    </row>
    <row r="538" spans="1:7" x14ac:dyDescent="0.3">
      <c r="A538" s="84">
        <v>2026</v>
      </c>
      <c r="B538" s="84" t="s">
        <v>393</v>
      </c>
      <c r="C538" s="84">
        <v>18</v>
      </c>
      <c r="D538" s="84">
        <v>27</v>
      </c>
      <c r="E538" s="85">
        <v>6914.04</v>
      </c>
      <c r="F538" s="85">
        <v>13936.58</v>
      </c>
      <c r="G538" s="85">
        <v>7022.54</v>
      </c>
    </row>
    <row r="539" spans="1:7" x14ac:dyDescent="0.3">
      <c r="A539" s="84">
        <v>2026</v>
      </c>
      <c r="B539" s="84" t="s">
        <v>393</v>
      </c>
      <c r="C539" s="84">
        <v>18</v>
      </c>
      <c r="D539" s="84">
        <v>28</v>
      </c>
      <c r="E539" s="85">
        <v>6914.04</v>
      </c>
      <c r="F539" s="85">
        <v>14577.08</v>
      </c>
      <c r="G539" s="85">
        <v>7663.04</v>
      </c>
    </row>
    <row r="540" spans="1:7" x14ac:dyDescent="0.3">
      <c r="A540" s="84">
        <v>2026</v>
      </c>
      <c r="B540" s="84" t="s">
        <v>393</v>
      </c>
      <c r="C540" s="84">
        <v>18</v>
      </c>
      <c r="D540" s="84">
        <v>29</v>
      </c>
      <c r="E540" s="85">
        <v>6914.04</v>
      </c>
      <c r="F540" s="85">
        <v>15216.46</v>
      </c>
      <c r="G540" s="85">
        <v>8302.42</v>
      </c>
    </row>
    <row r="541" spans="1:7" x14ac:dyDescent="0.3">
      <c r="A541" s="84">
        <v>2026</v>
      </c>
      <c r="B541" s="84" t="s">
        <v>393</v>
      </c>
      <c r="C541" s="84">
        <v>18</v>
      </c>
      <c r="D541" s="84">
        <v>30</v>
      </c>
      <c r="E541" s="85">
        <v>6914.04</v>
      </c>
      <c r="F541" s="85">
        <v>16964.78</v>
      </c>
      <c r="G541" s="85">
        <v>10050.74</v>
      </c>
    </row>
    <row r="542" spans="1:7" x14ac:dyDescent="0.3">
      <c r="A542" s="84">
        <v>2026</v>
      </c>
      <c r="B542" s="84" t="s">
        <v>393</v>
      </c>
      <c r="C542" s="84">
        <v>19</v>
      </c>
      <c r="D542" s="84">
        <v>1</v>
      </c>
      <c r="E542" s="85">
        <v>7307.16</v>
      </c>
      <c r="F542" s="85">
        <v>1607.34</v>
      </c>
      <c r="G542" s="85">
        <v>-5699.82</v>
      </c>
    </row>
    <row r="543" spans="1:7" x14ac:dyDescent="0.3">
      <c r="A543" s="84">
        <v>2026</v>
      </c>
      <c r="B543" s="84" t="s">
        <v>393</v>
      </c>
      <c r="C543" s="84">
        <v>19</v>
      </c>
      <c r="D543" s="84">
        <v>2</v>
      </c>
      <c r="E543" s="85">
        <v>7307.16</v>
      </c>
      <c r="F543" s="85">
        <v>1901.76</v>
      </c>
      <c r="G543" s="85">
        <v>-5405.4</v>
      </c>
    </row>
    <row r="544" spans="1:7" x14ac:dyDescent="0.3">
      <c r="A544" s="84">
        <v>2026</v>
      </c>
      <c r="B544" s="84" t="s">
        <v>393</v>
      </c>
      <c r="C544" s="84">
        <v>19</v>
      </c>
      <c r="D544" s="84">
        <v>3</v>
      </c>
      <c r="E544" s="85">
        <v>7307.16</v>
      </c>
      <c r="F544" s="85">
        <v>2196.7399999999998</v>
      </c>
      <c r="G544" s="85">
        <v>-5110.42</v>
      </c>
    </row>
    <row r="545" spans="1:7" x14ac:dyDescent="0.3">
      <c r="A545" s="84">
        <v>2026</v>
      </c>
      <c r="B545" s="84" t="s">
        <v>393</v>
      </c>
      <c r="C545" s="84">
        <v>19</v>
      </c>
      <c r="D545" s="84">
        <v>4</v>
      </c>
      <c r="E545" s="85">
        <v>7307.16</v>
      </c>
      <c r="F545" s="85">
        <v>2490.88</v>
      </c>
      <c r="G545" s="85">
        <v>-4816.28</v>
      </c>
    </row>
    <row r="546" spans="1:7" x14ac:dyDescent="0.3">
      <c r="A546" s="84">
        <v>2026</v>
      </c>
      <c r="B546" s="84" t="s">
        <v>393</v>
      </c>
      <c r="C546" s="84">
        <v>19</v>
      </c>
      <c r="D546" s="84">
        <v>5</v>
      </c>
      <c r="E546" s="85">
        <v>7307.16</v>
      </c>
      <c r="F546" s="85">
        <v>2785.58</v>
      </c>
      <c r="G546" s="85">
        <v>-4521.58</v>
      </c>
    </row>
    <row r="547" spans="1:7" x14ac:dyDescent="0.3">
      <c r="A547" s="84">
        <v>2026</v>
      </c>
      <c r="B547" s="84" t="s">
        <v>393</v>
      </c>
      <c r="C547" s="84">
        <v>19</v>
      </c>
      <c r="D547" s="84">
        <v>6</v>
      </c>
      <c r="E547" s="85">
        <v>7307.16</v>
      </c>
      <c r="F547" s="85">
        <v>2982.28</v>
      </c>
      <c r="G547" s="85">
        <v>-4324.88</v>
      </c>
    </row>
    <row r="548" spans="1:7" x14ac:dyDescent="0.3">
      <c r="A548" s="84">
        <v>2026</v>
      </c>
      <c r="B548" s="84" t="s">
        <v>393</v>
      </c>
      <c r="C548" s="84">
        <v>19</v>
      </c>
      <c r="D548" s="84">
        <v>7</v>
      </c>
      <c r="E548" s="85">
        <v>7307.16</v>
      </c>
      <c r="F548" s="85">
        <v>3178.98</v>
      </c>
      <c r="G548" s="85">
        <v>-4128.18</v>
      </c>
    </row>
    <row r="549" spans="1:7" x14ac:dyDescent="0.3">
      <c r="A549" s="84">
        <v>2026</v>
      </c>
      <c r="B549" s="84" t="s">
        <v>393</v>
      </c>
      <c r="C549" s="84">
        <v>19</v>
      </c>
      <c r="D549" s="84">
        <v>8</v>
      </c>
      <c r="E549" s="85">
        <v>7307.16</v>
      </c>
      <c r="F549" s="85">
        <v>3375.26</v>
      </c>
      <c r="G549" s="85">
        <v>-3931.9</v>
      </c>
    </row>
    <row r="550" spans="1:7" x14ac:dyDescent="0.3">
      <c r="A550" s="84">
        <v>2026</v>
      </c>
      <c r="B550" s="84" t="s">
        <v>393</v>
      </c>
      <c r="C550" s="84">
        <v>19</v>
      </c>
      <c r="D550" s="84">
        <v>9</v>
      </c>
      <c r="E550" s="85">
        <v>7307.16</v>
      </c>
      <c r="F550" s="85">
        <v>3572.38</v>
      </c>
      <c r="G550" s="85">
        <v>-3734.78</v>
      </c>
    </row>
    <row r="551" spans="1:7" x14ac:dyDescent="0.3">
      <c r="A551" s="84">
        <v>2026</v>
      </c>
      <c r="B551" s="84" t="s">
        <v>393</v>
      </c>
      <c r="C551" s="84">
        <v>19</v>
      </c>
      <c r="D551" s="84">
        <v>10</v>
      </c>
      <c r="E551" s="85">
        <v>7307.16</v>
      </c>
      <c r="F551" s="85">
        <v>3768.8</v>
      </c>
      <c r="G551" s="85">
        <v>-3538.36</v>
      </c>
    </row>
    <row r="552" spans="1:7" x14ac:dyDescent="0.3">
      <c r="A552" s="84">
        <v>2026</v>
      </c>
      <c r="B552" s="84" t="s">
        <v>393</v>
      </c>
      <c r="C552" s="84">
        <v>19</v>
      </c>
      <c r="D552" s="84">
        <v>11</v>
      </c>
      <c r="E552" s="85">
        <v>7307.16</v>
      </c>
      <c r="F552" s="85">
        <v>4161.3599999999997</v>
      </c>
      <c r="G552" s="85">
        <v>-3145.8</v>
      </c>
    </row>
    <row r="553" spans="1:7" x14ac:dyDescent="0.3">
      <c r="A553" s="84">
        <v>2026</v>
      </c>
      <c r="B553" s="84" t="s">
        <v>393</v>
      </c>
      <c r="C553" s="84">
        <v>19</v>
      </c>
      <c r="D553" s="84">
        <v>12</v>
      </c>
      <c r="E553" s="85">
        <v>7307.16</v>
      </c>
      <c r="F553" s="85">
        <v>4554.8999999999996</v>
      </c>
      <c r="G553" s="85">
        <v>-2752.26</v>
      </c>
    </row>
    <row r="554" spans="1:7" x14ac:dyDescent="0.3">
      <c r="A554" s="84">
        <v>2026</v>
      </c>
      <c r="B554" s="84" t="s">
        <v>393</v>
      </c>
      <c r="C554" s="84">
        <v>19</v>
      </c>
      <c r="D554" s="84">
        <v>13</v>
      </c>
      <c r="E554" s="85">
        <v>7307.16</v>
      </c>
      <c r="F554" s="85">
        <v>4948.16</v>
      </c>
      <c r="G554" s="85">
        <v>-2359</v>
      </c>
    </row>
    <row r="555" spans="1:7" x14ac:dyDescent="0.3">
      <c r="A555" s="84">
        <v>2026</v>
      </c>
      <c r="B555" s="84" t="s">
        <v>393</v>
      </c>
      <c r="C555" s="84">
        <v>19</v>
      </c>
      <c r="D555" s="84">
        <v>14</v>
      </c>
      <c r="E555" s="85">
        <v>7307.16</v>
      </c>
      <c r="F555" s="85">
        <v>5341.98</v>
      </c>
      <c r="G555" s="85">
        <v>-1965.18</v>
      </c>
    </row>
    <row r="556" spans="1:7" x14ac:dyDescent="0.3">
      <c r="A556" s="84">
        <v>2026</v>
      </c>
      <c r="B556" s="84" t="s">
        <v>393</v>
      </c>
      <c r="C556" s="84">
        <v>19</v>
      </c>
      <c r="D556" s="84">
        <v>15</v>
      </c>
      <c r="E556" s="85">
        <v>7307.16</v>
      </c>
      <c r="F556" s="85">
        <v>5734.26</v>
      </c>
      <c r="G556" s="85">
        <v>-1572.9</v>
      </c>
    </row>
    <row r="557" spans="1:7" x14ac:dyDescent="0.3">
      <c r="A557" s="84">
        <v>2026</v>
      </c>
      <c r="B557" s="84" t="s">
        <v>393</v>
      </c>
      <c r="C557" s="84">
        <v>19</v>
      </c>
      <c r="D557" s="84">
        <v>16</v>
      </c>
      <c r="E557" s="85">
        <v>7307.16</v>
      </c>
      <c r="F557" s="85">
        <v>6128.22</v>
      </c>
      <c r="G557" s="85">
        <v>-1178.94</v>
      </c>
    </row>
    <row r="558" spans="1:7" x14ac:dyDescent="0.3">
      <c r="A558" s="84">
        <v>2026</v>
      </c>
      <c r="B558" s="84" t="s">
        <v>393</v>
      </c>
      <c r="C558" s="84">
        <v>19</v>
      </c>
      <c r="D558" s="84">
        <v>17</v>
      </c>
      <c r="E558" s="85">
        <v>7307.16</v>
      </c>
      <c r="F558" s="85">
        <v>6520.5</v>
      </c>
      <c r="G558" s="85">
        <v>-786.66</v>
      </c>
    </row>
    <row r="559" spans="1:7" x14ac:dyDescent="0.3">
      <c r="A559" s="84">
        <v>2026</v>
      </c>
      <c r="B559" s="84" t="s">
        <v>393</v>
      </c>
      <c r="C559" s="84">
        <v>19</v>
      </c>
      <c r="D559" s="84">
        <v>18</v>
      </c>
      <c r="E559" s="85">
        <v>7307.16</v>
      </c>
      <c r="F559" s="85">
        <v>6914.04</v>
      </c>
      <c r="G559" s="85">
        <v>-393.12</v>
      </c>
    </row>
    <row r="560" spans="1:7" x14ac:dyDescent="0.3">
      <c r="A560" s="84">
        <v>2026</v>
      </c>
      <c r="B560" s="84" t="s">
        <v>393</v>
      </c>
      <c r="C560" s="84">
        <v>19</v>
      </c>
      <c r="D560" s="84">
        <v>19</v>
      </c>
      <c r="E560" s="85">
        <v>7307.16</v>
      </c>
      <c r="F560" s="85">
        <v>7307.16</v>
      </c>
      <c r="G560" s="85">
        <v>0</v>
      </c>
    </row>
    <row r="561" spans="1:7" x14ac:dyDescent="0.3">
      <c r="A561" s="84">
        <v>2026</v>
      </c>
      <c r="B561" s="84" t="s">
        <v>393</v>
      </c>
      <c r="C561" s="84">
        <v>19</v>
      </c>
      <c r="D561" s="84">
        <v>20</v>
      </c>
      <c r="E561" s="85">
        <v>7307.16</v>
      </c>
      <c r="F561" s="85">
        <v>7700.14</v>
      </c>
      <c r="G561" s="85">
        <v>392.98</v>
      </c>
    </row>
    <row r="562" spans="1:7" x14ac:dyDescent="0.3">
      <c r="A562" s="84">
        <v>2026</v>
      </c>
      <c r="B562" s="84" t="s">
        <v>393</v>
      </c>
      <c r="C562" s="84">
        <v>19</v>
      </c>
      <c r="D562" s="84">
        <v>21</v>
      </c>
      <c r="E562" s="85">
        <v>7307.16</v>
      </c>
      <c r="F562" s="85">
        <v>8289.5400000000009</v>
      </c>
      <c r="G562" s="85">
        <v>982.38</v>
      </c>
    </row>
    <row r="563" spans="1:7" x14ac:dyDescent="0.3">
      <c r="A563" s="84">
        <v>2026</v>
      </c>
      <c r="B563" s="84" t="s">
        <v>393</v>
      </c>
      <c r="C563" s="84">
        <v>19</v>
      </c>
      <c r="D563" s="84">
        <v>22</v>
      </c>
      <c r="E563" s="85">
        <v>7307.16</v>
      </c>
      <c r="F563" s="85">
        <v>8928.2199999999993</v>
      </c>
      <c r="G563" s="85">
        <v>1621.06</v>
      </c>
    </row>
    <row r="564" spans="1:7" x14ac:dyDescent="0.3">
      <c r="A564" s="84">
        <v>2026</v>
      </c>
      <c r="B564" s="84" t="s">
        <v>393</v>
      </c>
      <c r="C564" s="84">
        <v>19</v>
      </c>
      <c r="D564" s="84">
        <v>23</v>
      </c>
      <c r="E564" s="85">
        <v>7307.16</v>
      </c>
      <c r="F564" s="85">
        <v>9568.7199999999993</v>
      </c>
      <c r="G564" s="85">
        <v>2261.56</v>
      </c>
    </row>
    <row r="565" spans="1:7" x14ac:dyDescent="0.3">
      <c r="A565" s="84">
        <v>2026</v>
      </c>
      <c r="B565" s="84" t="s">
        <v>393</v>
      </c>
      <c r="C565" s="84">
        <v>19</v>
      </c>
      <c r="D565" s="84">
        <v>24</v>
      </c>
      <c r="E565" s="85">
        <v>7307.16</v>
      </c>
      <c r="F565" s="85">
        <v>10207.959999999999</v>
      </c>
      <c r="G565" s="85">
        <v>2900.8</v>
      </c>
    </row>
    <row r="566" spans="1:7" x14ac:dyDescent="0.3">
      <c r="A566" s="84">
        <v>2026</v>
      </c>
      <c r="B566" s="84" t="s">
        <v>393</v>
      </c>
      <c r="C566" s="84">
        <v>19</v>
      </c>
      <c r="D566" s="84">
        <v>25</v>
      </c>
      <c r="E566" s="85">
        <v>7307.16</v>
      </c>
      <c r="F566" s="85">
        <v>10848.04</v>
      </c>
      <c r="G566" s="85">
        <v>3540.88</v>
      </c>
    </row>
    <row r="567" spans="1:7" x14ac:dyDescent="0.3">
      <c r="A567" s="84">
        <v>2026</v>
      </c>
      <c r="B567" s="84" t="s">
        <v>393</v>
      </c>
      <c r="C567" s="84">
        <v>19</v>
      </c>
      <c r="D567" s="84">
        <v>26</v>
      </c>
      <c r="E567" s="85">
        <v>7307.16</v>
      </c>
      <c r="F567" s="85">
        <v>12227.32</v>
      </c>
      <c r="G567" s="85">
        <v>4920.16</v>
      </c>
    </row>
    <row r="568" spans="1:7" x14ac:dyDescent="0.3">
      <c r="A568" s="84">
        <v>2026</v>
      </c>
      <c r="B568" s="84" t="s">
        <v>393</v>
      </c>
      <c r="C568" s="84">
        <v>19</v>
      </c>
      <c r="D568" s="84">
        <v>27</v>
      </c>
      <c r="E568" s="85">
        <v>7307.16</v>
      </c>
      <c r="F568" s="85">
        <v>13936.58</v>
      </c>
      <c r="G568" s="85">
        <v>6629.42</v>
      </c>
    </row>
    <row r="569" spans="1:7" x14ac:dyDescent="0.3">
      <c r="A569" s="84">
        <v>2026</v>
      </c>
      <c r="B569" s="84" t="s">
        <v>393</v>
      </c>
      <c r="C569" s="84">
        <v>19</v>
      </c>
      <c r="D569" s="84">
        <v>28</v>
      </c>
      <c r="E569" s="85">
        <v>7307.16</v>
      </c>
      <c r="F569" s="85">
        <v>14577.08</v>
      </c>
      <c r="G569" s="85">
        <v>7269.92</v>
      </c>
    </row>
    <row r="570" spans="1:7" x14ac:dyDescent="0.3">
      <c r="A570" s="84">
        <v>2026</v>
      </c>
      <c r="B570" s="84" t="s">
        <v>393</v>
      </c>
      <c r="C570" s="84">
        <v>19</v>
      </c>
      <c r="D570" s="84">
        <v>29</v>
      </c>
      <c r="E570" s="85">
        <v>7307.16</v>
      </c>
      <c r="F570" s="85">
        <v>15216.46</v>
      </c>
      <c r="G570" s="85">
        <v>7909.3</v>
      </c>
    </row>
    <row r="571" spans="1:7" x14ac:dyDescent="0.3">
      <c r="A571" s="84">
        <v>2026</v>
      </c>
      <c r="B571" s="84" t="s">
        <v>393</v>
      </c>
      <c r="C571" s="84">
        <v>19</v>
      </c>
      <c r="D571" s="84">
        <v>30</v>
      </c>
      <c r="E571" s="85">
        <v>7307.16</v>
      </c>
      <c r="F571" s="85">
        <v>16964.78</v>
      </c>
      <c r="G571" s="85">
        <v>9657.6200000000008</v>
      </c>
    </row>
    <row r="572" spans="1:7" x14ac:dyDescent="0.3">
      <c r="A572" s="84">
        <v>2026</v>
      </c>
      <c r="B572" s="84" t="s">
        <v>393</v>
      </c>
      <c r="C572" s="84">
        <v>20</v>
      </c>
      <c r="D572" s="84">
        <v>1</v>
      </c>
      <c r="E572" s="85">
        <v>7700.14</v>
      </c>
      <c r="F572" s="85">
        <v>1607.34</v>
      </c>
      <c r="G572" s="85">
        <v>-6092.8</v>
      </c>
    </row>
    <row r="573" spans="1:7" x14ac:dyDescent="0.3">
      <c r="A573" s="84">
        <v>2026</v>
      </c>
      <c r="B573" s="84" t="s">
        <v>393</v>
      </c>
      <c r="C573" s="84">
        <v>20</v>
      </c>
      <c r="D573" s="84">
        <v>2</v>
      </c>
      <c r="E573" s="85">
        <v>7700.14</v>
      </c>
      <c r="F573" s="85">
        <v>1901.76</v>
      </c>
      <c r="G573" s="85">
        <v>-5798.38</v>
      </c>
    </row>
    <row r="574" spans="1:7" x14ac:dyDescent="0.3">
      <c r="A574" s="84">
        <v>2026</v>
      </c>
      <c r="B574" s="84" t="s">
        <v>393</v>
      </c>
      <c r="C574" s="84">
        <v>20</v>
      </c>
      <c r="D574" s="84">
        <v>3</v>
      </c>
      <c r="E574" s="85">
        <v>7700.14</v>
      </c>
      <c r="F574" s="85">
        <v>2196.7399999999998</v>
      </c>
      <c r="G574" s="85">
        <v>-5503.4</v>
      </c>
    </row>
    <row r="575" spans="1:7" x14ac:dyDescent="0.3">
      <c r="A575" s="84">
        <v>2026</v>
      </c>
      <c r="B575" s="84" t="s">
        <v>393</v>
      </c>
      <c r="C575" s="84">
        <v>20</v>
      </c>
      <c r="D575" s="84">
        <v>4</v>
      </c>
      <c r="E575" s="85">
        <v>7700.14</v>
      </c>
      <c r="F575" s="85">
        <v>2490.88</v>
      </c>
      <c r="G575" s="85">
        <v>-5209.26</v>
      </c>
    </row>
    <row r="576" spans="1:7" x14ac:dyDescent="0.3">
      <c r="A576" s="84">
        <v>2026</v>
      </c>
      <c r="B576" s="84" t="s">
        <v>393</v>
      </c>
      <c r="C576" s="84">
        <v>20</v>
      </c>
      <c r="D576" s="84">
        <v>5</v>
      </c>
      <c r="E576" s="85">
        <v>7700.14</v>
      </c>
      <c r="F576" s="85">
        <v>2785.58</v>
      </c>
      <c r="G576" s="85">
        <v>-4914.5600000000004</v>
      </c>
    </row>
    <row r="577" spans="1:7" x14ac:dyDescent="0.3">
      <c r="A577" s="84">
        <v>2026</v>
      </c>
      <c r="B577" s="84" t="s">
        <v>393</v>
      </c>
      <c r="C577" s="84">
        <v>20</v>
      </c>
      <c r="D577" s="84">
        <v>6</v>
      </c>
      <c r="E577" s="85">
        <v>7700.14</v>
      </c>
      <c r="F577" s="85">
        <v>2982.28</v>
      </c>
      <c r="G577" s="85">
        <v>-4717.8599999999997</v>
      </c>
    </row>
    <row r="578" spans="1:7" x14ac:dyDescent="0.3">
      <c r="A578" s="84">
        <v>2026</v>
      </c>
      <c r="B578" s="84" t="s">
        <v>393</v>
      </c>
      <c r="C578" s="84">
        <v>20</v>
      </c>
      <c r="D578" s="84">
        <v>7</v>
      </c>
      <c r="E578" s="85">
        <v>7700.14</v>
      </c>
      <c r="F578" s="85">
        <v>3178.98</v>
      </c>
      <c r="G578" s="85">
        <v>-4521.16</v>
      </c>
    </row>
    <row r="579" spans="1:7" x14ac:dyDescent="0.3">
      <c r="A579" s="84">
        <v>2026</v>
      </c>
      <c r="B579" s="84" t="s">
        <v>393</v>
      </c>
      <c r="C579" s="84">
        <v>20</v>
      </c>
      <c r="D579" s="84">
        <v>8</v>
      </c>
      <c r="E579" s="85">
        <v>7700.14</v>
      </c>
      <c r="F579" s="85">
        <v>3375.26</v>
      </c>
      <c r="G579" s="85">
        <v>-4324.88</v>
      </c>
    </row>
    <row r="580" spans="1:7" x14ac:dyDescent="0.3">
      <c r="A580" s="84">
        <v>2026</v>
      </c>
      <c r="B580" s="84" t="s">
        <v>393</v>
      </c>
      <c r="C580" s="84">
        <v>20</v>
      </c>
      <c r="D580" s="84">
        <v>9</v>
      </c>
      <c r="E580" s="85">
        <v>7700.14</v>
      </c>
      <c r="F580" s="85">
        <v>3572.38</v>
      </c>
      <c r="G580" s="85">
        <v>-4127.76</v>
      </c>
    </row>
    <row r="581" spans="1:7" x14ac:dyDescent="0.3">
      <c r="A581" s="84">
        <v>2026</v>
      </c>
      <c r="B581" s="84" t="s">
        <v>393</v>
      </c>
      <c r="C581" s="84">
        <v>20</v>
      </c>
      <c r="D581" s="84">
        <v>10</v>
      </c>
      <c r="E581" s="85">
        <v>7700.14</v>
      </c>
      <c r="F581" s="85">
        <v>3768.8</v>
      </c>
      <c r="G581" s="85">
        <v>-3931.34</v>
      </c>
    </row>
    <row r="582" spans="1:7" x14ac:dyDescent="0.3">
      <c r="A582" s="84">
        <v>2026</v>
      </c>
      <c r="B582" s="84" t="s">
        <v>393</v>
      </c>
      <c r="C582" s="84">
        <v>20</v>
      </c>
      <c r="D582" s="84">
        <v>11</v>
      </c>
      <c r="E582" s="85">
        <v>7700.14</v>
      </c>
      <c r="F582" s="85">
        <v>4161.3599999999997</v>
      </c>
      <c r="G582" s="85">
        <v>-3538.78</v>
      </c>
    </row>
    <row r="583" spans="1:7" x14ac:dyDescent="0.3">
      <c r="A583" s="84">
        <v>2026</v>
      </c>
      <c r="B583" s="84" t="s">
        <v>393</v>
      </c>
      <c r="C583" s="84">
        <v>20</v>
      </c>
      <c r="D583" s="84">
        <v>12</v>
      </c>
      <c r="E583" s="85">
        <v>7700.14</v>
      </c>
      <c r="F583" s="85">
        <v>4554.8999999999996</v>
      </c>
      <c r="G583" s="85">
        <v>-3145.24</v>
      </c>
    </row>
    <row r="584" spans="1:7" x14ac:dyDescent="0.3">
      <c r="A584" s="84">
        <v>2026</v>
      </c>
      <c r="B584" s="84" t="s">
        <v>393</v>
      </c>
      <c r="C584" s="84">
        <v>20</v>
      </c>
      <c r="D584" s="84">
        <v>13</v>
      </c>
      <c r="E584" s="85">
        <v>7700.14</v>
      </c>
      <c r="F584" s="85">
        <v>4948.16</v>
      </c>
      <c r="G584" s="85">
        <v>-2751.98</v>
      </c>
    </row>
    <row r="585" spans="1:7" x14ac:dyDescent="0.3">
      <c r="A585" s="84">
        <v>2026</v>
      </c>
      <c r="B585" s="84" t="s">
        <v>393</v>
      </c>
      <c r="C585" s="84">
        <v>20</v>
      </c>
      <c r="D585" s="84">
        <v>14</v>
      </c>
      <c r="E585" s="85">
        <v>7700.14</v>
      </c>
      <c r="F585" s="85">
        <v>5341.98</v>
      </c>
      <c r="G585" s="85">
        <v>-2358.16</v>
      </c>
    </row>
    <row r="586" spans="1:7" x14ac:dyDescent="0.3">
      <c r="A586" s="84">
        <v>2026</v>
      </c>
      <c r="B586" s="84" t="s">
        <v>393</v>
      </c>
      <c r="C586" s="84">
        <v>20</v>
      </c>
      <c r="D586" s="84">
        <v>15</v>
      </c>
      <c r="E586" s="85">
        <v>7700.14</v>
      </c>
      <c r="F586" s="85">
        <v>5734.26</v>
      </c>
      <c r="G586" s="85">
        <v>-1965.88</v>
      </c>
    </row>
    <row r="587" spans="1:7" x14ac:dyDescent="0.3">
      <c r="A587" s="84">
        <v>2026</v>
      </c>
      <c r="B587" s="84" t="s">
        <v>393</v>
      </c>
      <c r="C587" s="84">
        <v>20</v>
      </c>
      <c r="D587" s="84">
        <v>16</v>
      </c>
      <c r="E587" s="85">
        <v>7700.14</v>
      </c>
      <c r="F587" s="85">
        <v>6128.22</v>
      </c>
      <c r="G587" s="85">
        <v>-1571.92</v>
      </c>
    </row>
    <row r="588" spans="1:7" x14ac:dyDescent="0.3">
      <c r="A588" s="84">
        <v>2026</v>
      </c>
      <c r="B588" s="84" t="s">
        <v>393</v>
      </c>
      <c r="C588" s="84">
        <v>20</v>
      </c>
      <c r="D588" s="84">
        <v>17</v>
      </c>
      <c r="E588" s="85">
        <v>7700.14</v>
      </c>
      <c r="F588" s="85">
        <v>6520.5</v>
      </c>
      <c r="G588" s="85">
        <v>-1179.6400000000001</v>
      </c>
    </row>
    <row r="589" spans="1:7" x14ac:dyDescent="0.3">
      <c r="A589" s="84">
        <v>2026</v>
      </c>
      <c r="B589" s="84" t="s">
        <v>393</v>
      </c>
      <c r="C589" s="84">
        <v>20</v>
      </c>
      <c r="D589" s="84">
        <v>18</v>
      </c>
      <c r="E589" s="85">
        <v>7700.14</v>
      </c>
      <c r="F589" s="85">
        <v>6914.04</v>
      </c>
      <c r="G589" s="85">
        <v>-786.1</v>
      </c>
    </row>
    <row r="590" spans="1:7" x14ac:dyDescent="0.3">
      <c r="A590" s="84">
        <v>2026</v>
      </c>
      <c r="B590" s="84" t="s">
        <v>393</v>
      </c>
      <c r="C590" s="84">
        <v>20</v>
      </c>
      <c r="D590" s="84">
        <v>19</v>
      </c>
      <c r="E590" s="85">
        <v>7700.14</v>
      </c>
      <c r="F590" s="85">
        <v>7307.16</v>
      </c>
      <c r="G590" s="85">
        <v>-392.98</v>
      </c>
    </row>
    <row r="591" spans="1:7" x14ac:dyDescent="0.3">
      <c r="A591" s="84">
        <v>2026</v>
      </c>
      <c r="B591" s="84" t="s">
        <v>393</v>
      </c>
      <c r="C591" s="84">
        <v>20</v>
      </c>
      <c r="D591" s="84">
        <v>20</v>
      </c>
      <c r="E591" s="85">
        <v>7700.14</v>
      </c>
      <c r="F591" s="85">
        <v>7700.14</v>
      </c>
      <c r="G591" s="85">
        <v>0</v>
      </c>
    </row>
    <row r="592" spans="1:7" x14ac:dyDescent="0.3">
      <c r="A592" s="84">
        <v>2026</v>
      </c>
      <c r="B592" s="84" t="s">
        <v>393</v>
      </c>
      <c r="C592" s="84">
        <v>20</v>
      </c>
      <c r="D592" s="84">
        <v>21</v>
      </c>
      <c r="E592" s="85">
        <v>7700.14</v>
      </c>
      <c r="F592" s="85">
        <v>8289.5400000000009</v>
      </c>
      <c r="G592" s="85">
        <v>589.4</v>
      </c>
    </row>
    <row r="593" spans="1:7" x14ac:dyDescent="0.3">
      <c r="A593" s="84">
        <v>2026</v>
      </c>
      <c r="B593" s="84" t="s">
        <v>393</v>
      </c>
      <c r="C593" s="84">
        <v>20</v>
      </c>
      <c r="D593" s="84">
        <v>22</v>
      </c>
      <c r="E593" s="85">
        <v>7700.14</v>
      </c>
      <c r="F593" s="85">
        <v>8928.2199999999993</v>
      </c>
      <c r="G593" s="85">
        <v>1228.08</v>
      </c>
    </row>
    <row r="594" spans="1:7" x14ac:dyDescent="0.3">
      <c r="A594" s="84">
        <v>2026</v>
      </c>
      <c r="B594" s="84" t="s">
        <v>393</v>
      </c>
      <c r="C594" s="84">
        <v>20</v>
      </c>
      <c r="D594" s="84">
        <v>23</v>
      </c>
      <c r="E594" s="85">
        <v>7700.14</v>
      </c>
      <c r="F594" s="85">
        <v>9568.7199999999993</v>
      </c>
      <c r="G594" s="85">
        <v>1868.58</v>
      </c>
    </row>
    <row r="595" spans="1:7" x14ac:dyDescent="0.3">
      <c r="A595" s="84">
        <v>2026</v>
      </c>
      <c r="B595" s="84" t="s">
        <v>393</v>
      </c>
      <c r="C595" s="84">
        <v>20</v>
      </c>
      <c r="D595" s="84">
        <v>24</v>
      </c>
      <c r="E595" s="85">
        <v>7700.14</v>
      </c>
      <c r="F595" s="85">
        <v>10207.959999999999</v>
      </c>
      <c r="G595" s="85">
        <v>2507.8200000000002</v>
      </c>
    </row>
    <row r="596" spans="1:7" x14ac:dyDescent="0.3">
      <c r="A596" s="84">
        <v>2026</v>
      </c>
      <c r="B596" s="84" t="s">
        <v>393</v>
      </c>
      <c r="C596" s="84">
        <v>20</v>
      </c>
      <c r="D596" s="84">
        <v>25</v>
      </c>
      <c r="E596" s="85">
        <v>7700.14</v>
      </c>
      <c r="F596" s="85">
        <v>10848.04</v>
      </c>
      <c r="G596" s="85">
        <v>3147.9</v>
      </c>
    </row>
    <row r="597" spans="1:7" x14ac:dyDescent="0.3">
      <c r="A597" s="84">
        <v>2026</v>
      </c>
      <c r="B597" s="84" t="s">
        <v>393</v>
      </c>
      <c r="C597" s="84">
        <v>20</v>
      </c>
      <c r="D597" s="84">
        <v>26</v>
      </c>
      <c r="E597" s="85">
        <v>7700.14</v>
      </c>
      <c r="F597" s="85">
        <v>12227.32</v>
      </c>
      <c r="G597" s="85">
        <v>4527.18</v>
      </c>
    </row>
    <row r="598" spans="1:7" x14ac:dyDescent="0.3">
      <c r="A598" s="84">
        <v>2026</v>
      </c>
      <c r="B598" s="84" t="s">
        <v>393</v>
      </c>
      <c r="C598" s="84">
        <v>20</v>
      </c>
      <c r="D598" s="84">
        <v>27</v>
      </c>
      <c r="E598" s="85">
        <v>7700.14</v>
      </c>
      <c r="F598" s="85">
        <v>13936.58</v>
      </c>
      <c r="G598" s="85">
        <v>6236.44</v>
      </c>
    </row>
    <row r="599" spans="1:7" x14ac:dyDescent="0.3">
      <c r="A599" s="84">
        <v>2026</v>
      </c>
      <c r="B599" s="84" t="s">
        <v>393</v>
      </c>
      <c r="C599" s="84">
        <v>20</v>
      </c>
      <c r="D599" s="84">
        <v>28</v>
      </c>
      <c r="E599" s="85">
        <v>7700.14</v>
      </c>
      <c r="F599" s="85">
        <v>14577.08</v>
      </c>
      <c r="G599" s="85">
        <v>6876.94</v>
      </c>
    </row>
    <row r="600" spans="1:7" x14ac:dyDescent="0.3">
      <c r="A600" s="84">
        <v>2026</v>
      </c>
      <c r="B600" s="84" t="s">
        <v>393</v>
      </c>
      <c r="C600" s="84">
        <v>20</v>
      </c>
      <c r="D600" s="84">
        <v>29</v>
      </c>
      <c r="E600" s="85">
        <v>7700.14</v>
      </c>
      <c r="F600" s="85">
        <v>15216.46</v>
      </c>
      <c r="G600" s="85">
        <v>7516.32</v>
      </c>
    </row>
    <row r="601" spans="1:7" x14ac:dyDescent="0.3">
      <c r="A601" s="84">
        <v>2026</v>
      </c>
      <c r="B601" s="84" t="s">
        <v>393</v>
      </c>
      <c r="C601" s="84">
        <v>20</v>
      </c>
      <c r="D601" s="84">
        <v>30</v>
      </c>
      <c r="E601" s="85">
        <v>7700.14</v>
      </c>
      <c r="F601" s="85">
        <v>16964.78</v>
      </c>
      <c r="G601" s="85">
        <v>9264.64</v>
      </c>
    </row>
    <row r="602" spans="1:7" x14ac:dyDescent="0.3">
      <c r="A602" s="84">
        <v>2026</v>
      </c>
      <c r="B602" s="84" t="s">
        <v>393</v>
      </c>
      <c r="C602" s="84">
        <v>21</v>
      </c>
      <c r="D602" s="84">
        <v>1</v>
      </c>
      <c r="E602" s="85">
        <v>8289.5400000000009</v>
      </c>
      <c r="F602" s="85">
        <v>1607.34</v>
      </c>
      <c r="G602" s="85">
        <v>-6682.2</v>
      </c>
    </row>
    <row r="603" spans="1:7" x14ac:dyDescent="0.3">
      <c r="A603" s="84">
        <v>2026</v>
      </c>
      <c r="B603" s="84" t="s">
        <v>393</v>
      </c>
      <c r="C603" s="84">
        <v>21</v>
      </c>
      <c r="D603" s="84">
        <v>2</v>
      </c>
      <c r="E603" s="85">
        <v>8289.5400000000009</v>
      </c>
      <c r="F603" s="85">
        <v>1901.76</v>
      </c>
      <c r="G603" s="85">
        <v>-6387.78</v>
      </c>
    </row>
    <row r="604" spans="1:7" x14ac:dyDescent="0.3">
      <c r="A604" s="84">
        <v>2026</v>
      </c>
      <c r="B604" s="84" t="s">
        <v>393</v>
      </c>
      <c r="C604" s="84">
        <v>21</v>
      </c>
      <c r="D604" s="84">
        <v>3</v>
      </c>
      <c r="E604" s="85">
        <v>8289.5400000000009</v>
      </c>
      <c r="F604" s="85">
        <v>2196.7399999999998</v>
      </c>
      <c r="G604" s="85">
        <v>-6092.8</v>
      </c>
    </row>
    <row r="605" spans="1:7" x14ac:dyDescent="0.3">
      <c r="A605" s="84">
        <v>2026</v>
      </c>
      <c r="B605" s="84" t="s">
        <v>393</v>
      </c>
      <c r="C605" s="84">
        <v>21</v>
      </c>
      <c r="D605" s="84">
        <v>4</v>
      </c>
      <c r="E605" s="85">
        <v>8289.5400000000009</v>
      </c>
      <c r="F605" s="85">
        <v>2490.88</v>
      </c>
      <c r="G605" s="85">
        <v>-5798.66</v>
      </c>
    </row>
    <row r="606" spans="1:7" x14ac:dyDescent="0.3">
      <c r="A606" s="84">
        <v>2026</v>
      </c>
      <c r="B606" s="84" t="s">
        <v>393</v>
      </c>
      <c r="C606" s="84">
        <v>21</v>
      </c>
      <c r="D606" s="84">
        <v>5</v>
      </c>
      <c r="E606" s="85">
        <v>8289.5400000000009</v>
      </c>
      <c r="F606" s="85">
        <v>2785.58</v>
      </c>
      <c r="G606" s="85">
        <v>-5503.96</v>
      </c>
    </row>
    <row r="607" spans="1:7" x14ac:dyDescent="0.3">
      <c r="A607" s="84">
        <v>2026</v>
      </c>
      <c r="B607" s="84" t="s">
        <v>393</v>
      </c>
      <c r="C607" s="84">
        <v>21</v>
      </c>
      <c r="D607" s="84">
        <v>6</v>
      </c>
      <c r="E607" s="85">
        <v>8289.5400000000009</v>
      </c>
      <c r="F607" s="85">
        <v>2982.28</v>
      </c>
      <c r="G607" s="85">
        <v>-5307.26</v>
      </c>
    </row>
    <row r="608" spans="1:7" x14ac:dyDescent="0.3">
      <c r="A608" s="84">
        <v>2026</v>
      </c>
      <c r="B608" s="84" t="s">
        <v>393</v>
      </c>
      <c r="C608" s="84">
        <v>21</v>
      </c>
      <c r="D608" s="84">
        <v>7</v>
      </c>
      <c r="E608" s="85">
        <v>8289.5400000000009</v>
      </c>
      <c r="F608" s="85">
        <v>3178.98</v>
      </c>
      <c r="G608" s="85">
        <v>-5110.5600000000004</v>
      </c>
    </row>
    <row r="609" spans="1:7" x14ac:dyDescent="0.3">
      <c r="A609" s="84">
        <v>2026</v>
      </c>
      <c r="B609" s="84" t="s">
        <v>393</v>
      </c>
      <c r="C609" s="84">
        <v>21</v>
      </c>
      <c r="D609" s="84">
        <v>8</v>
      </c>
      <c r="E609" s="85">
        <v>8289.5400000000009</v>
      </c>
      <c r="F609" s="85">
        <v>3375.26</v>
      </c>
      <c r="G609" s="85">
        <v>-4914.28</v>
      </c>
    </row>
    <row r="610" spans="1:7" x14ac:dyDescent="0.3">
      <c r="A610" s="84">
        <v>2026</v>
      </c>
      <c r="B610" s="84" t="s">
        <v>393</v>
      </c>
      <c r="C610" s="84">
        <v>21</v>
      </c>
      <c r="D610" s="84">
        <v>9</v>
      </c>
      <c r="E610" s="85">
        <v>8289.5400000000009</v>
      </c>
      <c r="F610" s="85">
        <v>3572.38</v>
      </c>
      <c r="G610" s="85">
        <v>-4717.16</v>
      </c>
    </row>
    <row r="611" spans="1:7" x14ac:dyDescent="0.3">
      <c r="A611" s="84">
        <v>2026</v>
      </c>
      <c r="B611" s="84" t="s">
        <v>393</v>
      </c>
      <c r="C611" s="84">
        <v>21</v>
      </c>
      <c r="D611" s="84">
        <v>10</v>
      </c>
      <c r="E611" s="85">
        <v>8289.5400000000009</v>
      </c>
      <c r="F611" s="85">
        <v>3768.8</v>
      </c>
      <c r="G611" s="85">
        <v>-4520.74</v>
      </c>
    </row>
    <row r="612" spans="1:7" x14ac:dyDescent="0.3">
      <c r="A612" s="84">
        <v>2026</v>
      </c>
      <c r="B612" s="84" t="s">
        <v>393</v>
      </c>
      <c r="C612" s="84">
        <v>21</v>
      </c>
      <c r="D612" s="84">
        <v>11</v>
      </c>
      <c r="E612" s="85">
        <v>8289.5400000000009</v>
      </c>
      <c r="F612" s="85">
        <v>4161.3599999999997</v>
      </c>
      <c r="G612" s="85">
        <v>-4128.18</v>
      </c>
    </row>
    <row r="613" spans="1:7" x14ac:dyDescent="0.3">
      <c r="A613" s="84">
        <v>2026</v>
      </c>
      <c r="B613" s="84" t="s">
        <v>393</v>
      </c>
      <c r="C613" s="84">
        <v>21</v>
      </c>
      <c r="D613" s="84">
        <v>12</v>
      </c>
      <c r="E613" s="85">
        <v>8289.5400000000009</v>
      </c>
      <c r="F613" s="85">
        <v>4554.8999999999996</v>
      </c>
      <c r="G613" s="85">
        <v>-3734.64</v>
      </c>
    </row>
    <row r="614" spans="1:7" x14ac:dyDescent="0.3">
      <c r="A614" s="84">
        <v>2026</v>
      </c>
      <c r="B614" s="84" t="s">
        <v>393</v>
      </c>
      <c r="C614" s="84">
        <v>21</v>
      </c>
      <c r="D614" s="84">
        <v>13</v>
      </c>
      <c r="E614" s="85">
        <v>8289.5400000000009</v>
      </c>
      <c r="F614" s="85">
        <v>4948.16</v>
      </c>
      <c r="G614" s="85">
        <v>-3341.38</v>
      </c>
    </row>
    <row r="615" spans="1:7" x14ac:dyDescent="0.3">
      <c r="A615" s="84">
        <v>2026</v>
      </c>
      <c r="B615" s="84" t="s">
        <v>393</v>
      </c>
      <c r="C615" s="84">
        <v>21</v>
      </c>
      <c r="D615" s="84">
        <v>14</v>
      </c>
      <c r="E615" s="85">
        <v>8289.5400000000009</v>
      </c>
      <c r="F615" s="85">
        <v>5341.98</v>
      </c>
      <c r="G615" s="85">
        <v>-2947.56</v>
      </c>
    </row>
    <row r="616" spans="1:7" x14ac:dyDescent="0.3">
      <c r="A616" s="84">
        <v>2026</v>
      </c>
      <c r="B616" s="84" t="s">
        <v>393</v>
      </c>
      <c r="C616" s="84">
        <v>21</v>
      </c>
      <c r="D616" s="84">
        <v>15</v>
      </c>
      <c r="E616" s="85">
        <v>8289.5400000000009</v>
      </c>
      <c r="F616" s="85">
        <v>5734.26</v>
      </c>
      <c r="G616" s="85">
        <v>-2555.2800000000002</v>
      </c>
    </row>
    <row r="617" spans="1:7" x14ac:dyDescent="0.3">
      <c r="A617" s="84">
        <v>2026</v>
      </c>
      <c r="B617" s="84" t="s">
        <v>393</v>
      </c>
      <c r="C617" s="84">
        <v>21</v>
      </c>
      <c r="D617" s="84">
        <v>16</v>
      </c>
      <c r="E617" s="85">
        <v>8289.5400000000009</v>
      </c>
      <c r="F617" s="85">
        <v>6128.22</v>
      </c>
      <c r="G617" s="85">
        <v>-2161.3200000000002</v>
      </c>
    </row>
    <row r="618" spans="1:7" x14ac:dyDescent="0.3">
      <c r="A618" s="84">
        <v>2026</v>
      </c>
      <c r="B618" s="84" t="s">
        <v>393</v>
      </c>
      <c r="C618" s="84">
        <v>21</v>
      </c>
      <c r="D618" s="84">
        <v>17</v>
      </c>
      <c r="E618" s="85">
        <v>8289.5400000000009</v>
      </c>
      <c r="F618" s="85">
        <v>6520.5</v>
      </c>
      <c r="G618" s="85">
        <v>-1769.04</v>
      </c>
    </row>
    <row r="619" spans="1:7" x14ac:dyDescent="0.3">
      <c r="A619" s="84">
        <v>2026</v>
      </c>
      <c r="B619" s="84" t="s">
        <v>393</v>
      </c>
      <c r="C619" s="84">
        <v>21</v>
      </c>
      <c r="D619" s="84">
        <v>18</v>
      </c>
      <c r="E619" s="85">
        <v>8289.5400000000009</v>
      </c>
      <c r="F619" s="85">
        <v>6914.04</v>
      </c>
      <c r="G619" s="85">
        <v>-1375.5</v>
      </c>
    </row>
    <row r="620" spans="1:7" x14ac:dyDescent="0.3">
      <c r="A620" s="84">
        <v>2026</v>
      </c>
      <c r="B620" s="84" t="s">
        <v>393</v>
      </c>
      <c r="C620" s="84">
        <v>21</v>
      </c>
      <c r="D620" s="84">
        <v>19</v>
      </c>
      <c r="E620" s="85">
        <v>8289.5400000000009</v>
      </c>
      <c r="F620" s="85">
        <v>7307.16</v>
      </c>
      <c r="G620" s="85">
        <v>-982.38</v>
      </c>
    </row>
    <row r="621" spans="1:7" x14ac:dyDescent="0.3">
      <c r="A621" s="84">
        <v>2026</v>
      </c>
      <c r="B621" s="84" t="s">
        <v>393</v>
      </c>
      <c r="C621" s="84">
        <v>21</v>
      </c>
      <c r="D621" s="84">
        <v>20</v>
      </c>
      <c r="E621" s="85">
        <v>8289.5400000000009</v>
      </c>
      <c r="F621" s="85">
        <v>7700.14</v>
      </c>
      <c r="G621" s="85">
        <v>-589.4</v>
      </c>
    </row>
    <row r="622" spans="1:7" x14ac:dyDescent="0.3">
      <c r="A622" s="84">
        <v>2026</v>
      </c>
      <c r="B622" s="84" t="s">
        <v>393</v>
      </c>
      <c r="C622" s="84">
        <v>21</v>
      </c>
      <c r="D622" s="84">
        <v>21</v>
      </c>
      <c r="E622" s="85">
        <v>8289.5400000000009</v>
      </c>
      <c r="F622" s="85">
        <v>8289.5400000000009</v>
      </c>
      <c r="G622" s="85">
        <v>0</v>
      </c>
    </row>
    <row r="623" spans="1:7" x14ac:dyDescent="0.3">
      <c r="A623" s="84">
        <v>2026</v>
      </c>
      <c r="B623" s="84" t="s">
        <v>393</v>
      </c>
      <c r="C623" s="84">
        <v>21</v>
      </c>
      <c r="D623" s="84">
        <v>22</v>
      </c>
      <c r="E623" s="85">
        <v>8289.5400000000009</v>
      </c>
      <c r="F623" s="85">
        <v>8928.2199999999993</v>
      </c>
      <c r="G623" s="85">
        <v>638.67999999999995</v>
      </c>
    </row>
    <row r="624" spans="1:7" x14ac:dyDescent="0.3">
      <c r="A624" s="84">
        <v>2026</v>
      </c>
      <c r="B624" s="84" t="s">
        <v>393</v>
      </c>
      <c r="C624" s="84">
        <v>21</v>
      </c>
      <c r="D624" s="84">
        <v>23</v>
      </c>
      <c r="E624" s="85">
        <v>8289.5400000000009</v>
      </c>
      <c r="F624" s="85">
        <v>9568.7199999999993</v>
      </c>
      <c r="G624" s="85">
        <v>1279.18</v>
      </c>
    </row>
    <row r="625" spans="1:7" x14ac:dyDescent="0.3">
      <c r="A625" s="84">
        <v>2026</v>
      </c>
      <c r="B625" s="84" t="s">
        <v>393</v>
      </c>
      <c r="C625" s="84">
        <v>21</v>
      </c>
      <c r="D625" s="84">
        <v>24</v>
      </c>
      <c r="E625" s="85">
        <v>8289.5400000000009</v>
      </c>
      <c r="F625" s="85">
        <v>10207.959999999999</v>
      </c>
      <c r="G625" s="85">
        <v>1918.42</v>
      </c>
    </row>
    <row r="626" spans="1:7" x14ac:dyDescent="0.3">
      <c r="A626" s="84">
        <v>2026</v>
      </c>
      <c r="B626" s="84" t="s">
        <v>393</v>
      </c>
      <c r="C626" s="84">
        <v>21</v>
      </c>
      <c r="D626" s="84">
        <v>25</v>
      </c>
      <c r="E626" s="85">
        <v>8289.5400000000009</v>
      </c>
      <c r="F626" s="85">
        <v>10848.04</v>
      </c>
      <c r="G626" s="85">
        <v>2558.5</v>
      </c>
    </row>
    <row r="627" spans="1:7" x14ac:dyDescent="0.3">
      <c r="A627" s="84">
        <v>2026</v>
      </c>
      <c r="B627" s="84" t="s">
        <v>393</v>
      </c>
      <c r="C627" s="84">
        <v>21</v>
      </c>
      <c r="D627" s="84">
        <v>26</v>
      </c>
      <c r="E627" s="85">
        <v>8289.5400000000009</v>
      </c>
      <c r="F627" s="85">
        <v>12227.32</v>
      </c>
      <c r="G627" s="85">
        <v>3937.78</v>
      </c>
    </row>
    <row r="628" spans="1:7" x14ac:dyDescent="0.3">
      <c r="A628" s="84">
        <v>2026</v>
      </c>
      <c r="B628" s="84" t="s">
        <v>393</v>
      </c>
      <c r="C628" s="84">
        <v>21</v>
      </c>
      <c r="D628" s="84">
        <v>27</v>
      </c>
      <c r="E628" s="85">
        <v>8289.5400000000009</v>
      </c>
      <c r="F628" s="85">
        <v>13936.58</v>
      </c>
      <c r="G628" s="85">
        <v>5647.04</v>
      </c>
    </row>
    <row r="629" spans="1:7" x14ac:dyDescent="0.3">
      <c r="A629" s="84">
        <v>2026</v>
      </c>
      <c r="B629" s="84" t="s">
        <v>393</v>
      </c>
      <c r="C629" s="84">
        <v>21</v>
      </c>
      <c r="D629" s="84">
        <v>28</v>
      </c>
      <c r="E629" s="85">
        <v>8289.5400000000009</v>
      </c>
      <c r="F629" s="85">
        <v>14577.08</v>
      </c>
      <c r="G629" s="85">
        <v>6287.54</v>
      </c>
    </row>
    <row r="630" spans="1:7" x14ac:dyDescent="0.3">
      <c r="A630" s="84">
        <v>2026</v>
      </c>
      <c r="B630" s="84" t="s">
        <v>393</v>
      </c>
      <c r="C630" s="84">
        <v>21</v>
      </c>
      <c r="D630" s="84">
        <v>29</v>
      </c>
      <c r="E630" s="85">
        <v>8289.5400000000009</v>
      </c>
      <c r="F630" s="85">
        <v>15216.46</v>
      </c>
      <c r="G630" s="85">
        <v>6926.92</v>
      </c>
    </row>
    <row r="631" spans="1:7" x14ac:dyDescent="0.3">
      <c r="A631" s="84">
        <v>2026</v>
      </c>
      <c r="B631" s="84" t="s">
        <v>393</v>
      </c>
      <c r="C631" s="84">
        <v>21</v>
      </c>
      <c r="D631" s="84">
        <v>30</v>
      </c>
      <c r="E631" s="85">
        <v>8289.5400000000009</v>
      </c>
      <c r="F631" s="85">
        <v>16964.78</v>
      </c>
      <c r="G631" s="85">
        <v>8675.24</v>
      </c>
    </row>
    <row r="632" spans="1:7" x14ac:dyDescent="0.3">
      <c r="A632" s="84">
        <v>2026</v>
      </c>
      <c r="B632" s="84" t="s">
        <v>393</v>
      </c>
      <c r="C632" s="84">
        <v>22</v>
      </c>
      <c r="D632" s="84">
        <v>1</v>
      </c>
      <c r="E632" s="85">
        <v>8928.2199999999993</v>
      </c>
      <c r="F632" s="85">
        <v>1607.34</v>
      </c>
      <c r="G632" s="85">
        <v>-7320.88</v>
      </c>
    </row>
    <row r="633" spans="1:7" x14ac:dyDescent="0.3">
      <c r="A633" s="84">
        <v>2026</v>
      </c>
      <c r="B633" s="84" t="s">
        <v>393</v>
      </c>
      <c r="C633" s="84">
        <v>22</v>
      </c>
      <c r="D633" s="84">
        <v>2</v>
      </c>
      <c r="E633" s="85">
        <v>8928.2199999999993</v>
      </c>
      <c r="F633" s="85">
        <v>1901.76</v>
      </c>
      <c r="G633" s="85">
        <v>-7026.46</v>
      </c>
    </row>
    <row r="634" spans="1:7" x14ac:dyDescent="0.3">
      <c r="A634" s="84">
        <v>2026</v>
      </c>
      <c r="B634" s="84" t="s">
        <v>393</v>
      </c>
      <c r="C634" s="84">
        <v>22</v>
      </c>
      <c r="D634" s="84">
        <v>3</v>
      </c>
      <c r="E634" s="85">
        <v>8928.2199999999993</v>
      </c>
      <c r="F634" s="85">
        <v>2196.7399999999998</v>
      </c>
      <c r="G634" s="85">
        <v>-6731.48</v>
      </c>
    </row>
    <row r="635" spans="1:7" x14ac:dyDescent="0.3">
      <c r="A635" s="84">
        <v>2026</v>
      </c>
      <c r="B635" s="84" t="s">
        <v>393</v>
      </c>
      <c r="C635" s="84">
        <v>22</v>
      </c>
      <c r="D635" s="84">
        <v>4</v>
      </c>
      <c r="E635" s="85">
        <v>8928.2199999999993</v>
      </c>
      <c r="F635" s="85">
        <v>2490.88</v>
      </c>
      <c r="G635" s="85">
        <v>-6437.34</v>
      </c>
    </row>
    <row r="636" spans="1:7" x14ac:dyDescent="0.3">
      <c r="A636" s="84">
        <v>2026</v>
      </c>
      <c r="B636" s="84" t="s">
        <v>393</v>
      </c>
      <c r="C636" s="84">
        <v>22</v>
      </c>
      <c r="D636" s="84">
        <v>5</v>
      </c>
      <c r="E636" s="85">
        <v>8928.2199999999993</v>
      </c>
      <c r="F636" s="85">
        <v>2785.58</v>
      </c>
      <c r="G636" s="85">
        <v>-6142.64</v>
      </c>
    </row>
    <row r="637" spans="1:7" x14ac:dyDescent="0.3">
      <c r="A637" s="84">
        <v>2026</v>
      </c>
      <c r="B637" s="84" t="s">
        <v>393</v>
      </c>
      <c r="C637" s="84">
        <v>22</v>
      </c>
      <c r="D637" s="84">
        <v>6</v>
      </c>
      <c r="E637" s="85">
        <v>8928.2199999999993</v>
      </c>
      <c r="F637" s="85">
        <v>2982.28</v>
      </c>
      <c r="G637" s="85">
        <v>-5945.94</v>
      </c>
    </row>
    <row r="638" spans="1:7" x14ac:dyDescent="0.3">
      <c r="A638" s="84">
        <v>2026</v>
      </c>
      <c r="B638" s="84" t="s">
        <v>393</v>
      </c>
      <c r="C638" s="84">
        <v>22</v>
      </c>
      <c r="D638" s="84">
        <v>7</v>
      </c>
      <c r="E638" s="85">
        <v>8928.2199999999993</v>
      </c>
      <c r="F638" s="85">
        <v>3178.98</v>
      </c>
      <c r="G638" s="85">
        <v>-5749.24</v>
      </c>
    </row>
    <row r="639" spans="1:7" x14ac:dyDescent="0.3">
      <c r="A639" s="84">
        <v>2026</v>
      </c>
      <c r="B639" s="84" t="s">
        <v>393</v>
      </c>
      <c r="C639" s="84">
        <v>22</v>
      </c>
      <c r="D639" s="84">
        <v>8</v>
      </c>
      <c r="E639" s="85">
        <v>8928.2199999999993</v>
      </c>
      <c r="F639" s="85">
        <v>3375.26</v>
      </c>
      <c r="G639" s="85">
        <v>-5552.96</v>
      </c>
    </row>
    <row r="640" spans="1:7" x14ac:dyDescent="0.3">
      <c r="A640" s="84">
        <v>2026</v>
      </c>
      <c r="B640" s="84" t="s">
        <v>393</v>
      </c>
      <c r="C640" s="84">
        <v>22</v>
      </c>
      <c r="D640" s="84">
        <v>9</v>
      </c>
      <c r="E640" s="85">
        <v>8928.2199999999993</v>
      </c>
      <c r="F640" s="85">
        <v>3572.38</v>
      </c>
      <c r="G640" s="85">
        <v>-5355.84</v>
      </c>
    </row>
    <row r="641" spans="1:7" x14ac:dyDescent="0.3">
      <c r="A641" s="84">
        <v>2026</v>
      </c>
      <c r="B641" s="84" t="s">
        <v>393</v>
      </c>
      <c r="C641" s="84">
        <v>22</v>
      </c>
      <c r="D641" s="84">
        <v>10</v>
      </c>
      <c r="E641" s="85">
        <v>8928.2199999999993</v>
      </c>
      <c r="F641" s="85">
        <v>3768.8</v>
      </c>
      <c r="G641" s="85">
        <v>-5159.42</v>
      </c>
    </row>
    <row r="642" spans="1:7" x14ac:dyDescent="0.3">
      <c r="A642" s="84">
        <v>2026</v>
      </c>
      <c r="B642" s="84" t="s">
        <v>393</v>
      </c>
      <c r="C642" s="84">
        <v>22</v>
      </c>
      <c r="D642" s="84">
        <v>11</v>
      </c>
      <c r="E642" s="85">
        <v>8928.2199999999993</v>
      </c>
      <c r="F642" s="85">
        <v>4161.3599999999997</v>
      </c>
      <c r="G642" s="85">
        <v>-4766.8599999999997</v>
      </c>
    </row>
    <row r="643" spans="1:7" x14ac:dyDescent="0.3">
      <c r="A643" s="84">
        <v>2026</v>
      </c>
      <c r="B643" s="84" t="s">
        <v>393</v>
      </c>
      <c r="C643" s="84">
        <v>22</v>
      </c>
      <c r="D643" s="84">
        <v>12</v>
      </c>
      <c r="E643" s="85">
        <v>8928.2199999999993</v>
      </c>
      <c r="F643" s="85">
        <v>4554.8999999999996</v>
      </c>
      <c r="G643" s="85">
        <v>-4373.32</v>
      </c>
    </row>
    <row r="644" spans="1:7" x14ac:dyDescent="0.3">
      <c r="A644" s="84">
        <v>2026</v>
      </c>
      <c r="B644" s="84" t="s">
        <v>393</v>
      </c>
      <c r="C644" s="84">
        <v>22</v>
      </c>
      <c r="D644" s="84">
        <v>13</v>
      </c>
      <c r="E644" s="85">
        <v>8928.2199999999993</v>
      </c>
      <c r="F644" s="85">
        <v>4948.16</v>
      </c>
      <c r="G644" s="85">
        <v>-3980.06</v>
      </c>
    </row>
    <row r="645" spans="1:7" x14ac:dyDescent="0.3">
      <c r="A645" s="84">
        <v>2026</v>
      </c>
      <c r="B645" s="84" t="s">
        <v>393</v>
      </c>
      <c r="C645" s="84">
        <v>22</v>
      </c>
      <c r="D645" s="84">
        <v>14</v>
      </c>
      <c r="E645" s="85">
        <v>8928.2199999999993</v>
      </c>
      <c r="F645" s="85">
        <v>5341.98</v>
      </c>
      <c r="G645" s="85">
        <v>-3586.24</v>
      </c>
    </row>
    <row r="646" spans="1:7" x14ac:dyDescent="0.3">
      <c r="A646" s="84">
        <v>2026</v>
      </c>
      <c r="B646" s="84" t="s">
        <v>393</v>
      </c>
      <c r="C646" s="84">
        <v>22</v>
      </c>
      <c r="D646" s="84">
        <v>15</v>
      </c>
      <c r="E646" s="85">
        <v>8928.2199999999993</v>
      </c>
      <c r="F646" s="85">
        <v>5734.26</v>
      </c>
      <c r="G646" s="85">
        <v>-3193.96</v>
      </c>
    </row>
    <row r="647" spans="1:7" x14ac:dyDescent="0.3">
      <c r="A647" s="84">
        <v>2026</v>
      </c>
      <c r="B647" s="84" t="s">
        <v>393</v>
      </c>
      <c r="C647" s="84">
        <v>22</v>
      </c>
      <c r="D647" s="84">
        <v>16</v>
      </c>
      <c r="E647" s="85">
        <v>8928.2199999999993</v>
      </c>
      <c r="F647" s="85">
        <v>6128.22</v>
      </c>
      <c r="G647" s="85">
        <v>-2800</v>
      </c>
    </row>
    <row r="648" spans="1:7" x14ac:dyDescent="0.3">
      <c r="A648" s="84">
        <v>2026</v>
      </c>
      <c r="B648" s="84" t="s">
        <v>393</v>
      </c>
      <c r="C648" s="84">
        <v>22</v>
      </c>
      <c r="D648" s="84">
        <v>17</v>
      </c>
      <c r="E648" s="85">
        <v>8928.2199999999993</v>
      </c>
      <c r="F648" s="85">
        <v>6520.5</v>
      </c>
      <c r="G648" s="85">
        <v>-2407.7199999999998</v>
      </c>
    </row>
    <row r="649" spans="1:7" x14ac:dyDescent="0.3">
      <c r="A649" s="84">
        <v>2026</v>
      </c>
      <c r="B649" s="84" t="s">
        <v>393</v>
      </c>
      <c r="C649" s="84">
        <v>22</v>
      </c>
      <c r="D649" s="84">
        <v>18</v>
      </c>
      <c r="E649" s="85">
        <v>8928.2199999999993</v>
      </c>
      <c r="F649" s="85">
        <v>6914.04</v>
      </c>
      <c r="G649" s="85">
        <v>-2014.18</v>
      </c>
    </row>
    <row r="650" spans="1:7" x14ac:dyDescent="0.3">
      <c r="A650" s="84">
        <v>2026</v>
      </c>
      <c r="B650" s="84" t="s">
        <v>393</v>
      </c>
      <c r="C650" s="84">
        <v>22</v>
      </c>
      <c r="D650" s="84">
        <v>19</v>
      </c>
      <c r="E650" s="85">
        <v>8928.2199999999993</v>
      </c>
      <c r="F650" s="85">
        <v>7307.16</v>
      </c>
      <c r="G650" s="85">
        <v>-1621.06</v>
      </c>
    </row>
    <row r="651" spans="1:7" x14ac:dyDescent="0.3">
      <c r="A651" s="84">
        <v>2026</v>
      </c>
      <c r="B651" s="84" t="s">
        <v>393</v>
      </c>
      <c r="C651" s="84">
        <v>22</v>
      </c>
      <c r="D651" s="84">
        <v>20</v>
      </c>
      <c r="E651" s="85">
        <v>8928.2199999999993</v>
      </c>
      <c r="F651" s="85">
        <v>7700.14</v>
      </c>
      <c r="G651" s="85">
        <v>-1228.08</v>
      </c>
    </row>
    <row r="652" spans="1:7" x14ac:dyDescent="0.3">
      <c r="A652" s="84">
        <v>2026</v>
      </c>
      <c r="B652" s="84" t="s">
        <v>393</v>
      </c>
      <c r="C652" s="84">
        <v>22</v>
      </c>
      <c r="D652" s="84">
        <v>21</v>
      </c>
      <c r="E652" s="85">
        <v>8928.2199999999993</v>
      </c>
      <c r="F652" s="85">
        <v>8289.5400000000009</v>
      </c>
      <c r="G652" s="85">
        <v>-638.67999999999995</v>
      </c>
    </row>
    <row r="653" spans="1:7" x14ac:dyDescent="0.3">
      <c r="A653" s="84">
        <v>2026</v>
      </c>
      <c r="B653" s="84" t="s">
        <v>393</v>
      </c>
      <c r="C653" s="84">
        <v>22</v>
      </c>
      <c r="D653" s="84">
        <v>22</v>
      </c>
      <c r="E653" s="85">
        <v>8928.2199999999993</v>
      </c>
      <c r="F653" s="85">
        <v>8928.2199999999993</v>
      </c>
      <c r="G653" s="85">
        <v>0</v>
      </c>
    </row>
    <row r="654" spans="1:7" x14ac:dyDescent="0.3">
      <c r="A654" s="84">
        <v>2026</v>
      </c>
      <c r="B654" s="84" t="s">
        <v>393</v>
      </c>
      <c r="C654" s="84">
        <v>22</v>
      </c>
      <c r="D654" s="84">
        <v>23</v>
      </c>
      <c r="E654" s="85">
        <v>8928.2199999999993</v>
      </c>
      <c r="F654" s="85">
        <v>9568.7199999999993</v>
      </c>
      <c r="G654" s="85">
        <v>640.5</v>
      </c>
    </row>
    <row r="655" spans="1:7" x14ac:dyDescent="0.3">
      <c r="A655" s="84">
        <v>2026</v>
      </c>
      <c r="B655" s="84" t="s">
        <v>393</v>
      </c>
      <c r="C655" s="84">
        <v>22</v>
      </c>
      <c r="D655" s="84">
        <v>24</v>
      </c>
      <c r="E655" s="85">
        <v>8928.2199999999993</v>
      </c>
      <c r="F655" s="85">
        <v>10207.959999999999</v>
      </c>
      <c r="G655" s="85">
        <v>1279.74</v>
      </c>
    </row>
    <row r="656" spans="1:7" x14ac:dyDescent="0.3">
      <c r="A656" s="84">
        <v>2026</v>
      </c>
      <c r="B656" s="84" t="s">
        <v>393</v>
      </c>
      <c r="C656" s="84">
        <v>22</v>
      </c>
      <c r="D656" s="84">
        <v>25</v>
      </c>
      <c r="E656" s="85">
        <v>8928.2199999999993</v>
      </c>
      <c r="F656" s="85">
        <v>10848.04</v>
      </c>
      <c r="G656" s="85">
        <v>1919.82</v>
      </c>
    </row>
    <row r="657" spans="1:7" x14ac:dyDescent="0.3">
      <c r="A657" s="84">
        <v>2026</v>
      </c>
      <c r="B657" s="84" t="s">
        <v>393</v>
      </c>
      <c r="C657" s="84">
        <v>22</v>
      </c>
      <c r="D657" s="84">
        <v>26</v>
      </c>
      <c r="E657" s="85">
        <v>8928.2199999999993</v>
      </c>
      <c r="F657" s="85">
        <v>12227.32</v>
      </c>
      <c r="G657" s="85">
        <v>3299.1</v>
      </c>
    </row>
    <row r="658" spans="1:7" x14ac:dyDescent="0.3">
      <c r="A658" s="84">
        <v>2026</v>
      </c>
      <c r="B658" s="84" t="s">
        <v>393</v>
      </c>
      <c r="C658" s="84">
        <v>22</v>
      </c>
      <c r="D658" s="84">
        <v>27</v>
      </c>
      <c r="E658" s="85">
        <v>8928.2199999999993</v>
      </c>
      <c r="F658" s="85">
        <v>13936.58</v>
      </c>
      <c r="G658" s="85">
        <v>5008.3599999999997</v>
      </c>
    </row>
    <row r="659" spans="1:7" x14ac:dyDescent="0.3">
      <c r="A659" s="84">
        <v>2026</v>
      </c>
      <c r="B659" s="84" t="s">
        <v>393</v>
      </c>
      <c r="C659" s="84">
        <v>22</v>
      </c>
      <c r="D659" s="84">
        <v>28</v>
      </c>
      <c r="E659" s="85">
        <v>8928.2199999999993</v>
      </c>
      <c r="F659" s="85">
        <v>14577.08</v>
      </c>
      <c r="G659" s="85">
        <v>5648.86</v>
      </c>
    </row>
    <row r="660" spans="1:7" x14ac:dyDescent="0.3">
      <c r="A660" s="84">
        <v>2026</v>
      </c>
      <c r="B660" s="84" t="s">
        <v>393</v>
      </c>
      <c r="C660" s="84">
        <v>22</v>
      </c>
      <c r="D660" s="84">
        <v>29</v>
      </c>
      <c r="E660" s="85">
        <v>8928.2199999999993</v>
      </c>
      <c r="F660" s="85">
        <v>15216.46</v>
      </c>
      <c r="G660" s="85">
        <v>6288.24</v>
      </c>
    </row>
    <row r="661" spans="1:7" x14ac:dyDescent="0.3">
      <c r="A661" s="84">
        <v>2026</v>
      </c>
      <c r="B661" s="84" t="s">
        <v>393</v>
      </c>
      <c r="C661" s="84">
        <v>22</v>
      </c>
      <c r="D661" s="84">
        <v>30</v>
      </c>
      <c r="E661" s="85">
        <v>8928.2199999999993</v>
      </c>
      <c r="F661" s="85">
        <v>16964.78</v>
      </c>
      <c r="G661" s="85">
        <v>8036.56</v>
      </c>
    </row>
    <row r="662" spans="1:7" x14ac:dyDescent="0.3">
      <c r="A662" s="84">
        <v>2026</v>
      </c>
      <c r="B662" s="84" t="s">
        <v>393</v>
      </c>
      <c r="C662" s="84">
        <v>23</v>
      </c>
      <c r="D662" s="84">
        <v>1</v>
      </c>
      <c r="E662" s="85">
        <v>9568.7199999999993</v>
      </c>
      <c r="F662" s="85">
        <v>1607.34</v>
      </c>
      <c r="G662" s="85">
        <v>-7961.38</v>
      </c>
    </row>
    <row r="663" spans="1:7" x14ac:dyDescent="0.3">
      <c r="A663" s="84">
        <v>2026</v>
      </c>
      <c r="B663" s="84" t="s">
        <v>393</v>
      </c>
      <c r="C663" s="84">
        <v>23</v>
      </c>
      <c r="D663" s="84">
        <v>2</v>
      </c>
      <c r="E663" s="85">
        <v>9568.7199999999993</v>
      </c>
      <c r="F663" s="85">
        <v>1901.76</v>
      </c>
      <c r="G663" s="85">
        <v>-7666.96</v>
      </c>
    </row>
    <row r="664" spans="1:7" x14ac:dyDescent="0.3">
      <c r="A664" s="84">
        <v>2026</v>
      </c>
      <c r="B664" s="84" t="s">
        <v>393</v>
      </c>
      <c r="C664" s="84">
        <v>23</v>
      </c>
      <c r="D664" s="84">
        <v>3</v>
      </c>
      <c r="E664" s="85">
        <v>9568.7199999999993</v>
      </c>
      <c r="F664" s="85">
        <v>2196.7399999999998</v>
      </c>
      <c r="G664" s="85">
        <v>-7371.98</v>
      </c>
    </row>
    <row r="665" spans="1:7" x14ac:dyDescent="0.3">
      <c r="A665" s="84">
        <v>2026</v>
      </c>
      <c r="B665" s="84" t="s">
        <v>393</v>
      </c>
      <c r="C665" s="84">
        <v>23</v>
      </c>
      <c r="D665" s="84">
        <v>4</v>
      </c>
      <c r="E665" s="85">
        <v>9568.7199999999993</v>
      </c>
      <c r="F665" s="85">
        <v>2490.88</v>
      </c>
      <c r="G665" s="85">
        <v>-7077.84</v>
      </c>
    </row>
    <row r="666" spans="1:7" x14ac:dyDescent="0.3">
      <c r="A666" s="84">
        <v>2026</v>
      </c>
      <c r="B666" s="84" t="s">
        <v>393</v>
      </c>
      <c r="C666" s="84">
        <v>23</v>
      </c>
      <c r="D666" s="84">
        <v>5</v>
      </c>
      <c r="E666" s="85">
        <v>9568.7199999999993</v>
      </c>
      <c r="F666" s="85">
        <v>2785.58</v>
      </c>
      <c r="G666" s="85">
        <v>-6783.14</v>
      </c>
    </row>
    <row r="667" spans="1:7" x14ac:dyDescent="0.3">
      <c r="A667" s="84">
        <v>2026</v>
      </c>
      <c r="B667" s="84" t="s">
        <v>393</v>
      </c>
      <c r="C667" s="84">
        <v>23</v>
      </c>
      <c r="D667" s="84">
        <v>6</v>
      </c>
      <c r="E667" s="85">
        <v>9568.7199999999993</v>
      </c>
      <c r="F667" s="85">
        <v>2982.28</v>
      </c>
      <c r="G667" s="85">
        <v>-6586.44</v>
      </c>
    </row>
    <row r="668" spans="1:7" x14ac:dyDescent="0.3">
      <c r="A668" s="84">
        <v>2026</v>
      </c>
      <c r="B668" s="84" t="s">
        <v>393</v>
      </c>
      <c r="C668" s="84">
        <v>23</v>
      </c>
      <c r="D668" s="84">
        <v>7</v>
      </c>
      <c r="E668" s="85">
        <v>9568.7199999999993</v>
      </c>
      <c r="F668" s="85">
        <v>3178.98</v>
      </c>
      <c r="G668" s="85">
        <v>-6389.74</v>
      </c>
    </row>
    <row r="669" spans="1:7" x14ac:dyDescent="0.3">
      <c r="A669" s="84">
        <v>2026</v>
      </c>
      <c r="B669" s="84" t="s">
        <v>393</v>
      </c>
      <c r="C669" s="84">
        <v>23</v>
      </c>
      <c r="D669" s="84">
        <v>8</v>
      </c>
      <c r="E669" s="85">
        <v>9568.7199999999993</v>
      </c>
      <c r="F669" s="85">
        <v>3375.26</v>
      </c>
      <c r="G669" s="85">
        <v>-6193.46</v>
      </c>
    </row>
    <row r="670" spans="1:7" x14ac:dyDescent="0.3">
      <c r="A670" s="84">
        <v>2026</v>
      </c>
      <c r="B670" s="84" t="s">
        <v>393</v>
      </c>
      <c r="C670" s="84">
        <v>23</v>
      </c>
      <c r="D670" s="84">
        <v>9</v>
      </c>
      <c r="E670" s="85">
        <v>9568.7199999999993</v>
      </c>
      <c r="F670" s="85">
        <v>3572.38</v>
      </c>
      <c r="G670" s="85">
        <v>-5996.34</v>
      </c>
    </row>
    <row r="671" spans="1:7" x14ac:dyDescent="0.3">
      <c r="A671" s="84">
        <v>2026</v>
      </c>
      <c r="B671" s="84" t="s">
        <v>393</v>
      </c>
      <c r="C671" s="84">
        <v>23</v>
      </c>
      <c r="D671" s="84">
        <v>10</v>
      </c>
      <c r="E671" s="85">
        <v>9568.7199999999993</v>
      </c>
      <c r="F671" s="85">
        <v>3768.8</v>
      </c>
      <c r="G671" s="85">
        <v>-5799.92</v>
      </c>
    </row>
    <row r="672" spans="1:7" x14ac:dyDescent="0.3">
      <c r="A672" s="84">
        <v>2026</v>
      </c>
      <c r="B672" s="84" t="s">
        <v>393</v>
      </c>
      <c r="C672" s="84">
        <v>23</v>
      </c>
      <c r="D672" s="84">
        <v>11</v>
      </c>
      <c r="E672" s="85">
        <v>9568.7199999999993</v>
      </c>
      <c r="F672" s="85">
        <v>4161.3599999999997</v>
      </c>
      <c r="G672" s="85">
        <v>-5407.36</v>
      </c>
    </row>
    <row r="673" spans="1:7" x14ac:dyDescent="0.3">
      <c r="A673" s="84">
        <v>2026</v>
      </c>
      <c r="B673" s="84" t="s">
        <v>393</v>
      </c>
      <c r="C673" s="84">
        <v>23</v>
      </c>
      <c r="D673" s="84">
        <v>12</v>
      </c>
      <c r="E673" s="85">
        <v>9568.7199999999993</v>
      </c>
      <c r="F673" s="85">
        <v>4554.8999999999996</v>
      </c>
      <c r="G673" s="85">
        <v>-5013.82</v>
      </c>
    </row>
    <row r="674" spans="1:7" x14ac:dyDescent="0.3">
      <c r="A674" s="84">
        <v>2026</v>
      </c>
      <c r="B674" s="84" t="s">
        <v>393</v>
      </c>
      <c r="C674" s="84">
        <v>23</v>
      </c>
      <c r="D674" s="84">
        <v>13</v>
      </c>
      <c r="E674" s="85">
        <v>9568.7199999999993</v>
      </c>
      <c r="F674" s="85">
        <v>4948.16</v>
      </c>
      <c r="G674" s="85">
        <v>-4620.5600000000004</v>
      </c>
    </row>
    <row r="675" spans="1:7" x14ac:dyDescent="0.3">
      <c r="A675" s="84">
        <v>2026</v>
      </c>
      <c r="B675" s="84" t="s">
        <v>393</v>
      </c>
      <c r="C675" s="84">
        <v>23</v>
      </c>
      <c r="D675" s="84">
        <v>14</v>
      </c>
      <c r="E675" s="85">
        <v>9568.7199999999993</v>
      </c>
      <c r="F675" s="85">
        <v>5341.98</v>
      </c>
      <c r="G675" s="85">
        <v>-4226.74</v>
      </c>
    </row>
    <row r="676" spans="1:7" x14ac:dyDescent="0.3">
      <c r="A676" s="84">
        <v>2026</v>
      </c>
      <c r="B676" s="84" t="s">
        <v>393</v>
      </c>
      <c r="C676" s="84">
        <v>23</v>
      </c>
      <c r="D676" s="84">
        <v>15</v>
      </c>
      <c r="E676" s="85">
        <v>9568.7199999999993</v>
      </c>
      <c r="F676" s="85">
        <v>5734.26</v>
      </c>
      <c r="G676" s="85">
        <v>-3834.46</v>
      </c>
    </row>
    <row r="677" spans="1:7" x14ac:dyDescent="0.3">
      <c r="A677" s="84">
        <v>2026</v>
      </c>
      <c r="B677" s="84" t="s">
        <v>393</v>
      </c>
      <c r="C677" s="84">
        <v>23</v>
      </c>
      <c r="D677" s="84">
        <v>16</v>
      </c>
      <c r="E677" s="85">
        <v>9568.7199999999993</v>
      </c>
      <c r="F677" s="85">
        <v>6128.22</v>
      </c>
      <c r="G677" s="85">
        <v>-3440.5</v>
      </c>
    </row>
    <row r="678" spans="1:7" x14ac:dyDescent="0.3">
      <c r="A678" s="84">
        <v>2026</v>
      </c>
      <c r="B678" s="84" t="s">
        <v>393</v>
      </c>
      <c r="C678" s="84">
        <v>23</v>
      </c>
      <c r="D678" s="84">
        <v>17</v>
      </c>
      <c r="E678" s="85">
        <v>9568.7199999999993</v>
      </c>
      <c r="F678" s="85">
        <v>6520.5</v>
      </c>
      <c r="G678" s="85">
        <v>-3048.22</v>
      </c>
    </row>
    <row r="679" spans="1:7" x14ac:dyDescent="0.3">
      <c r="A679" s="84">
        <v>2026</v>
      </c>
      <c r="B679" s="84" t="s">
        <v>393</v>
      </c>
      <c r="C679" s="84">
        <v>23</v>
      </c>
      <c r="D679" s="84">
        <v>18</v>
      </c>
      <c r="E679" s="85">
        <v>9568.7199999999993</v>
      </c>
      <c r="F679" s="85">
        <v>6914.04</v>
      </c>
      <c r="G679" s="85">
        <v>-2654.68</v>
      </c>
    </row>
    <row r="680" spans="1:7" x14ac:dyDescent="0.3">
      <c r="A680" s="84">
        <v>2026</v>
      </c>
      <c r="B680" s="84" t="s">
        <v>393</v>
      </c>
      <c r="C680" s="84">
        <v>23</v>
      </c>
      <c r="D680" s="84">
        <v>19</v>
      </c>
      <c r="E680" s="85">
        <v>9568.7199999999993</v>
      </c>
      <c r="F680" s="85">
        <v>7307.16</v>
      </c>
      <c r="G680" s="85">
        <v>-2261.56</v>
      </c>
    </row>
    <row r="681" spans="1:7" x14ac:dyDescent="0.3">
      <c r="A681" s="84">
        <v>2026</v>
      </c>
      <c r="B681" s="84" t="s">
        <v>393</v>
      </c>
      <c r="C681" s="84">
        <v>23</v>
      </c>
      <c r="D681" s="84">
        <v>20</v>
      </c>
      <c r="E681" s="85">
        <v>9568.7199999999993</v>
      </c>
      <c r="F681" s="85">
        <v>7700.14</v>
      </c>
      <c r="G681" s="85">
        <v>-1868.58</v>
      </c>
    </row>
    <row r="682" spans="1:7" x14ac:dyDescent="0.3">
      <c r="A682" s="84">
        <v>2026</v>
      </c>
      <c r="B682" s="84" t="s">
        <v>393</v>
      </c>
      <c r="C682" s="84">
        <v>23</v>
      </c>
      <c r="D682" s="84">
        <v>21</v>
      </c>
      <c r="E682" s="85">
        <v>9568.7199999999993</v>
      </c>
      <c r="F682" s="85">
        <v>8289.5400000000009</v>
      </c>
      <c r="G682" s="85">
        <v>-1279.18</v>
      </c>
    </row>
    <row r="683" spans="1:7" x14ac:dyDescent="0.3">
      <c r="A683" s="84">
        <v>2026</v>
      </c>
      <c r="B683" s="84" t="s">
        <v>393</v>
      </c>
      <c r="C683" s="84">
        <v>23</v>
      </c>
      <c r="D683" s="84">
        <v>22</v>
      </c>
      <c r="E683" s="85">
        <v>9568.7199999999993</v>
      </c>
      <c r="F683" s="85">
        <v>8928.2199999999993</v>
      </c>
      <c r="G683" s="85">
        <v>-640.5</v>
      </c>
    </row>
    <row r="684" spans="1:7" x14ac:dyDescent="0.3">
      <c r="A684" s="84">
        <v>2026</v>
      </c>
      <c r="B684" s="84" t="s">
        <v>393</v>
      </c>
      <c r="C684" s="84">
        <v>23</v>
      </c>
      <c r="D684" s="84">
        <v>23</v>
      </c>
      <c r="E684" s="85">
        <v>9568.7199999999993</v>
      </c>
      <c r="F684" s="85">
        <v>9568.7199999999993</v>
      </c>
      <c r="G684" s="85">
        <v>0</v>
      </c>
    </row>
    <row r="685" spans="1:7" x14ac:dyDescent="0.3">
      <c r="A685" s="84">
        <v>2026</v>
      </c>
      <c r="B685" s="84" t="s">
        <v>393</v>
      </c>
      <c r="C685" s="84">
        <v>23</v>
      </c>
      <c r="D685" s="84">
        <v>24</v>
      </c>
      <c r="E685" s="85">
        <v>9568.7199999999993</v>
      </c>
      <c r="F685" s="85">
        <v>10207.959999999999</v>
      </c>
      <c r="G685" s="85">
        <v>639.24</v>
      </c>
    </row>
    <row r="686" spans="1:7" x14ac:dyDescent="0.3">
      <c r="A686" s="84">
        <v>2026</v>
      </c>
      <c r="B686" s="84" t="s">
        <v>393</v>
      </c>
      <c r="C686" s="84">
        <v>23</v>
      </c>
      <c r="D686" s="84">
        <v>25</v>
      </c>
      <c r="E686" s="85">
        <v>9568.7199999999993</v>
      </c>
      <c r="F686" s="85">
        <v>10848.04</v>
      </c>
      <c r="G686" s="85">
        <v>1279.32</v>
      </c>
    </row>
    <row r="687" spans="1:7" x14ac:dyDescent="0.3">
      <c r="A687" s="84">
        <v>2026</v>
      </c>
      <c r="B687" s="84" t="s">
        <v>393</v>
      </c>
      <c r="C687" s="84">
        <v>23</v>
      </c>
      <c r="D687" s="84">
        <v>26</v>
      </c>
      <c r="E687" s="85">
        <v>9568.7199999999993</v>
      </c>
      <c r="F687" s="85">
        <v>12227.32</v>
      </c>
      <c r="G687" s="85">
        <v>2658.6</v>
      </c>
    </row>
    <row r="688" spans="1:7" x14ac:dyDescent="0.3">
      <c r="A688" s="84">
        <v>2026</v>
      </c>
      <c r="B688" s="84" t="s">
        <v>393</v>
      </c>
      <c r="C688" s="84">
        <v>23</v>
      </c>
      <c r="D688" s="84">
        <v>27</v>
      </c>
      <c r="E688" s="85">
        <v>9568.7199999999993</v>
      </c>
      <c r="F688" s="85">
        <v>13936.58</v>
      </c>
      <c r="G688" s="85">
        <v>4367.8599999999997</v>
      </c>
    </row>
    <row r="689" spans="1:7" x14ac:dyDescent="0.3">
      <c r="A689" s="84">
        <v>2026</v>
      </c>
      <c r="B689" s="84" t="s">
        <v>393</v>
      </c>
      <c r="C689" s="84">
        <v>23</v>
      </c>
      <c r="D689" s="84">
        <v>28</v>
      </c>
      <c r="E689" s="85">
        <v>9568.7199999999993</v>
      </c>
      <c r="F689" s="85">
        <v>14577.08</v>
      </c>
      <c r="G689" s="85">
        <v>5008.3599999999997</v>
      </c>
    </row>
    <row r="690" spans="1:7" x14ac:dyDescent="0.3">
      <c r="A690" s="84">
        <v>2026</v>
      </c>
      <c r="B690" s="84" t="s">
        <v>393</v>
      </c>
      <c r="C690" s="84">
        <v>23</v>
      </c>
      <c r="D690" s="84">
        <v>29</v>
      </c>
      <c r="E690" s="85">
        <v>9568.7199999999993</v>
      </c>
      <c r="F690" s="85">
        <v>15216.46</v>
      </c>
      <c r="G690" s="85">
        <v>5647.74</v>
      </c>
    </row>
    <row r="691" spans="1:7" x14ac:dyDescent="0.3">
      <c r="A691" s="84">
        <v>2026</v>
      </c>
      <c r="B691" s="84" t="s">
        <v>393</v>
      </c>
      <c r="C691" s="84">
        <v>23</v>
      </c>
      <c r="D691" s="84">
        <v>30</v>
      </c>
      <c r="E691" s="85">
        <v>9568.7199999999993</v>
      </c>
      <c r="F691" s="85">
        <v>16964.78</v>
      </c>
      <c r="G691" s="85">
        <v>7396.06</v>
      </c>
    </row>
    <row r="692" spans="1:7" x14ac:dyDescent="0.3">
      <c r="A692" s="84">
        <v>2026</v>
      </c>
      <c r="B692" s="84" t="s">
        <v>393</v>
      </c>
      <c r="C692" s="84">
        <v>24</v>
      </c>
      <c r="D692" s="84">
        <v>1</v>
      </c>
      <c r="E692" s="85">
        <v>10207.959999999999</v>
      </c>
      <c r="F692" s="85">
        <v>1607.34</v>
      </c>
      <c r="G692" s="85">
        <v>-8600.6200000000008</v>
      </c>
    </row>
    <row r="693" spans="1:7" x14ac:dyDescent="0.3">
      <c r="A693" s="84">
        <v>2026</v>
      </c>
      <c r="B693" s="84" t="s">
        <v>393</v>
      </c>
      <c r="C693" s="84">
        <v>24</v>
      </c>
      <c r="D693" s="84">
        <v>2</v>
      </c>
      <c r="E693" s="85">
        <v>10207.959999999999</v>
      </c>
      <c r="F693" s="85">
        <v>1901.76</v>
      </c>
      <c r="G693" s="85">
        <v>-8306.2000000000007</v>
      </c>
    </row>
    <row r="694" spans="1:7" x14ac:dyDescent="0.3">
      <c r="A694" s="84">
        <v>2026</v>
      </c>
      <c r="B694" s="84" t="s">
        <v>393</v>
      </c>
      <c r="C694" s="84">
        <v>24</v>
      </c>
      <c r="D694" s="84">
        <v>3</v>
      </c>
      <c r="E694" s="85">
        <v>10207.959999999999</v>
      </c>
      <c r="F694" s="85">
        <v>2196.7399999999998</v>
      </c>
      <c r="G694" s="85">
        <v>-8011.22</v>
      </c>
    </row>
    <row r="695" spans="1:7" x14ac:dyDescent="0.3">
      <c r="A695" s="84">
        <v>2026</v>
      </c>
      <c r="B695" s="84" t="s">
        <v>393</v>
      </c>
      <c r="C695" s="84">
        <v>24</v>
      </c>
      <c r="D695" s="84">
        <v>4</v>
      </c>
      <c r="E695" s="85">
        <v>10207.959999999999</v>
      </c>
      <c r="F695" s="85">
        <v>2490.88</v>
      </c>
      <c r="G695" s="85">
        <v>-7717.08</v>
      </c>
    </row>
    <row r="696" spans="1:7" x14ac:dyDescent="0.3">
      <c r="A696" s="84">
        <v>2026</v>
      </c>
      <c r="B696" s="84" t="s">
        <v>393</v>
      </c>
      <c r="C696" s="84">
        <v>24</v>
      </c>
      <c r="D696" s="84">
        <v>5</v>
      </c>
      <c r="E696" s="85">
        <v>10207.959999999999</v>
      </c>
      <c r="F696" s="85">
        <v>2785.58</v>
      </c>
      <c r="G696" s="85">
        <v>-7422.38</v>
      </c>
    </row>
    <row r="697" spans="1:7" x14ac:dyDescent="0.3">
      <c r="A697" s="84">
        <v>2026</v>
      </c>
      <c r="B697" s="84" t="s">
        <v>393</v>
      </c>
      <c r="C697" s="84">
        <v>24</v>
      </c>
      <c r="D697" s="84">
        <v>6</v>
      </c>
      <c r="E697" s="85">
        <v>10207.959999999999</v>
      </c>
      <c r="F697" s="85">
        <v>2982.28</v>
      </c>
      <c r="G697" s="85">
        <v>-7225.68</v>
      </c>
    </row>
    <row r="698" spans="1:7" x14ac:dyDescent="0.3">
      <c r="A698" s="84">
        <v>2026</v>
      </c>
      <c r="B698" s="84" t="s">
        <v>393</v>
      </c>
      <c r="C698" s="84">
        <v>24</v>
      </c>
      <c r="D698" s="84">
        <v>7</v>
      </c>
      <c r="E698" s="85">
        <v>10207.959999999999</v>
      </c>
      <c r="F698" s="85">
        <v>3178.98</v>
      </c>
      <c r="G698" s="85">
        <v>-7028.98</v>
      </c>
    </row>
    <row r="699" spans="1:7" x14ac:dyDescent="0.3">
      <c r="A699" s="84">
        <v>2026</v>
      </c>
      <c r="B699" s="84" t="s">
        <v>393</v>
      </c>
      <c r="C699" s="84">
        <v>24</v>
      </c>
      <c r="D699" s="84">
        <v>8</v>
      </c>
      <c r="E699" s="85">
        <v>10207.959999999999</v>
      </c>
      <c r="F699" s="85">
        <v>3375.26</v>
      </c>
      <c r="G699" s="85">
        <v>-6832.7</v>
      </c>
    </row>
    <row r="700" spans="1:7" x14ac:dyDescent="0.3">
      <c r="A700" s="84">
        <v>2026</v>
      </c>
      <c r="B700" s="84" t="s">
        <v>393</v>
      </c>
      <c r="C700" s="84">
        <v>24</v>
      </c>
      <c r="D700" s="84">
        <v>9</v>
      </c>
      <c r="E700" s="85">
        <v>10207.959999999999</v>
      </c>
      <c r="F700" s="85">
        <v>3572.38</v>
      </c>
      <c r="G700" s="85">
        <v>-6635.58</v>
      </c>
    </row>
    <row r="701" spans="1:7" x14ac:dyDescent="0.3">
      <c r="A701" s="84">
        <v>2026</v>
      </c>
      <c r="B701" s="84" t="s">
        <v>393</v>
      </c>
      <c r="C701" s="84">
        <v>24</v>
      </c>
      <c r="D701" s="84">
        <v>10</v>
      </c>
      <c r="E701" s="85">
        <v>10207.959999999999</v>
      </c>
      <c r="F701" s="85">
        <v>3768.8</v>
      </c>
      <c r="G701" s="85">
        <v>-6439.16</v>
      </c>
    </row>
    <row r="702" spans="1:7" x14ac:dyDescent="0.3">
      <c r="A702" s="84">
        <v>2026</v>
      </c>
      <c r="B702" s="84" t="s">
        <v>393</v>
      </c>
      <c r="C702" s="84">
        <v>24</v>
      </c>
      <c r="D702" s="84">
        <v>11</v>
      </c>
      <c r="E702" s="85">
        <v>10207.959999999999</v>
      </c>
      <c r="F702" s="85">
        <v>4161.3599999999997</v>
      </c>
      <c r="G702" s="85">
        <v>-6046.6</v>
      </c>
    </row>
    <row r="703" spans="1:7" x14ac:dyDescent="0.3">
      <c r="A703" s="84">
        <v>2026</v>
      </c>
      <c r="B703" s="84" t="s">
        <v>393</v>
      </c>
      <c r="C703" s="84">
        <v>24</v>
      </c>
      <c r="D703" s="84">
        <v>12</v>
      </c>
      <c r="E703" s="85">
        <v>10207.959999999999</v>
      </c>
      <c r="F703" s="85">
        <v>4554.8999999999996</v>
      </c>
      <c r="G703" s="85">
        <v>-5653.06</v>
      </c>
    </row>
    <row r="704" spans="1:7" x14ac:dyDescent="0.3">
      <c r="A704" s="84">
        <v>2026</v>
      </c>
      <c r="B704" s="84" t="s">
        <v>393</v>
      </c>
      <c r="C704" s="84">
        <v>24</v>
      </c>
      <c r="D704" s="84">
        <v>13</v>
      </c>
      <c r="E704" s="85">
        <v>10207.959999999999</v>
      </c>
      <c r="F704" s="85">
        <v>4948.16</v>
      </c>
      <c r="G704" s="85">
        <v>-5259.8</v>
      </c>
    </row>
    <row r="705" spans="1:7" x14ac:dyDescent="0.3">
      <c r="A705" s="84">
        <v>2026</v>
      </c>
      <c r="B705" s="84" t="s">
        <v>393</v>
      </c>
      <c r="C705" s="84">
        <v>24</v>
      </c>
      <c r="D705" s="84">
        <v>14</v>
      </c>
      <c r="E705" s="85">
        <v>10207.959999999999</v>
      </c>
      <c r="F705" s="85">
        <v>5341.98</v>
      </c>
      <c r="G705" s="85">
        <v>-4865.9799999999996</v>
      </c>
    </row>
    <row r="706" spans="1:7" x14ac:dyDescent="0.3">
      <c r="A706" s="84">
        <v>2026</v>
      </c>
      <c r="B706" s="84" t="s">
        <v>393</v>
      </c>
      <c r="C706" s="84">
        <v>24</v>
      </c>
      <c r="D706" s="84">
        <v>15</v>
      </c>
      <c r="E706" s="85">
        <v>10207.959999999999</v>
      </c>
      <c r="F706" s="85">
        <v>5734.26</v>
      </c>
      <c r="G706" s="85">
        <v>-4473.7</v>
      </c>
    </row>
    <row r="707" spans="1:7" x14ac:dyDescent="0.3">
      <c r="A707" s="84">
        <v>2026</v>
      </c>
      <c r="B707" s="84" t="s">
        <v>393</v>
      </c>
      <c r="C707" s="84">
        <v>24</v>
      </c>
      <c r="D707" s="84">
        <v>16</v>
      </c>
      <c r="E707" s="85">
        <v>10207.959999999999</v>
      </c>
      <c r="F707" s="85">
        <v>6128.22</v>
      </c>
      <c r="G707" s="85">
        <v>-4079.74</v>
      </c>
    </row>
    <row r="708" spans="1:7" x14ac:dyDescent="0.3">
      <c r="A708" s="84">
        <v>2026</v>
      </c>
      <c r="B708" s="84" t="s">
        <v>393</v>
      </c>
      <c r="C708" s="84">
        <v>24</v>
      </c>
      <c r="D708" s="84">
        <v>17</v>
      </c>
      <c r="E708" s="85">
        <v>10207.959999999999</v>
      </c>
      <c r="F708" s="85">
        <v>6520.5</v>
      </c>
      <c r="G708" s="85">
        <v>-3687.46</v>
      </c>
    </row>
    <row r="709" spans="1:7" x14ac:dyDescent="0.3">
      <c r="A709" s="84">
        <v>2026</v>
      </c>
      <c r="B709" s="84" t="s">
        <v>393</v>
      </c>
      <c r="C709" s="84">
        <v>24</v>
      </c>
      <c r="D709" s="84">
        <v>18</v>
      </c>
      <c r="E709" s="85">
        <v>10207.959999999999</v>
      </c>
      <c r="F709" s="85">
        <v>6914.04</v>
      </c>
      <c r="G709" s="85">
        <v>-3293.92</v>
      </c>
    </row>
    <row r="710" spans="1:7" x14ac:dyDescent="0.3">
      <c r="A710" s="84">
        <v>2026</v>
      </c>
      <c r="B710" s="84" t="s">
        <v>393</v>
      </c>
      <c r="C710" s="84">
        <v>24</v>
      </c>
      <c r="D710" s="84">
        <v>19</v>
      </c>
      <c r="E710" s="85">
        <v>10207.959999999999</v>
      </c>
      <c r="F710" s="85">
        <v>7307.16</v>
      </c>
      <c r="G710" s="85">
        <v>-2900.8</v>
      </c>
    </row>
    <row r="711" spans="1:7" x14ac:dyDescent="0.3">
      <c r="A711" s="84">
        <v>2026</v>
      </c>
      <c r="B711" s="84" t="s">
        <v>393</v>
      </c>
      <c r="C711" s="84">
        <v>24</v>
      </c>
      <c r="D711" s="84">
        <v>20</v>
      </c>
      <c r="E711" s="85">
        <v>10207.959999999999</v>
      </c>
      <c r="F711" s="85">
        <v>7700.14</v>
      </c>
      <c r="G711" s="85">
        <v>-2507.8200000000002</v>
      </c>
    </row>
    <row r="712" spans="1:7" x14ac:dyDescent="0.3">
      <c r="A712" s="84">
        <v>2026</v>
      </c>
      <c r="B712" s="84" t="s">
        <v>393</v>
      </c>
      <c r="C712" s="84">
        <v>24</v>
      </c>
      <c r="D712" s="84">
        <v>21</v>
      </c>
      <c r="E712" s="85">
        <v>10207.959999999999</v>
      </c>
      <c r="F712" s="85">
        <v>8289.5400000000009</v>
      </c>
      <c r="G712" s="85">
        <v>-1918.42</v>
      </c>
    </row>
    <row r="713" spans="1:7" x14ac:dyDescent="0.3">
      <c r="A713" s="84">
        <v>2026</v>
      </c>
      <c r="B713" s="84" t="s">
        <v>393</v>
      </c>
      <c r="C713" s="84">
        <v>24</v>
      </c>
      <c r="D713" s="84">
        <v>22</v>
      </c>
      <c r="E713" s="85">
        <v>10207.959999999999</v>
      </c>
      <c r="F713" s="85">
        <v>8928.2199999999993</v>
      </c>
      <c r="G713" s="85">
        <v>-1279.74</v>
      </c>
    </row>
    <row r="714" spans="1:7" x14ac:dyDescent="0.3">
      <c r="A714" s="84">
        <v>2026</v>
      </c>
      <c r="B714" s="84" t="s">
        <v>393</v>
      </c>
      <c r="C714" s="84">
        <v>24</v>
      </c>
      <c r="D714" s="84">
        <v>23</v>
      </c>
      <c r="E714" s="85">
        <v>10207.959999999999</v>
      </c>
      <c r="F714" s="85">
        <v>9568.7199999999993</v>
      </c>
      <c r="G714" s="85">
        <v>-639.24</v>
      </c>
    </row>
    <row r="715" spans="1:7" x14ac:dyDescent="0.3">
      <c r="A715" s="84">
        <v>2026</v>
      </c>
      <c r="B715" s="84" t="s">
        <v>393</v>
      </c>
      <c r="C715" s="84">
        <v>24</v>
      </c>
      <c r="D715" s="84">
        <v>24</v>
      </c>
      <c r="E715" s="85">
        <v>10207.959999999999</v>
      </c>
      <c r="F715" s="85">
        <v>10207.959999999999</v>
      </c>
      <c r="G715" s="85">
        <v>0</v>
      </c>
    </row>
    <row r="716" spans="1:7" x14ac:dyDescent="0.3">
      <c r="A716" s="84">
        <v>2026</v>
      </c>
      <c r="B716" s="84" t="s">
        <v>393</v>
      </c>
      <c r="C716" s="84">
        <v>24</v>
      </c>
      <c r="D716" s="84">
        <v>25</v>
      </c>
      <c r="E716" s="85">
        <v>10207.959999999999</v>
      </c>
      <c r="F716" s="85">
        <v>10848.04</v>
      </c>
      <c r="G716" s="85">
        <v>640.08000000000004</v>
      </c>
    </row>
    <row r="717" spans="1:7" x14ac:dyDescent="0.3">
      <c r="A717" s="84">
        <v>2026</v>
      </c>
      <c r="B717" s="84" t="s">
        <v>393</v>
      </c>
      <c r="C717" s="84">
        <v>24</v>
      </c>
      <c r="D717" s="84">
        <v>26</v>
      </c>
      <c r="E717" s="85">
        <v>10207.959999999999</v>
      </c>
      <c r="F717" s="85">
        <v>12227.32</v>
      </c>
      <c r="G717" s="85">
        <v>2019.36</v>
      </c>
    </row>
    <row r="718" spans="1:7" x14ac:dyDescent="0.3">
      <c r="A718" s="84">
        <v>2026</v>
      </c>
      <c r="B718" s="84" t="s">
        <v>393</v>
      </c>
      <c r="C718" s="84">
        <v>24</v>
      </c>
      <c r="D718" s="84">
        <v>27</v>
      </c>
      <c r="E718" s="85">
        <v>10207.959999999999</v>
      </c>
      <c r="F718" s="85">
        <v>13936.58</v>
      </c>
      <c r="G718" s="85">
        <v>3728.62</v>
      </c>
    </row>
    <row r="719" spans="1:7" x14ac:dyDescent="0.3">
      <c r="A719" s="84">
        <v>2026</v>
      </c>
      <c r="B719" s="84" t="s">
        <v>393</v>
      </c>
      <c r="C719" s="84">
        <v>24</v>
      </c>
      <c r="D719" s="84">
        <v>28</v>
      </c>
      <c r="E719" s="85">
        <v>10207.959999999999</v>
      </c>
      <c r="F719" s="85">
        <v>14577.08</v>
      </c>
      <c r="G719" s="85">
        <v>4369.12</v>
      </c>
    </row>
    <row r="720" spans="1:7" x14ac:dyDescent="0.3">
      <c r="A720" s="84">
        <v>2026</v>
      </c>
      <c r="B720" s="84" t="s">
        <v>393</v>
      </c>
      <c r="C720" s="84">
        <v>24</v>
      </c>
      <c r="D720" s="84">
        <v>29</v>
      </c>
      <c r="E720" s="85">
        <v>10207.959999999999</v>
      </c>
      <c r="F720" s="85">
        <v>15216.46</v>
      </c>
      <c r="G720" s="85">
        <v>5008.5</v>
      </c>
    </row>
    <row r="721" spans="1:7" x14ac:dyDescent="0.3">
      <c r="A721" s="84">
        <v>2026</v>
      </c>
      <c r="B721" s="84" t="s">
        <v>393</v>
      </c>
      <c r="C721" s="84">
        <v>24</v>
      </c>
      <c r="D721" s="84">
        <v>30</v>
      </c>
      <c r="E721" s="85">
        <v>10207.959999999999</v>
      </c>
      <c r="F721" s="85">
        <v>16964.78</v>
      </c>
      <c r="G721" s="85">
        <v>6756.82</v>
      </c>
    </row>
    <row r="722" spans="1:7" x14ac:dyDescent="0.3">
      <c r="A722" s="84">
        <v>2026</v>
      </c>
      <c r="B722" s="84" t="s">
        <v>393</v>
      </c>
      <c r="C722" s="84">
        <v>25</v>
      </c>
      <c r="D722" s="84">
        <v>1</v>
      </c>
      <c r="E722" s="85">
        <v>10848.04</v>
      </c>
      <c r="F722" s="85">
        <v>1607.34</v>
      </c>
      <c r="G722" s="85">
        <v>-9240.7000000000007</v>
      </c>
    </row>
    <row r="723" spans="1:7" x14ac:dyDescent="0.3">
      <c r="A723" s="84">
        <v>2026</v>
      </c>
      <c r="B723" s="84" t="s">
        <v>393</v>
      </c>
      <c r="C723" s="84">
        <v>25</v>
      </c>
      <c r="D723" s="84">
        <v>2</v>
      </c>
      <c r="E723" s="85">
        <v>10848.04</v>
      </c>
      <c r="F723" s="85">
        <v>1901.76</v>
      </c>
      <c r="G723" s="85">
        <v>-8946.2800000000007</v>
      </c>
    </row>
    <row r="724" spans="1:7" x14ac:dyDescent="0.3">
      <c r="A724" s="84">
        <v>2026</v>
      </c>
      <c r="B724" s="84" t="s">
        <v>393</v>
      </c>
      <c r="C724" s="84">
        <v>25</v>
      </c>
      <c r="D724" s="84">
        <v>3</v>
      </c>
      <c r="E724" s="85">
        <v>10848.04</v>
      </c>
      <c r="F724" s="85">
        <v>2196.7399999999998</v>
      </c>
      <c r="G724" s="85">
        <v>-8651.2999999999993</v>
      </c>
    </row>
    <row r="725" spans="1:7" x14ac:dyDescent="0.3">
      <c r="A725" s="84">
        <v>2026</v>
      </c>
      <c r="B725" s="84" t="s">
        <v>393</v>
      </c>
      <c r="C725" s="84">
        <v>25</v>
      </c>
      <c r="D725" s="84">
        <v>4</v>
      </c>
      <c r="E725" s="85">
        <v>10848.04</v>
      </c>
      <c r="F725" s="85">
        <v>2490.88</v>
      </c>
      <c r="G725" s="85">
        <v>-8357.16</v>
      </c>
    </row>
    <row r="726" spans="1:7" x14ac:dyDescent="0.3">
      <c r="A726" s="84">
        <v>2026</v>
      </c>
      <c r="B726" s="84" t="s">
        <v>393</v>
      </c>
      <c r="C726" s="84">
        <v>25</v>
      </c>
      <c r="D726" s="84">
        <v>5</v>
      </c>
      <c r="E726" s="85">
        <v>10848.04</v>
      </c>
      <c r="F726" s="85">
        <v>2785.58</v>
      </c>
      <c r="G726" s="85">
        <v>-8062.46</v>
      </c>
    </row>
    <row r="727" spans="1:7" x14ac:dyDescent="0.3">
      <c r="A727" s="84">
        <v>2026</v>
      </c>
      <c r="B727" s="84" t="s">
        <v>393</v>
      </c>
      <c r="C727" s="84">
        <v>25</v>
      </c>
      <c r="D727" s="84">
        <v>6</v>
      </c>
      <c r="E727" s="85">
        <v>10848.04</v>
      </c>
      <c r="F727" s="85">
        <v>2982.28</v>
      </c>
      <c r="G727" s="85">
        <v>-7865.76</v>
      </c>
    </row>
    <row r="728" spans="1:7" x14ac:dyDescent="0.3">
      <c r="A728" s="84">
        <v>2026</v>
      </c>
      <c r="B728" s="84" t="s">
        <v>393</v>
      </c>
      <c r="C728" s="84">
        <v>25</v>
      </c>
      <c r="D728" s="84">
        <v>7</v>
      </c>
      <c r="E728" s="85">
        <v>10848.04</v>
      </c>
      <c r="F728" s="85">
        <v>3178.98</v>
      </c>
      <c r="G728" s="85">
        <v>-7669.06</v>
      </c>
    </row>
    <row r="729" spans="1:7" x14ac:dyDescent="0.3">
      <c r="A729" s="84">
        <v>2026</v>
      </c>
      <c r="B729" s="84" t="s">
        <v>393</v>
      </c>
      <c r="C729" s="84">
        <v>25</v>
      </c>
      <c r="D729" s="84">
        <v>8</v>
      </c>
      <c r="E729" s="85">
        <v>10848.04</v>
      </c>
      <c r="F729" s="85">
        <v>3375.26</v>
      </c>
      <c r="G729" s="85">
        <v>-7472.78</v>
      </c>
    </row>
    <row r="730" spans="1:7" x14ac:dyDescent="0.3">
      <c r="A730" s="84">
        <v>2026</v>
      </c>
      <c r="B730" s="84" t="s">
        <v>393</v>
      </c>
      <c r="C730" s="84">
        <v>25</v>
      </c>
      <c r="D730" s="84">
        <v>9</v>
      </c>
      <c r="E730" s="85">
        <v>10848.04</v>
      </c>
      <c r="F730" s="85">
        <v>3572.38</v>
      </c>
      <c r="G730" s="85">
        <v>-7275.66</v>
      </c>
    </row>
    <row r="731" spans="1:7" x14ac:dyDescent="0.3">
      <c r="A731" s="84">
        <v>2026</v>
      </c>
      <c r="B731" s="84" t="s">
        <v>393</v>
      </c>
      <c r="C731" s="84">
        <v>25</v>
      </c>
      <c r="D731" s="84">
        <v>10</v>
      </c>
      <c r="E731" s="85">
        <v>10848.04</v>
      </c>
      <c r="F731" s="85">
        <v>3768.8</v>
      </c>
      <c r="G731" s="85">
        <v>-7079.24</v>
      </c>
    </row>
    <row r="732" spans="1:7" x14ac:dyDescent="0.3">
      <c r="A732" s="84">
        <v>2026</v>
      </c>
      <c r="B732" s="84" t="s">
        <v>393</v>
      </c>
      <c r="C732" s="84">
        <v>25</v>
      </c>
      <c r="D732" s="84">
        <v>11</v>
      </c>
      <c r="E732" s="85">
        <v>10848.04</v>
      </c>
      <c r="F732" s="85">
        <v>4161.3599999999997</v>
      </c>
      <c r="G732" s="85">
        <v>-6686.68</v>
      </c>
    </row>
    <row r="733" spans="1:7" x14ac:dyDescent="0.3">
      <c r="A733" s="84">
        <v>2026</v>
      </c>
      <c r="B733" s="84" t="s">
        <v>393</v>
      </c>
      <c r="C733" s="84">
        <v>25</v>
      </c>
      <c r="D733" s="84">
        <v>12</v>
      </c>
      <c r="E733" s="85">
        <v>10848.04</v>
      </c>
      <c r="F733" s="85">
        <v>4554.8999999999996</v>
      </c>
      <c r="G733" s="85">
        <v>-6293.14</v>
      </c>
    </row>
    <row r="734" spans="1:7" x14ac:dyDescent="0.3">
      <c r="A734" s="84">
        <v>2026</v>
      </c>
      <c r="B734" s="84" t="s">
        <v>393</v>
      </c>
      <c r="C734" s="84">
        <v>25</v>
      </c>
      <c r="D734" s="84">
        <v>13</v>
      </c>
      <c r="E734" s="85">
        <v>10848.04</v>
      </c>
      <c r="F734" s="85">
        <v>4948.16</v>
      </c>
      <c r="G734" s="85">
        <v>-5899.88</v>
      </c>
    </row>
    <row r="735" spans="1:7" x14ac:dyDescent="0.3">
      <c r="A735" s="84">
        <v>2026</v>
      </c>
      <c r="B735" s="84" t="s">
        <v>393</v>
      </c>
      <c r="C735" s="84">
        <v>25</v>
      </c>
      <c r="D735" s="84">
        <v>14</v>
      </c>
      <c r="E735" s="85">
        <v>10848.04</v>
      </c>
      <c r="F735" s="85">
        <v>5341.98</v>
      </c>
      <c r="G735" s="85">
        <v>-5506.06</v>
      </c>
    </row>
    <row r="736" spans="1:7" x14ac:dyDescent="0.3">
      <c r="A736" s="84">
        <v>2026</v>
      </c>
      <c r="B736" s="84" t="s">
        <v>393</v>
      </c>
      <c r="C736" s="84">
        <v>25</v>
      </c>
      <c r="D736" s="84">
        <v>15</v>
      </c>
      <c r="E736" s="85">
        <v>10848.04</v>
      </c>
      <c r="F736" s="85">
        <v>5734.26</v>
      </c>
      <c r="G736" s="85">
        <v>-5113.78</v>
      </c>
    </row>
    <row r="737" spans="1:7" x14ac:dyDescent="0.3">
      <c r="A737" s="84">
        <v>2026</v>
      </c>
      <c r="B737" s="84" t="s">
        <v>393</v>
      </c>
      <c r="C737" s="84">
        <v>25</v>
      </c>
      <c r="D737" s="84">
        <v>16</v>
      </c>
      <c r="E737" s="85">
        <v>10848.04</v>
      </c>
      <c r="F737" s="85">
        <v>6128.22</v>
      </c>
      <c r="G737" s="85">
        <v>-4719.82</v>
      </c>
    </row>
    <row r="738" spans="1:7" x14ac:dyDescent="0.3">
      <c r="A738" s="84">
        <v>2026</v>
      </c>
      <c r="B738" s="84" t="s">
        <v>393</v>
      </c>
      <c r="C738" s="84">
        <v>25</v>
      </c>
      <c r="D738" s="84">
        <v>17</v>
      </c>
      <c r="E738" s="85">
        <v>10848.04</v>
      </c>
      <c r="F738" s="85">
        <v>6520.5</v>
      </c>
      <c r="G738" s="85">
        <v>-4327.54</v>
      </c>
    </row>
    <row r="739" spans="1:7" x14ac:dyDescent="0.3">
      <c r="A739" s="84">
        <v>2026</v>
      </c>
      <c r="B739" s="84" t="s">
        <v>393</v>
      </c>
      <c r="C739" s="84">
        <v>25</v>
      </c>
      <c r="D739" s="84">
        <v>18</v>
      </c>
      <c r="E739" s="85">
        <v>10848.04</v>
      </c>
      <c r="F739" s="85">
        <v>6914.04</v>
      </c>
      <c r="G739" s="85">
        <v>-3934</v>
      </c>
    </row>
    <row r="740" spans="1:7" x14ac:dyDescent="0.3">
      <c r="A740" s="84">
        <v>2026</v>
      </c>
      <c r="B740" s="84" t="s">
        <v>393</v>
      </c>
      <c r="C740" s="84">
        <v>25</v>
      </c>
      <c r="D740" s="84">
        <v>19</v>
      </c>
      <c r="E740" s="85">
        <v>10848.04</v>
      </c>
      <c r="F740" s="85">
        <v>7307.16</v>
      </c>
      <c r="G740" s="85">
        <v>-3540.88</v>
      </c>
    </row>
    <row r="741" spans="1:7" x14ac:dyDescent="0.3">
      <c r="A741" s="84">
        <v>2026</v>
      </c>
      <c r="B741" s="84" t="s">
        <v>393</v>
      </c>
      <c r="C741" s="84">
        <v>25</v>
      </c>
      <c r="D741" s="84">
        <v>20</v>
      </c>
      <c r="E741" s="85">
        <v>10848.04</v>
      </c>
      <c r="F741" s="85">
        <v>7700.14</v>
      </c>
      <c r="G741" s="85">
        <v>-3147.9</v>
      </c>
    </row>
    <row r="742" spans="1:7" x14ac:dyDescent="0.3">
      <c r="A742" s="84">
        <v>2026</v>
      </c>
      <c r="B742" s="84" t="s">
        <v>393</v>
      </c>
      <c r="C742" s="84">
        <v>25</v>
      </c>
      <c r="D742" s="84">
        <v>21</v>
      </c>
      <c r="E742" s="85">
        <v>10848.04</v>
      </c>
      <c r="F742" s="85">
        <v>8289.5400000000009</v>
      </c>
      <c r="G742" s="85">
        <v>-2558.5</v>
      </c>
    </row>
    <row r="743" spans="1:7" x14ac:dyDescent="0.3">
      <c r="A743" s="84">
        <v>2026</v>
      </c>
      <c r="B743" s="84" t="s">
        <v>393</v>
      </c>
      <c r="C743" s="84">
        <v>25</v>
      </c>
      <c r="D743" s="84">
        <v>22</v>
      </c>
      <c r="E743" s="85">
        <v>10848.04</v>
      </c>
      <c r="F743" s="85">
        <v>8928.2199999999993</v>
      </c>
      <c r="G743" s="85">
        <v>-1919.82</v>
      </c>
    </row>
    <row r="744" spans="1:7" x14ac:dyDescent="0.3">
      <c r="A744" s="84">
        <v>2026</v>
      </c>
      <c r="B744" s="84" t="s">
        <v>393</v>
      </c>
      <c r="C744" s="84">
        <v>25</v>
      </c>
      <c r="D744" s="84">
        <v>23</v>
      </c>
      <c r="E744" s="85">
        <v>10848.04</v>
      </c>
      <c r="F744" s="85">
        <v>9568.7199999999993</v>
      </c>
      <c r="G744" s="85">
        <v>-1279.32</v>
      </c>
    </row>
    <row r="745" spans="1:7" x14ac:dyDescent="0.3">
      <c r="A745" s="84">
        <v>2026</v>
      </c>
      <c r="B745" s="84" t="s">
        <v>393</v>
      </c>
      <c r="C745" s="84">
        <v>25</v>
      </c>
      <c r="D745" s="84">
        <v>24</v>
      </c>
      <c r="E745" s="85">
        <v>10848.04</v>
      </c>
      <c r="F745" s="85">
        <v>10207.959999999999</v>
      </c>
      <c r="G745" s="85">
        <v>-640.08000000000004</v>
      </c>
    </row>
    <row r="746" spans="1:7" x14ac:dyDescent="0.3">
      <c r="A746" s="84">
        <v>2026</v>
      </c>
      <c r="B746" s="84" t="s">
        <v>393</v>
      </c>
      <c r="C746" s="84">
        <v>25</v>
      </c>
      <c r="D746" s="84">
        <v>25</v>
      </c>
      <c r="E746" s="85">
        <v>10848.04</v>
      </c>
      <c r="F746" s="85">
        <v>10848.04</v>
      </c>
      <c r="G746" s="85">
        <v>0</v>
      </c>
    </row>
    <row r="747" spans="1:7" x14ac:dyDescent="0.3">
      <c r="A747" s="84">
        <v>2026</v>
      </c>
      <c r="B747" s="84" t="s">
        <v>393</v>
      </c>
      <c r="C747" s="84">
        <v>25</v>
      </c>
      <c r="D747" s="84">
        <v>26</v>
      </c>
      <c r="E747" s="85">
        <v>10848.04</v>
      </c>
      <c r="F747" s="85">
        <v>12227.32</v>
      </c>
      <c r="G747" s="85">
        <v>1379.28</v>
      </c>
    </row>
    <row r="748" spans="1:7" x14ac:dyDescent="0.3">
      <c r="A748" s="84">
        <v>2026</v>
      </c>
      <c r="B748" s="84" t="s">
        <v>393</v>
      </c>
      <c r="C748" s="84">
        <v>25</v>
      </c>
      <c r="D748" s="84">
        <v>27</v>
      </c>
      <c r="E748" s="85">
        <v>10848.04</v>
      </c>
      <c r="F748" s="85">
        <v>13936.58</v>
      </c>
      <c r="G748" s="85">
        <v>3088.54</v>
      </c>
    </row>
    <row r="749" spans="1:7" x14ac:dyDescent="0.3">
      <c r="A749" s="84">
        <v>2026</v>
      </c>
      <c r="B749" s="84" t="s">
        <v>393</v>
      </c>
      <c r="C749" s="84">
        <v>25</v>
      </c>
      <c r="D749" s="84">
        <v>28</v>
      </c>
      <c r="E749" s="85">
        <v>10848.04</v>
      </c>
      <c r="F749" s="85">
        <v>14577.08</v>
      </c>
      <c r="G749" s="85">
        <v>3729.04</v>
      </c>
    </row>
    <row r="750" spans="1:7" x14ac:dyDescent="0.3">
      <c r="A750" s="84">
        <v>2026</v>
      </c>
      <c r="B750" s="84" t="s">
        <v>393</v>
      </c>
      <c r="C750" s="84">
        <v>25</v>
      </c>
      <c r="D750" s="84">
        <v>29</v>
      </c>
      <c r="E750" s="85">
        <v>10848.04</v>
      </c>
      <c r="F750" s="85">
        <v>15216.46</v>
      </c>
      <c r="G750" s="85">
        <v>4368.42</v>
      </c>
    </row>
    <row r="751" spans="1:7" x14ac:dyDescent="0.3">
      <c r="A751" s="84">
        <v>2026</v>
      </c>
      <c r="B751" s="84" t="s">
        <v>393</v>
      </c>
      <c r="C751" s="84">
        <v>25</v>
      </c>
      <c r="D751" s="84">
        <v>30</v>
      </c>
      <c r="E751" s="85">
        <v>10848.04</v>
      </c>
      <c r="F751" s="85">
        <v>16964.78</v>
      </c>
      <c r="G751" s="85">
        <v>6116.74</v>
      </c>
    </row>
    <row r="752" spans="1:7" x14ac:dyDescent="0.3">
      <c r="A752" s="84">
        <v>2026</v>
      </c>
      <c r="B752" s="84" t="s">
        <v>393</v>
      </c>
      <c r="C752" s="84">
        <v>26</v>
      </c>
      <c r="D752" s="84">
        <v>1</v>
      </c>
      <c r="E752" s="85">
        <v>12227.32</v>
      </c>
      <c r="F752" s="85">
        <v>1607.34</v>
      </c>
      <c r="G752" s="85">
        <v>-10619.98</v>
      </c>
    </row>
    <row r="753" spans="1:7" x14ac:dyDescent="0.3">
      <c r="A753" s="84">
        <v>2026</v>
      </c>
      <c r="B753" s="84" t="s">
        <v>393</v>
      </c>
      <c r="C753" s="84">
        <v>26</v>
      </c>
      <c r="D753" s="84">
        <v>2</v>
      </c>
      <c r="E753" s="85">
        <v>12227.32</v>
      </c>
      <c r="F753" s="85">
        <v>1901.76</v>
      </c>
      <c r="G753" s="85">
        <v>-10325.56</v>
      </c>
    </row>
    <row r="754" spans="1:7" x14ac:dyDescent="0.3">
      <c r="A754" s="84">
        <v>2026</v>
      </c>
      <c r="B754" s="84" t="s">
        <v>393</v>
      </c>
      <c r="C754" s="84">
        <v>26</v>
      </c>
      <c r="D754" s="84">
        <v>3</v>
      </c>
      <c r="E754" s="85">
        <v>12227.32</v>
      </c>
      <c r="F754" s="85">
        <v>2196.7399999999998</v>
      </c>
      <c r="G754" s="85">
        <v>-10030.58</v>
      </c>
    </row>
    <row r="755" spans="1:7" x14ac:dyDescent="0.3">
      <c r="A755" s="84">
        <v>2026</v>
      </c>
      <c r="B755" s="84" t="s">
        <v>393</v>
      </c>
      <c r="C755" s="84">
        <v>26</v>
      </c>
      <c r="D755" s="84">
        <v>4</v>
      </c>
      <c r="E755" s="85">
        <v>12227.32</v>
      </c>
      <c r="F755" s="85">
        <v>2490.88</v>
      </c>
      <c r="G755" s="85">
        <v>-9736.44</v>
      </c>
    </row>
    <row r="756" spans="1:7" x14ac:dyDescent="0.3">
      <c r="A756" s="84">
        <v>2026</v>
      </c>
      <c r="B756" s="84" t="s">
        <v>393</v>
      </c>
      <c r="C756" s="84">
        <v>26</v>
      </c>
      <c r="D756" s="84">
        <v>5</v>
      </c>
      <c r="E756" s="85">
        <v>12227.32</v>
      </c>
      <c r="F756" s="85">
        <v>2785.58</v>
      </c>
      <c r="G756" s="85">
        <v>-9441.74</v>
      </c>
    </row>
    <row r="757" spans="1:7" x14ac:dyDescent="0.3">
      <c r="A757" s="84">
        <v>2026</v>
      </c>
      <c r="B757" s="84" t="s">
        <v>393</v>
      </c>
      <c r="C757" s="84">
        <v>26</v>
      </c>
      <c r="D757" s="84">
        <v>6</v>
      </c>
      <c r="E757" s="85">
        <v>12227.32</v>
      </c>
      <c r="F757" s="85">
        <v>2982.28</v>
      </c>
      <c r="G757" s="85">
        <v>-9245.0400000000009</v>
      </c>
    </row>
    <row r="758" spans="1:7" x14ac:dyDescent="0.3">
      <c r="A758" s="84">
        <v>2026</v>
      </c>
      <c r="B758" s="84" t="s">
        <v>393</v>
      </c>
      <c r="C758" s="84">
        <v>26</v>
      </c>
      <c r="D758" s="84">
        <v>7</v>
      </c>
      <c r="E758" s="85">
        <v>12227.32</v>
      </c>
      <c r="F758" s="85">
        <v>3178.98</v>
      </c>
      <c r="G758" s="85">
        <v>-9048.34</v>
      </c>
    </row>
    <row r="759" spans="1:7" x14ac:dyDescent="0.3">
      <c r="A759" s="84">
        <v>2026</v>
      </c>
      <c r="B759" s="84" t="s">
        <v>393</v>
      </c>
      <c r="C759" s="84">
        <v>26</v>
      </c>
      <c r="D759" s="84">
        <v>8</v>
      </c>
      <c r="E759" s="85">
        <v>12227.32</v>
      </c>
      <c r="F759" s="85">
        <v>3375.26</v>
      </c>
      <c r="G759" s="85">
        <v>-8852.06</v>
      </c>
    </row>
    <row r="760" spans="1:7" x14ac:dyDescent="0.3">
      <c r="A760" s="84">
        <v>2026</v>
      </c>
      <c r="B760" s="84" t="s">
        <v>393</v>
      </c>
      <c r="C760" s="84">
        <v>26</v>
      </c>
      <c r="D760" s="84">
        <v>9</v>
      </c>
      <c r="E760" s="85">
        <v>12227.32</v>
      </c>
      <c r="F760" s="85">
        <v>3572.38</v>
      </c>
      <c r="G760" s="85">
        <v>-8654.94</v>
      </c>
    </row>
    <row r="761" spans="1:7" x14ac:dyDescent="0.3">
      <c r="A761" s="84">
        <v>2026</v>
      </c>
      <c r="B761" s="84" t="s">
        <v>393</v>
      </c>
      <c r="C761" s="84">
        <v>26</v>
      </c>
      <c r="D761" s="84">
        <v>10</v>
      </c>
      <c r="E761" s="85">
        <v>12227.32</v>
      </c>
      <c r="F761" s="85">
        <v>3768.8</v>
      </c>
      <c r="G761" s="85">
        <v>-8458.52</v>
      </c>
    </row>
    <row r="762" spans="1:7" x14ac:dyDescent="0.3">
      <c r="A762" s="84">
        <v>2026</v>
      </c>
      <c r="B762" s="84" t="s">
        <v>393</v>
      </c>
      <c r="C762" s="84">
        <v>26</v>
      </c>
      <c r="D762" s="84">
        <v>11</v>
      </c>
      <c r="E762" s="85">
        <v>12227.32</v>
      </c>
      <c r="F762" s="85">
        <v>4161.3599999999997</v>
      </c>
      <c r="G762" s="85">
        <v>-8065.96</v>
      </c>
    </row>
    <row r="763" spans="1:7" x14ac:dyDescent="0.3">
      <c r="A763" s="84">
        <v>2026</v>
      </c>
      <c r="B763" s="84" t="s">
        <v>393</v>
      </c>
      <c r="C763" s="84">
        <v>26</v>
      </c>
      <c r="D763" s="84">
        <v>12</v>
      </c>
      <c r="E763" s="85">
        <v>12227.32</v>
      </c>
      <c r="F763" s="85">
        <v>4554.8999999999996</v>
      </c>
      <c r="G763" s="85">
        <v>-7672.42</v>
      </c>
    </row>
    <row r="764" spans="1:7" x14ac:dyDescent="0.3">
      <c r="A764" s="84">
        <v>2026</v>
      </c>
      <c r="B764" s="84" t="s">
        <v>393</v>
      </c>
      <c r="C764" s="84">
        <v>26</v>
      </c>
      <c r="D764" s="84">
        <v>13</v>
      </c>
      <c r="E764" s="85">
        <v>12227.32</v>
      </c>
      <c r="F764" s="85">
        <v>4948.16</v>
      </c>
      <c r="G764" s="85">
        <v>-7279.16</v>
      </c>
    </row>
    <row r="765" spans="1:7" x14ac:dyDescent="0.3">
      <c r="A765" s="84">
        <v>2026</v>
      </c>
      <c r="B765" s="84" t="s">
        <v>393</v>
      </c>
      <c r="C765" s="84">
        <v>26</v>
      </c>
      <c r="D765" s="84">
        <v>14</v>
      </c>
      <c r="E765" s="85">
        <v>12227.32</v>
      </c>
      <c r="F765" s="85">
        <v>5341.98</v>
      </c>
      <c r="G765" s="85">
        <v>-6885.34</v>
      </c>
    </row>
    <row r="766" spans="1:7" x14ac:dyDescent="0.3">
      <c r="A766" s="84">
        <v>2026</v>
      </c>
      <c r="B766" s="84" t="s">
        <v>393</v>
      </c>
      <c r="C766" s="84">
        <v>26</v>
      </c>
      <c r="D766" s="84">
        <v>15</v>
      </c>
      <c r="E766" s="85">
        <v>12227.32</v>
      </c>
      <c r="F766" s="85">
        <v>5734.26</v>
      </c>
      <c r="G766" s="85">
        <v>-6493.06</v>
      </c>
    </row>
    <row r="767" spans="1:7" x14ac:dyDescent="0.3">
      <c r="A767" s="84">
        <v>2026</v>
      </c>
      <c r="B767" s="84" t="s">
        <v>393</v>
      </c>
      <c r="C767" s="84">
        <v>26</v>
      </c>
      <c r="D767" s="84">
        <v>16</v>
      </c>
      <c r="E767" s="85">
        <v>12227.32</v>
      </c>
      <c r="F767" s="85">
        <v>6128.22</v>
      </c>
      <c r="G767" s="85">
        <v>-6099.1</v>
      </c>
    </row>
    <row r="768" spans="1:7" x14ac:dyDescent="0.3">
      <c r="A768" s="84">
        <v>2026</v>
      </c>
      <c r="B768" s="84" t="s">
        <v>393</v>
      </c>
      <c r="C768" s="84">
        <v>26</v>
      </c>
      <c r="D768" s="84">
        <v>17</v>
      </c>
      <c r="E768" s="85">
        <v>12227.32</v>
      </c>
      <c r="F768" s="85">
        <v>6520.5</v>
      </c>
      <c r="G768" s="85">
        <v>-5706.82</v>
      </c>
    </row>
    <row r="769" spans="1:7" x14ac:dyDescent="0.3">
      <c r="A769" s="84">
        <v>2026</v>
      </c>
      <c r="B769" s="84" t="s">
        <v>393</v>
      </c>
      <c r="C769" s="84">
        <v>26</v>
      </c>
      <c r="D769" s="84">
        <v>18</v>
      </c>
      <c r="E769" s="85">
        <v>12227.32</v>
      </c>
      <c r="F769" s="85">
        <v>6914.04</v>
      </c>
      <c r="G769" s="85">
        <v>-5313.28</v>
      </c>
    </row>
    <row r="770" spans="1:7" x14ac:dyDescent="0.3">
      <c r="A770" s="84">
        <v>2026</v>
      </c>
      <c r="B770" s="84" t="s">
        <v>393</v>
      </c>
      <c r="C770" s="84">
        <v>26</v>
      </c>
      <c r="D770" s="84">
        <v>19</v>
      </c>
      <c r="E770" s="85">
        <v>12227.32</v>
      </c>
      <c r="F770" s="85">
        <v>7307.16</v>
      </c>
      <c r="G770" s="85">
        <v>-4920.16</v>
      </c>
    </row>
    <row r="771" spans="1:7" x14ac:dyDescent="0.3">
      <c r="A771" s="84">
        <v>2026</v>
      </c>
      <c r="B771" s="84" t="s">
        <v>393</v>
      </c>
      <c r="C771" s="84">
        <v>26</v>
      </c>
      <c r="D771" s="84">
        <v>20</v>
      </c>
      <c r="E771" s="85">
        <v>12227.32</v>
      </c>
      <c r="F771" s="85">
        <v>7700.14</v>
      </c>
      <c r="G771" s="85">
        <v>-4527.18</v>
      </c>
    </row>
    <row r="772" spans="1:7" x14ac:dyDescent="0.3">
      <c r="A772" s="84">
        <v>2026</v>
      </c>
      <c r="B772" s="84" t="s">
        <v>393</v>
      </c>
      <c r="C772" s="84">
        <v>26</v>
      </c>
      <c r="D772" s="84">
        <v>21</v>
      </c>
      <c r="E772" s="85">
        <v>12227.32</v>
      </c>
      <c r="F772" s="85">
        <v>8289.5400000000009</v>
      </c>
      <c r="G772" s="85">
        <v>-3937.78</v>
      </c>
    </row>
    <row r="773" spans="1:7" x14ac:dyDescent="0.3">
      <c r="A773" s="84">
        <v>2026</v>
      </c>
      <c r="B773" s="84" t="s">
        <v>393</v>
      </c>
      <c r="C773" s="84">
        <v>26</v>
      </c>
      <c r="D773" s="84">
        <v>22</v>
      </c>
      <c r="E773" s="85">
        <v>12227.32</v>
      </c>
      <c r="F773" s="85">
        <v>8928.2199999999993</v>
      </c>
      <c r="G773" s="85">
        <v>-3299.1</v>
      </c>
    </row>
    <row r="774" spans="1:7" x14ac:dyDescent="0.3">
      <c r="A774" s="84">
        <v>2026</v>
      </c>
      <c r="B774" s="84" t="s">
        <v>393</v>
      </c>
      <c r="C774" s="84">
        <v>26</v>
      </c>
      <c r="D774" s="84">
        <v>23</v>
      </c>
      <c r="E774" s="85">
        <v>12227.32</v>
      </c>
      <c r="F774" s="85">
        <v>9568.7199999999993</v>
      </c>
      <c r="G774" s="85">
        <v>-2658.6</v>
      </c>
    </row>
    <row r="775" spans="1:7" x14ac:dyDescent="0.3">
      <c r="A775" s="84">
        <v>2026</v>
      </c>
      <c r="B775" s="84" t="s">
        <v>393</v>
      </c>
      <c r="C775" s="84">
        <v>26</v>
      </c>
      <c r="D775" s="84">
        <v>24</v>
      </c>
      <c r="E775" s="85">
        <v>12227.32</v>
      </c>
      <c r="F775" s="85">
        <v>10207.959999999999</v>
      </c>
      <c r="G775" s="85">
        <v>-2019.36</v>
      </c>
    </row>
    <row r="776" spans="1:7" x14ac:dyDescent="0.3">
      <c r="A776" s="84">
        <v>2026</v>
      </c>
      <c r="B776" s="84" t="s">
        <v>393</v>
      </c>
      <c r="C776" s="84">
        <v>26</v>
      </c>
      <c r="D776" s="84">
        <v>25</v>
      </c>
      <c r="E776" s="85">
        <v>12227.32</v>
      </c>
      <c r="F776" s="85">
        <v>10848.04</v>
      </c>
      <c r="G776" s="85">
        <v>-1379.28</v>
      </c>
    </row>
    <row r="777" spans="1:7" x14ac:dyDescent="0.3">
      <c r="A777" s="84">
        <v>2026</v>
      </c>
      <c r="B777" s="84" t="s">
        <v>393</v>
      </c>
      <c r="C777" s="84">
        <v>26</v>
      </c>
      <c r="D777" s="84">
        <v>26</v>
      </c>
      <c r="E777" s="85">
        <v>12227.32</v>
      </c>
      <c r="F777" s="85">
        <v>12227.32</v>
      </c>
      <c r="G777" s="85">
        <v>0</v>
      </c>
    </row>
    <row r="778" spans="1:7" x14ac:dyDescent="0.3">
      <c r="A778" s="84">
        <v>2026</v>
      </c>
      <c r="B778" s="84" t="s">
        <v>393</v>
      </c>
      <c r="C778" s="84">
        <v>26</v>
      </c>
      <c r="D778" s="84">
        <v>27</v>
      </c>
      <c r="E778" s="85">
        <v>12227.32</v>
      </c>
      <c r="F778" s="85">
        <v>13936.58</v>
      </c>
      <c r="G778" s="85">
        <v>1709.26</v>
      </c>
    </row>
    <row r="779" spans="1:7" x14ac:dyDescent="0.3">
      <c r="A779" s="84">
        <v>2026</v>
      </c>
      <c r="B779" s="84" t="s">
        <v>393</v>
      </c>
      <c r="C779" s="84">
        <v>26</v>
      </c>
      <c r="D779" s="84">
        <v>28</v>
      </c>
      <c r="E779" s="85">
        <v>12227.32</v>
      </c>
      <c r="F779" s="85">
        <v>14577.08</v>
      </c>
      <c r="G779" s="85">
        <v>2349.7600000000002</v>
      </c>
    </row>
    <row r="780" spans="1:7" x14ac:dyDescent="0.3">
      <c r="A780" s="84">
        <v>2026</v>
      </c>
      <c r="B780" s="84" t="s">
        <v>393</v>
      </c>
      <c r="C780" s="84">
        <v>26</v>
      </c>
      <c r="D780" s="84">
        <v>29</v>
      </c>
      <c r="E780" s="85">
        <v>12227.32</v>
      </c>
      <c r="F780" s="85">
        <v>15216.46</v>
      </c>
      <c r="G780" s="85">
        <v>2989.14</v>
      </c>
    </row>
    <row r="781" spans="1:7" x14ac:dyDescent="0.3">
      <c r="A781" s="84">
        <v>2026</v>
      </c>
      <c r="B781" s="84" t="s">
        <v>393</v>
      </c>
      <c r="C781" s="84">
        <v>26</v>
      </c>
      <c r="D781" s="84">
        <v>30</v>
      </c>
      <c r="E781" s="85">
        <v>12227.32</v>
      </c>
      <c r="F781" s="85">
        <v>16964.78</v>
      </c>
      <c r="G781" s="85">
        <v>4737.46</v>
      </c>
    </row>
    <row r="782" spans="1:7" x14ac:dyDescent="0.3">
      <c r="A782" s="84">
        <v>2026</v>
      </c>
      <c r="B782" s="84" t="s">
        <v>393</v>
      </c>
      <c r="C782" s="84">
        <v>27</v>
      </c>
      <c r="D782" s="84">
        <v>1</v>
      </c>
      <c r="E782" s="85">
        <v>13936.58</v>
      </c>
      <c r="F782" s="85">
        <v>1607.34</v>
      </c>
      <c r="G782" s="85">
        <v>-12329.24</v>
      </c>
    </row>
    <row r="783" spans="1:7" x14ac:dyDescent="0.3">
      <c r="A783" s="84">
        <v>2026</v>
      </c>
      <c r="B783" s="84" t="s">
        <v>393</v>
      </c>
      <c r="C783" s="84">
        <v>27</v>
      </c>
      <c r="D783" s="84">
        <v>2</v>
      </c>
      <c r="E783" s="85">
        <v>13936.58</v>
      </c>
      <c r="F783" s="85">
        <v>1901.76</v>
      </c>
      <c r="G783" s="85">
        <v>-12034.82</v>
      </c>
    </row>
    <row r="784" spans="1:7" x14ac:dyDescent="0.3">
      <c r="A784" s="84">
        <v>2026</v>
      </c>
      <c r="B784" s="84" t="s">
        <v>393</v>
      </c>
      <c r="C784" s="84">
        <v>27</v>
      </c>
      <c r="D784" s="84">
        <v>3</v>
      </c>
      <c r="E784" s="85">
        <v>13936.58</v>
      </c>
      <c r="F784" s="85">
        <v>2196.7399999999998</v>
      </c>
      <c r="G784" s="85">
        <v>-11739.84</v>
      </c>
    </row>
    <row r="785" spans="1:7" x14ac:dyDescent="0.3">
      <c r="A785" s="84">
        <v>2026</v>
      </c>
      <c r="B785" s="84" t="s">
        <v>393</v>
      </c>
      <c r="C785" s="84">
        <v>27</v>
      </c>
      <c r="D785" s="84">
        <v>4</v>
      </c>
      <c r="E785" s="85">
        <v>13936.58</v>
      </c>
      <c r="F785" s="85">
        <v>2490.88</v>
      </c>
      <c r="G785" s="85">
        <v>-11445.7</v>
      </c>
    </row>
    <row r="786" spans="1:7" x14ac:dyDescent="0.3">
      <c r="A786" s="84">
        <v>2026</v>
      </c>
      <c r="B786" s="84" t="s">
        <v>393</v>
      </c>
      <c r="C786" s="84">
        <v>27</v>
      </c>
      <c r="D786" s="84">
        <v>5</v>
      </c>
      <c r="E786" s="85">
        <v>13936.58</v>
      </c>
      <c r="F786" s="85">
        <v>2785.58</v>
      </c>
      <c r="G786" s="85">
        <v>-11151</v>
      </c>
    </row>
    <row r="787" spans="1:7" x14ac:dyDescent="0.3">
      <c r="A787" s="84">
        <v>2026</v>
      </c>
      <c r="B787" s="84" t="s">
        <v>393</v>
      </c>
      <c r="C787" s="84">
        <v>27</v>
      </c>
      <c r="D787" s="84">
        <v>6</v>
      </c>
      <c r="E787" s="85">
        <v>13936.58</v>
      </c>
      <c r="F787" s="85">
        <v>2982.28</v>
      </c>
      <c r="G787" s="85">
        <v>-10954.3</v>
      </c>
    </row>
    <row r="788" spans="1:7" x14ac:dyDescent="0.3">
      <c r="A788" s="84">
        <v>2026</v>
      </c>
      <c r="B788" s="84" t="s">
        <v>393</v>
      </c>
      <c r="C788" s="84">
        <v>27</v>
      </c>
      <c r="D788" s="84">
        <v>7</v>
      </c>
      <c r="E788" s="85">
        <v>13936.58</v>
      </c>
      <c r="F788" s="85">
        <v>3178.98</v>
      </c>
      <c r="G788" s="85">
        <v>-10757.6</v>
      </c>
    </row>
    <row r="789" spans="1:7" x14ac:dyDescent="0.3">
      <c r="A789" s="84">
        <v>2026</v>
      </c>
      <c r="B789" s="84" t="s">
        <v>393</v>
      </c>
      <c r="C789" s="84">
        <v>27</v>
      </c>
      <c r="D789" s="84">
        <v>8</v>
      </c>
      <c r="E789" s="85">
        <v>13936.58</v>
      </c>
      <c r="F789" s="85">
        <v>3375.26</v>
      </c>
      <c r="G789" s="85">
        <v>-10561.32</v>
      </c>
    </row>
    <row r="790" spans="1:7" x14ac:dyDescent="0.3">
      <c r="A790" s="84">
        <v>2026</v>
      </c>
      <c r="B790" s="84" t="s">
        <v>393</v>
      </c>
      <c r="C790" s="84">
        <v>27</v>
      </c>
      <c r="D790" s="84">
        <v>9</v>
      </c>
      <c r="E790" s="85">
        <v>13936.58</v>
      </c>
      <c r="F790" s="85">
        <v>3572.38</v>
      </c>
      <c r="G790" s="85">
        <v>-10364.200000000001</v>
      </c>
    </row>
    <row r="791" spans="1:7" x14ac:dyDescent="0.3">
      <c r="A791" s="84">
        <v>2026</v>
      </c>
      <c r="B791" s="84" t="s">
        <v>393</v>
      </c>
      <c r="C791" s="84">
        <v>27</v>
      </c>
      <c r="D791" s="84">
        <v>10</v>
      </c>
      <c r="E791" s="85">
        <v>13936.58</v>
      </c>
      <c r="F791" s="85">
        <v>3768.8</v>
      </c>
      <c r="G791" s="85">
        <v>-10167.780000000001</v>
      </c>
    </row>
    <row r="792" spans="1:7" x14ac:dyDescent="0.3">
      <c r="A792" s="84">
        <v>2026</v>
      </c>
      <c r="B792" s="84" t="s">
        <v>393</v>
      </c>
      <c r="C792" s="84">
        <v>27</v>
      </c>
      <c r="D792" s="84">
        <v>11</v>
      </c>
      <c r="E792" s="85">
        <v>13936.58</v>
      </c>
      <c r="F792" s="85">
        <v>4161.3599999999997</v>
      </c>
      <c r="G792" s="85">
        <v>-9775.2199999999993</v>
      </c>
    </row>
    <row r="793" spans="1:7" x14ac:dyDescent="0.3">
      <c r="A793" s="84">
        <v>2026</v>
      </c>
      <c r="B793" s="84" t="s">
        <v>393</v>
      </c>
      <c r="C793" s="84">
        <v>27</v>
      </c>
      <c r="D793" s="84">
        <v>12</v>
      </c>
      <c r="E793" s="85">
        <v>13936.58</v>
      </c>
      <c r="F793" s="85">
        <v>4554.8999999999996</v>
      </c>
      <c r="G793" s="85">
        <v>-9381.68</v>
      </c>
    </row>
    <row r="794" spans="1:7" x14ac:dyDescent="0.3">
      <c r="A794" s="84">
        <v>2026</v>
      </c>
      <c r="B794" s="84" t="s">
        <v>393</v>
      </c>
      <c r="C794" s="84">
        <v>27</v>
      </c>
      <c r="D794" s="84">
        <v>13</v>
      </c>
      <c r="E794" s="85">
        <v>13936.58</v>
      </c>
      <c r="F794" s="85">
        <v>4948.16</v>
      </c>
      <c r="G794" s="85">
        <v>-8988.42</v>
      </c>
    </row>
    <row r="795" spans="1:7" x14ac:dyDescent="0.3">
      <c r="A795" s="84">
        <v>2026</v>
      </c>
      <c r="B795" s="84" t="s">
        <v>393</v>
      </c>
      <c r="C795" s="84">
        <v>27</v>
      </c>
      <c r="D795" s="84">
        <v>14</v>
      </c>
      <c r="E795" s="85">
        <v>13936.58</v>
      </c>
      <c r="F795" s="85">
        <v>5341.98</v>
      </c>
      <c r="G795" s="85">
        <v>-8594.6</v>
      </c>
    </row>
    <row r="796" spans="1:7" x14ac:dyDescent="0.3">
      <c r="A796" s="84">
        <v>2026</v>
      </c>
      <c r="B796" s="84" t="s">
        <v>393</v>
      </c>
      <c r="C796" s="84">
        <v>27</v>
      </c>
      <c r="D796" s="84">
        <v>15</v>
      </c>
      <c r="E796" s="85">
        <v>13936.58</v>
      </c>
      <c r="F796" s="85">
        <v>5734.26</v>
      </c>
      <c r="G796" s="85">
        <v>-8202.32</v>
      </c>
    </row>
    <row r="797" spans="1:7" x14ac:dyDescent="0.3">
      <c r="A797" s="84">
        <v>2026</v>
      </c>
      <c r="B797" s="84" t="s">
        <v>393</v>
      </c>
      <c r="C797" s="84">
        <v>27</v>
      </c>
      <c r="D797" s="84">
        <v>16</v>
      </c>
      <c r="E797" s="85">
        <v>13936.58</v>
      </c>
      <c r="F797" s="85">
        <v>6128.22</v>
      </c>
      <c r="G797" s="85">
        <v>-7808.36</v>
      </c>
    </row>
    <row r="798" spans="1:7" x14ac:dyDescent="0.3">
      <c r="A798" s="84">
        <v>2026</v>
      </c>
      <c r="B798" s="84" t="s">
        <v>393</v>
      </c>
      <c r="C798" s="84">
        <v>27</v>
      </c>
      <c r="D798" s="84">
        <v>17</v>
      </c>
      <c r="E798" s="85">
        <v>13936.58</v>
      </c>
      <c r="F798" s="85">
        <v>6520.5</v>
      </c>
      <c r="G798" s="85">
        <v>-7416.08</v>
      </c>
    </row>
    <row r="799" spans="1:7" x14ac:dyDescent="0.3">
      <c r="A799" s="84">
        <v>2026</v>
      </c>
      <c r="B799" s="84" t="s">
        <v>393</v>
      </c>
      <c r="C799" s="84">
        <v>27</v>
      </c>
      <c r="D799" s="84">
        <v>18</v>
      </c>
      <c r="E799" s="85">
        <v>13936.58</v>
      </c>
      <c r="F799" s="85">
        <v>6914.04</v>
      </c>
      <c r="G799" s="85">
        <v>-7022.54</v>
      </c>
    </row>
    <row r="800" spans="1:7" x14ac:dyDescent="0.3">
      <c r="A800" s="84">
        <v>2026</v>
      </c>
      <c r="B800" s="84" t="s">
        <v>393</v>
      </c>
      <c r="C800" s="84">
        <v>27</v>
      </c>
      <c r="D800" s="84">
        <v>19</v>
      </c>
      <c r="E800" s="85">
        <v>13936.58</v>
      </c>
      <c r="F800" s="85">
        <v>7307.16</v>
      </c>
      <c r="G800" s="85">
        <v>-6629.42</v>
      </c>
    </row>
    <row r="801" spans="1:7" x14ac:dyDescent="0.3">
      <c r="A801" s="84">
        <v>2026</v>
      </c>
      <c r="B801" s="84" t="s">
        <v>393</v>
      </c>
      <c r="C801" s="84">
        <v>27</v>
      </c>
      <c r="D801" s="84">
        <v>20</v>
      </c>
      <c r="E801" s="85">
        <v>13936.58</v>
      </c>
      <c r="F801" s="85">
        <v>7700.14</v>
      </c>
      <c r="G801" s="85">
        <v>-6236.44</v>
      </c>
    </row>
    <row r="802" spans="1:7" x14ac:dyDescent="0.3">
      <c r="A802" s="84">
        <v>2026</v>
      </c>
      <c r="B802" s="84" t="s">
        <v>393</v>
      </c>
      <c r="C802" s="84">
        <v>27</v>
      </c>
      <c r="D802" s="84">
        <v>21</v>
      </c>
      <c r="E802" s="85">
        <v>13936.58</v>
      </c>
      <c r="F802" s="85">
        <v>8289.5400000000009</v>
      </c>
      <c r="G802" s="85">
        <v>-5647.04</v>
      </c>
    </row>
    <row r="803" spans="1:7" x14ac:dyDescent="0.3">
      <c r="A803" s="84">
        <v>2026</v>
      </c>
      <c r="B803" s="84" t="s">
        <v>393</v>
      </c>
      <c r="C803" s="84">
        <v>27</v>
      </c>
      <c r="D803" s="84">
        <v>22</v>
      </c>
      <c r="E803" s="85">
        <v>13936.58</v>
      </c>
      <c r="F803" s="85">
        <v>8928.2199999999993</v>
      </c>
      <c r="G803" s="85">
        <v>-5008.3599999999997</v>
      </c>
    </row>
    <row r="804" spans="1:7" x14ac:dyDescent="0.3">
      <c r="A804" s="84">
        <v>2026</v>
      </c>
      <c r="B804" s="84" t="s">
        <v>393</v>
      </c>
      <c r="C804" s="84">
        <v>27</v>
      </c>
      <c r="D804" s="84">
        <v>23</v>
      </c>
      <c r="E804" s="85">
        <v>13936.58</v>
      </c>
      <c r="F804" s="85">
        <v>9568.7199999999993</v>
      </c>
      <c r="G804" s="85">
        <v>-4367.8599999999997</v>
      </c>
    </row>
    <row r="805" spans="1:7" x14ac:dyDescent="0.3">
      <c r="A805" s="84">
        <v>2026</v>
      </c>
      <c r="B805" s="84" t="s">
        <v>393</v>
      </c>
      <c r="C805" s="84">
        <v>27</v>
      </c>
      <c r="D805" s="84">
        <v>24</v>
      </c>
      <c r="E805" s="85">
        <v>13936.58</v>
      </c>
      <c r="F805" s="85">
        <v>10207.959999999999</v>
      </c>
      <c r="G805" s="85">
        <v>-3728.62</v>
      </c>
    </row>
    <row r="806" spans="1:7" x14ac:dyDescent="0.3">
      <c r="A806" s="84">
        <v>2026</v>
      </c>
      <c r="B806" s="84" t="s">
        <v>393</v>
      </c>
      <c r="C806" s="84">
        <v>27</v>
      </c>
      <c r="D806" s="84">
        <v>25</v>
      </c>
      <c r="E806" s="85">
        <v>13936.58</v>
      </c>
      <c r="F806" s="85">
        <v>10848.04</v>
      </c>
      <c r="G806" s="85">
        <v>-3088.54</v>
      </c>
    </row>
    <row r="807" spans="1:7" x14ac:dyDescent="0.3">
      <c r="A807" s="84">
        <v>2026</v>
      </c>
      <c r="B807" s="84" t="s">
        <v>393</v>
      </c>
      <c r="C807" s="84">
        <v>27</v>
      </c>
      <c r="D807" s="84">
        <v>26</v>
      </c>
      <c r="E807" s="85">
        <v>13936.58</v>
      </c>
      <c r="F807" s="85">
        <v>12227.32</v>
      </c>
      <c r="G807" s="85">
        <v>-1709.26</v>
      </c>
    </row>
    <row r="808" spans="1:7" x14ac:dyDescent="0.3">
      <c r="A808" s="84">
        <v>2026</v>
      </c>
      <c r="B808" s="84" t="s">
        <v>393</v>
      </c>
      <c r="C808" s="84">
        <v>27</v>
      </c>
      <c r="D808" s="84">
        <v>27</v>
      </c>
      <c r="E808" s="85">
        <v>13936.58</v>
      </c>
      <c r="F808" s="85">
        <v>13936.58</v>
      </c>
      <c r="G808" s="85">
        <v>0</v>
      </c>
    </row>
    <row r="809" spans="1:7" x14ac:dyDescent="0.3">
      <c r="A809" s="84">
        <v>2026</v>
      </c>
      <c r="B809" s="84" t="s">
        <v>393</v>
      </c>
      <c r="C809" s="84">
        <v>27</v>
      </c>
      <c r="D809" s="84">
        <v>28</v>
      </c>
      <c r="E809" s="85">
        <v>13936.58</v>
      </c>
      <c r="F809" s="85">
        <v>14577.08</v>
      </c>
      <c r="G809" s="85">
        <v>640.5</v>
      </c>
    </row>
    <row r="810" spans="1:7" x14ac:dyDescent="0.3">
      <c r="A810" s="84">
        <v>2026</v>
      </c>
      <c r="B810" s="84" t="s">
        <v>393</v>
      </c>
      <c r="C810" s="84">
        <v>27</v>
      </c>
      <c r="D810" s="84">
        <v>29</v>
      </c>
      <c r="E810" s="85">
        <v>13936.58</v>
      </c>
      <c r="F810" s="85">
        <v>15216.46</v>
      </c>
      <c r="G810" s="85">
        <v>1279.8800000000001</v>
      </c>
    </row>
    <row r="811" spans="1:7" x14ac:dyDescent="0.3">
      <c r="A811" s="84">
        <v>2026</v>
      </c>
      <c r="B811" s="84" t="s">
        <v>393</v>
      </c>
      <c r="C811" s="84">
        <v>27</v>
      </c>
      <c r="D811" s="84">
        <v>30</v>
      </c>
      <c r="E811" s="85">
        <v>13936.58</v>
      </c>
      <c r="F811" s="85">
        <v>16964.78</v>
      </c>
      <c r="G811" s="85">
        <v>3028.2</v>
      </c>
    </row>
    <row r="812" spans="1:7" x14ac:dyDescent="0.3">
      <c r="A812" s="84">
        <v>2026</v>
      </c>
      <c r="B812" s="84" t="s">
        <v>393</v>
      </c>
      <c r="C812" s="84">
        <v>28</v>
      </c>
      <c r="D812" s="84">
        <v>1</v>
      </c>
      <c r="E812" s="85">
        <v>14577.08</v>
      </c>
      <c r="F812" s="85">
        <v>1607.34</v>
      </c>
      <c r="G812" s="85">
        <v>-12969.74</v>
      </c>
    </row>
    <row r="813" spans="1:7" x14ac:dyDescent="0.3">
      <c r="A813" s="84">
        <v>2026</v>
      </c>
      <c r="B813" s="84" t="s">
        <v>393</v>
      </c>
      <c r="C813" s="84">
        <v>28</v>
      </c>
      <c r="D813" s="84">
        <v>2</v>
      </c>
      <c r="E813" s="85">
        <v>14577.08</v>
      </c>
      <c r="F813" s="85">
        <v>1901.76</v>
      </c>
      <c r="G813" s="85">
        <v>-12675.32</v>
      </c>
    </row>
    <row r="814" spans="1:7" x14ac:dyDescent="0.3">
      <c r="A814" s="84">
        <v>2026</v>
      </c>
      <c r="B814" s="84" t="s">
        <v>393</v>
      </c>
      <c r="C814" s="84">
        <v>28</v>
      </c>
      <c r="D814" s="84">
        <v>3</v>
      </c>
      <c r="E814" s="85">
        <v>14577.08</v>
      </c>
      <c r="F814" s="85">
        <v>2196.7399999999998</v>
      </c>
      <c r="G814" s="85">
        <v>-12380.34</v>
      </c>
    </row>
    <row r="815" spans="1:7" x14ac:dyDescent="0.3">
      <c r="A815" s="84">
        <v>2026</v>
      </c>
      <c r="B815" s="84" t="s">
        <v>393</v>
      </c>
      <c r="C815" s="84">
        <v>28</v>
      </c>
      <c r="D815" s="84">
        <v>4</v>
      </c>
      <c r="E815" s="85">
        <v>14577.08</v>
      </c>
      <c r="F815" s="85">
        <v>2490.88</v>
      </c>
      <c r="G815" s="85">
        <v>-12086.2</v>
      </c>
    </row>
    <row r="816" spans="1:7" x14ac:dyDescent="0.3">
      <c r="A816" s="84">
        <v>2026</v>
      </c>
      <c r="B816" s="84" t="s">
        <v>393</v>
      </c>
      <c r="C816" s="84">
        <v>28</v>
      </c>
      <c r="D816" s="84">
        <v>5</v>
      </c>
      <c r="E816" s="85">
        <v>14577.08</v>
      </c>
      <c r="F816" s="85">
        <v>2785.58</v>
      </c>
      <c r="G816" s="85">
        <v>-11791.5</v>
      </c>
    </row>
    <row r="817" spans="1:7" x14ac:dyDescent="0.3">
      <c r="A817" s="84">
        <v>2026</v>
      </c>
      <c r="B817" s="84" t="s">
        <v>393</v>
      </c>
      <c r="C817" s="84">
        <v>28</v>
      </c>
      <c r="D817" s="84">
        <v>6</v>
      </c>
      <c r="E817" s="85">
        <v>14577.08</v>
      </c>
      <c r="F817" s="85">
        <v>2982.28</v>
      </c>
      <c r="G817" s="85">
        <v>-11594.8</v>
      </c>
    </row>
    <row r="818" spans="1:7" x14ac:dyDescent="0.3">
      <c r="A818" s="84">
        <v>2026</v>
      </c>
      <c r="B818" s="84" t="s">
        <v>393</v>
      </c>
      <c r="C818" s="84">
        <v>28</v>
      </c>
      <c r="D818" s="84">
        <v>7</v>
      </c>
      <c r="E818" s="85">
        <v>14577.08</v>
      </c>
      <c r="F818" s="85">
        <v>3178.98</v>
      </c>
      <c r="G818" s="85">
        <v>-11398.1</v>
      </c>
    </row>
    <row r="819" spans="1:7" x14ac:dyDescent="0.3">
      <c r="A819" s="84">
        <v>2026</v>
      </c>
      <c r="B819" s="84" t="s">
        <v>393</v>
      </c>
      <c r="C819" s="84">
        <v>28</v>
      </c>
      <c r="D819" s="84">
        <v>8</v>
      </c>
      <c r="E819" s="85">
        <v>14577.08</v>
      </c>
      <c r="F819" s="85">
        <v>3375.26</v>
      </c>
      <c r="G819" s="85">
        <v>-11201.82</v>
      </c>
    </row>
    <row r="820" spans="1:7" x14ac:dyDescent="0.3">
      <c r="A820" s="84">
        <v>2026</v>
      </c>
      <c r="B820" s="84" t="s">
        <v>393</v>
      </c>
      <c r="C820" s="84">
        <v>28</v>
      </c>
      <c r="D820" s="84">
        <v>9</v>
      </c>
      <c r="E820" s="85">
        <v>14577.08</v>
      </c>
      <c r="F820" s="85">
        <v>3572.38</v>
      </c>
      <c r="G820" s="85">
        <v>-11004.7</v>
      </c>
    </row>
    <row r="821" spans="1:7" x14ac:dyDescent="0.3">
      <c r="A821" s="84">
        <v>2026</v>
      </c>
      <c r="B821" s="84" t="s">
        <v>393</v>
      </c>
      <c r="C821" s="84">
        <v>28</v>
      </c>
      <c r="D821" s="84">
        <v>10</v>
      </c>
      <c r="E821" s="85">
        <v>14577.08</v>
      </c>
      <c r="F821" s="85">
        <v>3768.8</v>
      </c>
      <c r="G821" s="85">
        <v>-10808.28</v>
      </c>
    </row>
    <row r="822" spans="1:7" x14ac:dyDescent="0.3">
      <c r="A822" s="84">
        <v>2026</v>
      </c>
      <c r="B822" s="84" t="s">
        <v>393</v>
      </c>
      <c r="C822" s="84">
        <v>28</v>
      </c>
      <c r="D822" s="84">
        <v>11</v>
      </c>
      <c r="E822" s="85">
        <v>14577.08</v>
      </c>
      <c r="F822" s="85">
        <v>4161.3599999999997</v>
      </c>
      <c r="G822" s="85">
        <v>-10415.719999999999</v>
      </c>
    </row>
    <row r="823" spans="1:7" x14ac:dyDescent="0.3">
      <c r="A823" s="84">
        <v>2026</v>
      </c>
      <c r="B823" s="84" t="s">
        <v>393</v>
      </c>
      <c r="C823" s="84">
        <v>28</v>
      </c>
      <c r="D823" s="84">
        <v>12</v>
      </c>
      <c r="E823" s="85">
        <v>14577.08</v>
      </c>
      <c r="F823" s="85">
        <v>4554.8999999999996</v>
      </c>
      <c r="G823" s="85">
        <v>-10022.18</v>
      </c>
    </row>
    <row r="824" spans="1:7" x14ac:dyDescent="0.3">
      <c r="A824" s="84">
        <v>2026</v>
      </c>
      <c r="B824" s="84" t="s">
        <v>393</v>
      </c>
      <c r="C824" s="84">
        <v>28</v>
      </c>
      <c r="D824" s="84">
        <v>13</v>
      </c>
      <c r="E824" s="85">
        <v>14577.08</v>
      </c>
      <c r="F824" s="85">
        <v>4948.16</v>
      </c>
      <c r="G824" s="85">
        <v>-9628.92</v>
      </c>
    </row>
    <row r="825" spans="1:7" x14ac:dyDescent="0.3">
      <c r="A825" s="84">
        <v>2026</v>
      </c>
      <c r="B825" s="84" t="s">
        <v>393</v>
      </c>
      <c r="C825" s="84">
        <v>28</v>
      </c>
      <c r="D825" s="84">
        <v>14</v>
      </c>
      <c r="E825" s="85">
        <v>14577.08</v>
      </c>
      <c r="F825" s="85">
        <v>5341.98</v>
      </c>
      <c r="G825" s="85">
        <v>-9235.1</v>
      </c>
    </row>
    <row r="826" spans="1:7" x14ac:dyDescent="0.3">
      <c r="A826" s="84">
        <v>2026</v>
      </c>
      <c r="B826" s="84" t="s">
        <v>393</v>
      </c>
      <c r="C826" s="84">
        <v>28</v>
      </c>
      <c r="D826" s="84">
        <v>15</v>
      </c>
      <c r="E826" s="85">
        <v>14577.08</v>
      </c>
      <c r="F826" s="85">
        <v>5734.26</v>
      </c>
      <c r="G826" s="85">
        <v>-8842.82</v>
      </c>
    </row>
    <row r="827" spans="1:7" x14ac:dyDescent="0.3">
      <c r="A827" s="84">
        <v>2026</v>
      </c>
      <c r="B827" s="84" t="s">
        <v>393</v>
      </c>
      <c r="C827" s="84">
        <v>28</v>
      </c>
      <c r="D827" s="84">
        <v>16</v>
      </c>
      <c r="E827" s="85">
        <v>14577.08</v>
      </c>
      <c r="F827" s="85">
        <v>6128.22</v>
      </c>
      <c r="G827" s="85">
        <v>-8448.86</v>
      </c>
    </row>
    <row r="828" spans="1:7" x14ac:dyDescent="0.3">
      <c r="A828" s="84">
        <v>2026</v>
      </c>
      <c r="B828" s="84" t="s">
        <v>393</v>
      </c>
      <c r="C828" s="84">
        <v>28</v>
      </c>
      <c r="D828" s="84">
        <v>17</v>
      </c>
      <c r="E828" s="85">
        <v>14577.08</v>
      </c>
      <c r="F828" s="85">
        <v>6520.5</v>
      </c>
      <c r="G828" s="85">
        <v>-8056.58</v>
      </c>
    </row>
    <row r="829" spans="1:7" x14ac:dyDescent="0.3">
      <c r="A829" s="84">
        <v>2026</v>
      </c>
      <c r="B829" s="84" t="s">
        <v>393</v>
      </c>
      <c r="C829" s="84">
        <v>28</v>
      </c>
      <c r="D829" s="84">
        <v>18</v>
      </c>
      <c r="E829" s="85">
        <v>14577.08</v>
      </c>
      <c r="F829" s="85">
        <v>6914.04</v>
      </c>
      <c r="G829" s="85">
        <v>-7663.04</v>
      </c>
    </row>
    <row r="830" spans="1:7" x14ac:dyDescent="0.3">
      <c r="A830" s="84">
        <v>2026</v>
      </c>
      <c r="B830" s="84" t="s">
        <v>393</v>
      </c>
      <c r="C830" s="84">
        <v>28</v>
      </c>
      <c r="D830" s="84">
        <v>19</v>
      </c>
      <c r="E830" s="85">
        <v>14577.08</v>
      </c>
      <c r="F830" s="85">
        <v>7307.16</v>
      </c>
      <c r="G830" s="85">
        <v>-7269.92</v>
      </c>
    </row>
    <row r="831" spans="1:7" x14ac:dyDescent="0.3">
      <c r="A831" s="84">
        <v>2026</v>
      </c>
      <c r="B831" s="84" t="s">
        <v>393</v>
      </c>
      <c r="C831" s="84">
        <v>28</v>
      </c>
      <c r="D831" s="84">
        <v>20</v>
      </c>
      <c r="E831" s="85">
        <v>14577.08</v>
      </c>
      <c r="F831" s="85">
        <v>7700.14</v>
      </c>
      <c r="G831" s="85">
        <v>-6876.94</v>
      </c>
    </row>
    <row r="832" spans="1:7" x14ac:dyDescent="0.3">
      <c r="A832" s="84">
        <v>2026</v>
      </c>
      <c r="B832" s="84" t="s">
        <v>393</v>
      </c>
      <c r="C832" s="84">
        <v>28</v>
      </c>
      <c r="D832" s="84">
        <v>21</v>
      </c>
      <c r="E832" s="85">
        <v>14577.08</v>
      </c>
      <c r="F832" s="85">
        <v>8289.5400000000009</v>
      </c>
      <c r="G832" s="85">
        <v>-6287.54</v>
      </c>
    </row>
    <row r="833" spans="1:7" x14ac:dyDescent="0.3">
      <c r="A833" s="84">
        <v>2026</v>
      </c>
      <c r="B833" s="84" t="s">
        <v>393</v>
      </c>
      <c r="C833" s="84">
        <v>28</v>
      </c>
      <c r="D833" s="84">
        <v>22</v>
      </c>
      <c r="E833" s="85">
        <v>14577.08</v>
      </c>
      <c r="F833" s="85">
        <v>8928.2199999999993</v>
      </c>
      <c r="G833" s="85">
        <v>-5648.86</v>
      </c>
    </row>
    <row r="834" spans="1:7" x14ac:dyDescent="0.3">
      <c r="A834" s="84">
        <v>2026</v>
      </c>
      <c r="B834" s="84" t="s">
        <v>393</v>
      </c>
      <c r="C834" s="84">
        <v>28</v>
      </c>
      <c r="D834" s="84">
        <v>23</v>
      </c>
      <c r="E834" s="85">
        <v>14577.08</v>
      </c>
      <c r="F834" s="85">
        <v>9568.7199999999993</v>
      </c>
      <c r="G834" s="85">
        <v>-5008.3599999999997</v>
      </c>
    </row>
    <row r="835" spans="1:7" x14ac:dyDescent="0.3">
      <c r="A835" s="84">
        <v>2026</v>
      </c>
      <c r="B835" s="84" t="s">
        <v>393</v>
      </c>
      <c r="C835" s="84">
        <v>28</v>
      </c>
      <c r="D835" s="84">
        <v>24</v>
      </c>
      <c r="E835" s="85">
        <v>14577.08</v>
      </c>
      <c r="F835" s="85">
        <v>10207.959999999999</v>
      </c>
      <c r="G835" s="85">
        <v>-4369.12</v>
      </c>
    </row>
    <row r="836" spans="1:7" x14ac:dyDescent="0.3">
      <c r="A836" s="84">
        <v>2026</v>
      </c>
      <c r="B836" s="84" t="s">
        <v>393</v>
      </c>
      <c r="C836" s="84">
        <v>28</v>
      </c>
      <c r="D836" s="84">
        <v>25</v>
      </c>
      <c r="E836" s="85">
        <v>14577.08</v>
      </c>
      <c r="F836" s="85">
        <v>10848.04</v>
      </c>
      <c r="G836" s="85">
        <v>-3729.04</v>
      </c>
    </row>
    <row r="837" spans="1:7" x14ac:dyDescent="0.3">
      <c r="A837" s="84">
        <v>2026</v>
      </c>
      <c r="B837" s="84" t="s">
        <v>393</v>
      </c>
      <c r="C837" s="84">
        <v>28</v>
      </c>
      <c r="D837" s="84">
        <v>26</v>
      </c>
      <c r="E837" s="85">
        <v>14577.08</v>
      </c>
      <c r="F837" s="85">
        <v>12227.32</v>
      </c>
      <c r="G837" s="85">
        <v>-2349.7600000000002</v>
      </c>
    </row>
    <row r="838" spans="1:7" x14ac:dyDescent="0.3">
      <c r="A838" s="84">
        <v>2026</v>
      </c>
      <c r="B838" s="84" t="s">
        <v>393</v>
      </c>
      <c r="C838" s="84">
        <v>28</v>
      </c>
      <c r="D838" s="84">
        <v>27</v>
      </c>
      <c r="E838" s="85">
        <v>14577.08</v>
      </c>
      <c r="F838" s="85">
        <v>13936.58</v>
      </c>
      <c r="G838" s="85">
        <v>-640.5</v>
      </c>
    </row>
    <row r="839" spans="1:7" x14ac:dyDescent="0.3">
      <c r="A839" s="84">
        <v>2026</v>
      </c>
      <c r="B839" s="84" t="s">
        <v>393</v>
      </c>
      <c r="C839" s="84">
        <v>28</v>
      </c>
      <c r="D839" s="84">
        <v>28</v>
      </c>
      <c r="E839" s="85">
        <v>14577.08</v>
      </c>
      <c r="F839" s="85">
        <v>14577.08</v>
      </c>
      <c r="G839" s="85">
        <v>0</v>
      </c>
    </row>
    <row r="840" spans="1:7" x14ac:dyDescent="0.3">
      <c r="A840" s="84">
        <v>2026</v>
      </c>
      <c r="B840" s="84" t="s">
        <v>393</v>
      </c>
      <c r="C840" s="84">
        <v>28</v>
      </c>
      <c r="D840" s="84">
        <v>29</v>
      </c>
      <c r="E840" s="85">
        <v>14577.08</v>
      </c>
      <c r="F840" s="85">
        <v>15216.46</v>
      </c>
      <c r="G840" s="85">
        <v>639.38</v>
      </c>
    </row>
    <row r="841" spans="1:7" x14ac:dyDescent="0.3">
      <c r="A841" s="84">
        <v>2026</v>
      </c>
      <c r="B841" s="84" t="s">
        <v>393</v>
      </c>
      <c r="C841" s="84">
        <v>28</v>
      </c>
      <c r="D841" s="84">
        <v>30</v>
      </c>
      <c r="E841" s="85">
        <v>14577.08</v>
      </c>
      <c r="F841" s="85">
        <v>16964.78</v>
      </c>
      <c r="G841" s="85">
        <v>2387.6999999999998</v>
      </c>
    </row>
    <row r="842" spans="1:7" x14ac:dyDescent="0.3">
      <c r="A842" s="84">
        <v>2026</v>
      </c>
      <c r="B842" s="84" t="s">
        <v>393</v>
      </c>
      <c r="C842" s="84">
        <v>29</v>
      </c>
      <c r="D842" s="84">
        <v>1</v>
      </c>
      <c r="E842" s="85">
        <v>15216.46</v>
      </c>
      <c r="F842" s="85">
        <v>1607.34</v>
      </c>
      <c r="G842" s="85">
        <v>-13609.12</v>
      </c>
    </row>
    <row r="843" spans="1:7" x14ac:dyDescent="0.3">
      <c r="A843" s="84">
        <v>2026</v>
      </c>
      <c r="B843" s="84" t="s">
        <v>393</v>
      </c>
      <c r="C843" s="84">
        <v>29</v>
      </c>
      <c r="D843" s="84">
        <v>2</v>
      </c>
      <c r="E843" s="85">
        <v>15216.46</v>
      </c>
      <c r="F843" s="85">
        <v>1901.76</v>
      </c>
      <c r="G843" s="85">
        <v>-13314.7</v>
      </c>
    </row>
    <row r="844" spans="1:7" x14ac:dyDescent="0.3">
      <c r="A844" s="84">
        <v>2026</v>
      </c>
      <c r="B844" s="84" t="s">
        <v>393</v>
      </c>
      <c r="C844" s="84">
        <v>29</v>
      </c>
      <c r="D844" s="84">
        <v>3</v>
      </c>
      <c r="E844" s="85">
        <v>15216.46</v>
      </c>
      <c r="F844" s="85">
        <v>2196.7399999999998</v>
      </c>
      <c r="G844" s="85">
        <v>-13019.72</v>
      </c>
    </row>
    <row r="845" spans="1:7" x14ac:dyDescent="0.3">
      <c r="A845" s="84">
        <v>2026</v>
      </c>
      <c r="B845" s="84" t="s">
        <v>393</v>
      </c>
      <c r="C845" s="84">
        <v>29</v>
      </c>
      <c r="D845" s="84">
        <v>4</v>
      </c>
      <c r="E845" s="85">
        <v>15216.46</v>
      </c>
      <c r="F845" s="85">
        <v>2490.88</v>
      </c>
      <c r="G845" s="85">
        <v>-12725.58</v>
      </c>
    </row>
    <row r="846" spans="1:7" x14ac:dyDescent="0.3">
      <c r="A846" s="84">
        <v>2026</v>
      </c>
      <c r="B846" s="84" t="s">
        <v>393</v>
      </c>
      <c r="C846" s="84">
        <v>29</v>
      </c>
      <c r="D846" s="84">
        <v>5</v>
      </c>
      <c r="E846" s="85">
        <v>15216.46</v>
      </c>
      <c r="F846" s="85">
        <v>2785.58</v>
      </c>
      <c r="G846" s="85">
        <v>-12430.88</v>
      </c>
    </row>
    <row r="847" spans="1:7" x14ac:dyDescent="0.3">
      <c r="A847" s="84">
        <v>2026</v>
      </c>
      <c r="B847" s="84" t="s">
        <v>393</v>
      </c>
      <c r="C847" s="84">
        <v>29</v>
      </c>
      <c r="D847" s="84">
        <v>6</v>
      </c>
      <c r="E847" s="85">
        <v>15216.46</v>
      </c>
      <c r="F847" s="85">
        <v>2982.28</v>
      </c>
      <c r="G847" s="85">
        <v>-12234.18</v>
      </c>
    </row>
    <row r="848" spans="1:7" x14ac:dyDescent="0.3">
      <c r="A848" s="84">
        <v>2026</v>
      </c>
      <c r="B848" s="84" t="s">
        <v>393</v>
      </c>
      <c r="C848" s="84">
        <v>29</v>
      </c>
      <c r="D848" s="84">
        <v>7</v>
      </c>
      <c r="E848" s="85">
        <v>15216.46</v>
      </c>
      <c r="F848" s="85">
        <v>3178.98</v>
      </c>
      <c r="G848" s="85">
        <v>-12037.48</v>
      </c>
    </row>
    <row r="849" spans="1:7" x14ac:dyDescent="0.3">
      <c r="A849" s="84">
        <v>2026</v>
      </c>
      <c r="B849" s="84" t="s">
        <v>393</v>
      </c>
      <c r="C849" s="84">
        <v>29</v>
      </c>
      <c r="D849" s="84">
        <v>8</v>
      </c>
      <c r="E849" s="85">
        <v>15216.46</v>
      </c>
      <c r="F849" s="85">
        <v>3375.26</v>
      </c>
      <c r="G849" s="85">
        <v>-11841.2</v>
      </c>
    </row>
    <row r="850" spans="1:7" x14ac:dyDescent="0.3">
      <c r="A850" s="84">
        <v>2026</v>
      </c>
      <c r="B850" s="84" t="s">
        <v>393</v>
      </c>
      <c r="C850" s="84">
        <v>29</v>
      </c>
      <c r="D850" s="84">
        <v>9</v>
      </c>
      <c r="E850" s="85">
        <v>15216.46</v>
      </c>
      <c r="F850" s="85">
        <v>3572.38</v>
      </c>
      <c r="G850" s="85">
        <v>-11644.08</v>
      </c>
    </row>
    <row r="851" spans="1:7" x14ac:dyDescent="0.3">
      <c r="A851" s="84">
        <v>2026</v>
      </c>
      <c r="B851" s="84" t="s">
        <v>393</v>
      </c>
      <c r="C851" s="84">
        <v>29</v>
      </c>
      <c r="D851" s="84">
        <v>10</v>
      </c>
      <c r="E851" s="85">
        <v>15216.46</v>
      </c>
      <c r="F851" s="85">
        <v>3768.8</v>
      </c>
      <c r="G851" s="85">
        <v>-11447.66</v>
      </c>
    </row>
    <row r="852" spans="1:7" x14ac:dyDescent="0.3">
      <c r="A852" s="84">
        <v>2026</v>
      </c>
      <c r="B852" s="84" t="s">
        <v>393</v>
      </c>
      <c r="C852" s="84">
        <v>29</v>
      </c>
      <c r="D852" s="84">
        <v>11</v>
      </c>
      <c r="E852" s="85">
        <v>15216.46</v>
      </c>
      <c r="F852" s="85">
        <v>4161.3599999999997</v>
      </c>
      <c r="G852" s="85">
        <v>-11055.1</v>
      </c>
    </row>
    <row r="853" spans="1:7" x14ac:dyDescent="0.3">
      <c r="A853" s="84">
        <v>2026</v>
      </c>
      <c r="B853" s="84" t="s">
        <v>393</v>
      </c>
      <c r="C853" s="84">
        <v>29</v>
      </c>
      <c r="D853" s="84">
        <v>12</v>
      </c>
      <c r="E853" s="85">
        <v>15216.46</v>
      </c>
      <c r="F853" s="85">
        <v>4554.8999999999996</v>
      </c>
      <c r="G853" s="85">
        <v>-10661.56</v>
      </c>
    </row>
    <row r="854" spans="1:7" x14ac:dyDescent="0.3">
      <c r="A854" s="84">
        <v>2026</v>
      </c>
      <c r="B854" s="84" t="s">
        <v>393</v>
      </c>
      <c r="C854" s="84">
        <v>29</v>
      </c>
      <c r="D854" s="84">
        <v>13</v>
      </c>
      <c r="E854" s="85">
        <v>15216.46</v>
      </c>
      <c r="F854" s="85">
        <v>4948.16</v>
      </c>
      <c r="G854" s="85">
        <v>-10268.299999999999</v>
      </c>
    </row>
    <row r="855" spans="1:7" x14ac:dyDescent="0.3">
      <c r="A855" s="84">
        <v>2026</v>
      </c>
      <c r="B855" s="84" t="s">
        <v>393</v>
      </c>
      <c r="C855" s="84">
        <v>29</v>
      </c>
      <c r="D855" s="84">
        <v>14</v>
      </c>
      <c r="E855" s="85">
        <v>15216.46</v>
      </c>
      <c r="F855" s="85">
        <v>5341.98</v>
      </c>
      <c r="G855" s="85">
        <v>-9874.48</v>
      </c>
    </row>
    <row r="856" spans="1:7" x14ac:dyDescent="0.3">
      <c r="A856" s="84">
        <v>2026</v>
      </c>
      <c r="B856" s="84" t="s">
        <v>393</v>
      </c>
      <c r="C856" s="84">
        <v>29</v>
      </c>
      <c r="D856" s="84">
        <v>15</v>
      </c>
      <c r="E856" s="85">
        <v>15216.46</v>
      </c>
      <c r="F856" s="85">
        <v>5734.26</v>
      </c>
      <c r="G856" s="85">
        <v>-9482.2000000000007</v>
      </c>
    </row>
    <row r="857" spans="1:7" x14ac:dyDescent="0.3">
      <c r="A857" s="84">
        <v>2026</v>
      </c>
      <c r="B857" s="84" t="s">
        <v>393</v>
      </c>
      <c r="C857" s="84">
        <v>29</v>
      </c>
      <c r="D857" s="84">
        <v>16</v>
      </c>
      <c r="E857" s="85">
        <v>15216.46</v>
      </c>
      <c r="F857" s="85">
        <v>6128.22</v>
      </c>
      <c r="G857" s="85">
        <v>-9088.24</v>
      </c>
    </row>
    <row r="858" spans="1:7" x14ac:dyDescent="0.3">
      <c r="A858" s="84">
        <v>2026</v>
      </c>
      <c r="B858" s="84" t="s">
        <v>393</v>
      </c>
      <c r="C858" s="84">
        <v>29</v>
      </c>
      <c r="D858" s="84">
        <v>17</v>
      </c>
      <c r="E858" s="85">
        <v>15216.46</v>
      </c>
      <c r="F858" s="85">
        <v>6520.5</v>
      </c>
      <c r="G858" s="85">
        <v>-8695.9599999999991</v>
      </c>
    </row>
    <row r="859" spans="1:7" x14ac:dyDescent="0.3">
      <c r="A859" s="84">
        <v>2026</v>
      </c>
      <c r="B859" s="84" t="s">
        <v>393</v>
      </c>
      <c r="C859" s="84">
        <v>29</v>
      </c>
      <c r="D859" s="84">
        <v>18</v>
      </c>
      <c r="E859" s="85">
        <v>15216.46</v>
      </c>
      <c r="F859" s="85">
        <v>6914.04</v>
      </c>
      <c r="G859" s="85">
        <v>-8302.42</v>
      </c>
    </row>
    <row r="860" spans="1:7" x14ac:dyDescent="0.3">
      <c r="A860" s="84">
        <v>2026</v>
      </c>
      <c r="B860" s="84" t="s">
        <v>393</v>
      </c>
      <c r="C860" s="84">
        <v>29</v>
      </c>
      <c r="D860" s="84">
        <v>19</v>
      </c>
      <c r="E860" s="85">
        <v>15216.46</v>
      </c>
      <c r="F860" s="85">
        <v>7307.16</v>
      </c>
      <c r="G860" s="85">
        <v>-7909.3</v>
      </c>
    </row>
    <row r="861" spans="1:7" x14ac:dyDescent="0.3">
      <c r="A861" s="84">
        <v>2026</v>
      </c>
      <c r="B861" s="84" t="s">
        <v>393</v>
      </c>
      <c r="C861" s="84">
        <v>29</v>
      </c>
      <c r="D861" s="84">
        <v>20</v>
      </c>
      <c r="E861" s="85">
        <v>15216.46</v>
      </c>
      <c r="F861" s="85">
        <v>7700.14</v>
      </c>
      <c r="G861" s="85">
        <v>-7516.32</v>
      </c>
    </row>
    <row r="862" spans="1:7" x14ac:dyDescent="0.3">
      <c r="A862" s="84">
        <v>2026</v>
      </c>
      <c r="B862" s="84" t="s">
        <v>393</v>
      </c>
      <c r="C862" s="84">
        <v>29</v>
      </c>
      <c r="D862" s="84">
        <v>21</v>
      </c>
      <c r="E862" s="85">
        <v>15216.46</v>
      </c>
      <c r="F862" s="85">
        <v>8289.5400000000009</v>
      </c>
      <c r="G862" s="85">
        <v>-6926.92</v>
      </c>
    </row>
    <row r="863" spans="1:7" x14ac:dyDescent="0.3">
      <c r="A863" s="84">
        <v>2026</v>
      </c>
      <c r="B863" s="84" t="s">
        <v>393</v>
      </c>
      <c r="C863" s="84">
        <v>29</v>
      </c>
      <c r="D863" s="84">
        <v>22</v>
      </c>
      <c r="E863" s="85">
        <v>15216.46</v>
      </c>
      <c r="F863" s="85">
        <v>8928.2199999999993</v>
      </c>
      <c r="G863" s="85">
        <v>-6288.24</v>
      </c>
    </row>
    <row r="864" spans="1:7" x14ac:dyDescent="0.3">
      <c r="A864" s="84">
        <v>2026</v>
      </c>
      <c r="B864" s="84" t="s">
        <v>393</v>
      </c>
      <c r="C864" s="84">
        <v>29</v>
      </c>
      <c r="D864" s="84">
        <v>23</v>
      </c>
      <c r="E864" s="85">
        <v>15216.46</v>
      </c>
      <c r="F864" s="85">
        <v>9568.7199999999993</v>
      </c>
      <c r="G864" s="85">
        <v>-5647.74</v>
      </c>
    </row>
    <row r="865" spans="1:7" x14ac:dyDescent="0.3">
      <c r="A865" s="84">
        <v>2026</v>
      </c>
      <c r="B865" s="84" t="s">
        <v>393</v>
      </c>
      <c r="C865" s="84">
        <v>29</v>
      </c>
      <c r="D865" s="84">
        <v>24</v>
      </c>
      <c r="E865" s="85">
        <v>15216.46</v>
      </c>
      <c r="F865" s="85">
        <v>10207.959999999999</v>
      </c>
      <c r="G865" s="85">
        <v>-5008.5</v>
      </c>
    </row>
    <row r="866" spans="1:7" x14ac:dyDescent="0.3">
      <c r="A866" s="84">
        <v>2026</v>
      </c>
      <c r="B866" s="84" t="s">
        <v>393</v>
      </c>
      <c r="C866" s="84">
        <v>29</v>
      </c>
      <c r="D866" s="84">
        <v>25</v>
      </c>
      <c r="E866" s="85">
        <v>15216.46</v>
      </c>
      <c r="F866" s="85">
        <v>10848.04</v>
      </c>
      <c r="G866" s="85">
        <v>-4368.42</v>
      </c>
    </row>
    <row r="867" spans="1:7" x14ac:dyDescent="0.3">
      <c r="A867" s="84">
        <v>2026</v>
      </c>
      <c r="B867" s="84" t="s">
        <v>393</v>
      </c>
      <c r="C867" s="84">
        <v>29</v>
      </c>
      <c r="D867" s="84">
        <v>26</v>
      </c>
      <c r="E867" s="85">
        <v>15216.46</v>
      </c>
      <c r="F867" s="85">
        <v>12227.32</v>
      </c>
      <c r="G867" s="85">
        <v>-2989.14</v>
      </c>
    </row>
    <row r="868" spans="1:7" x14ac:dyDescent="0.3">
      <c r="A868" s="84">
        <v>2026</v>
      </c>
      <c r="B868" s="84" t="s">
        <v>393</v>
      </c>
      <c r="C868" s="84">
        <v>29</v>
      </c>
      <c r="D868" s="84">
        <v>27</v>
      </c>
      <c r="E868" s="85">
        <v>15216.46</v>
      </c>
      <c r="F868" s="85">
        <v>13936.58</v>
      </c>
      <c r="G868" s="85">
        <v>-1279.8800000000001</v>
      </c>
    </row>
    <row r="869" spans="1:7" x14ac:dyDescent="0.3">
      <c r="A869" s="84">
        <v>2026</v>
      </c>
      <c r="B869" s="84" t="s">
        <v>393</v>
      </c>
      <c r="C869" s="84">
        <v>29</v>
      </c>
      <c r="D869" s="84">
        <v>28</v>
      </c>
      <c r="E869" s="85">
        <v>15216.46</v>
      </c>
      <c r="F869" s="85">
        <v>14577.08</v>
      </c>
      <c r="G869" s="85">
        <v>-639.38</v>
      </c>
    </row>
    <row r="870" spans="1:7" x14ac:dyDescent="0.3">
      <c r="A870" s="84">
        <v>2026</v>
      </c>
      <c r="B870" s="84" t="s">
        <v>393</v>
      </c>
      <c r="C870" s="84">
        <v>29</v>
      </c>
      <c r="D870" s="84">
        <v>29</v>
      </c>
      <c r="E870" s="85">
        <v>15216.46</v>
      </c>
      <c r="F870" s="85">
        <v>15216.46</v>
      </c>
      <c r="G870" s="85">
        <v>0</v>
      </c>
    </row>
    <row r="871" spans="1:7" x14ac:dyDescent="0.3">
      <c r="A871" s="84">
        <v>2026</v>
      </c>
      <c r="B871" s="84" t="s">
        <v>393</v>
      </c>
      <c r="C871" s="84">
        <v>29</v>
      </c>
      <c r="D871" s="84">
        <v>30</v>
      </c>
      <c r="E871" s="85">
        <v>15216.46</v>
      </c>
      <c r="F871" s="85">
        <v>16964.78</v>
      </c>
      <c r="G871" s="85">
        <v>1748.32</v>
      </c>
    </row>
    <row r="872" spans="1:7" x14ac:dyDescent="0.3">
      <c r="A872" s="84">
        <v>2026</v>
      </c>
      <c r="B872" s="84" t="s">
        <v>393</v>
      </c>
      <c r="C872" s="84">
        <v>30</v>
      </c>
      <c r="D872" s="84">
        <v>1</v>
      </c>
      <c r="E872" s="85">
        <v>16964.78</v>
      </c>
      <c r="F872" s="85">
        <v>1607.34</v>
      </c>
      <c r="G872" s="85">
        <v>-15357.44</v>
      </c>
    </row>
    <row r="873" spans="1:7" x14ac:dyDescent="0.3">
      <c r="A873" s="84">
        <v>2026</v>
      </c>
      <c r="B873" s="84" t="s">
        <v>393</v>
      </c>
      <c r="C873" s="84">
        <v>30</v>
      </c>
      <c r="D873" s="84">
        <v>2</v>
      </c>
      <c r="E873" s="85">
        <v>16964.78</v>
      </c>
      <c r="F873" s="85">
        <v>1901.76</v>
      </c>
      <c r="G873" s="85">
        <v>-15063.02</v>
      </c>
    </row>
    <row r="874" spans="1:7" x14ac:dyDescent="0.3">
      <c r="A874" s="84">
        <v>2026</v>
      </c>
      <c r="B874" s="84" t="s">
        <v>393</v>
      </c>
      <c r="C874" s="84">
        <v>30</v>
      </c>
      <c r="D874" s="84">
        <v>3</v>
      </c>
      <c r="E874" s="85">
        <v>16964.78</v>
      </c>
      <c r="F874" s="85">
        <v>2196.7399999999998</v>
      </c>
      <c r="G874" s="85">
        <v>-14768.04</v>
      </c>
    </row>
    <row r="875" spans="1:7" x14ac:dyDescent="0.3">
      <c r="A875" s="84">
        <v>2026</v>
      </c>
      <c r="B875" s="84" t="s">
        <v>393</v>
      </c>
      <c r="C875" s="84">
        <v>30</v>
      </c>
      <c r="D875" s="84">
        <v>4</v>
      </c>
      <c r="E875" s="85">
        <v>16964.78</v>
      </c>
      <c r="F875" s="85">
        <v>2490.88</v>
      </c>
      <c r="G875" s="85">
        <v>-14473.9</v>
      </c>
    </row>
    <row r="876" spans="1:7" x14ac:dyDescent="0.3">
      <c r="A876" s="84">
        <v>2026</v>
      </c>
      <c r="B876" s="84" t="s">
        <v>393</v>
      </c>
      <c r="C876" s="84">
        <v>30</v>
      </c>
      <c r="D876" s="84">
        <v>5</v>
      </c>
      <c r="E876" s="85">
        <v>16964.78</v>
      </c>
      <c r="F876" s="85">
        <v>2785.58</v>
      </c>
      <c r="G876" s="85">
        <v>-14179.2</v>
      </c>
    </row>
    <row r="877" spans="1:7" x14ac:dyDescent="0.3">
      <c r="A877" s="84">
        <v>2026</v>
      </c>
      <c r="B877" s="84" t="s">
        <v>393</v>
      </c>
      <c r="C877" s="84">
        <v>30</v>
      </c>
      <c r="D877" s="84">
        <v>6</v>
      </c>
      <c r="E877" s="85">
        <v>16964.78</v>
      </c>
      <c r="F877" s="85">
        <v>2982.28</v>
      </c>
      <c r="G877" s="85">
        <v>-13982.5</v>
      </c>
    </row>
    <row r="878" spans="1:7" x14ac:dyDescent="0.3">
      <c r="A878" s="84">
        <v>2026</v>
      </c>
      <c r="B878" s="84" t="s">
        <v>393</v>
      </c>
      <c r="C878" s="84">
        <v>30</v>
      </c>
      <c r="D878" s="84">
        <v>7</v>
      </c>
      <c r="E878" s="85">
        <v>16964.78</v>
      </c>
      <c r="F878" s="85">
        <v>3178.98</v>
      </c>
      <c r="G878" s="85">
        <v>-13785.8</v>
      </c>
    </row>
    <row r="879" spans="1:7" x14ac:dyDescent="0.3">
      <c r="A879" s="84">
        <v>2026</v>
      </c>
      <c r="B879" s="84" t="s">
        <v>393</v>
      </c>
      <c r="C879" s="84">
        <v>30</v>
      </c>
      <c r="D879" s="84">
        <v>8</v>
      </c>
      <c r="E879" s="85">
        <v>16964.78</v>
      </c>
      <c r="F879" s="85">
        <v>3375.26</v>
      </c>
      <c r="G879" s="85">
        <v>-13589.52</v>
      </c>
    </row>
    <row r="880" spans="1:7" x14ac:dyDescent="0.3">
      <c r="A880" s="84">
        <v>2026</v>
      </c>
      <c r="B880" s="84" t="s">
        <v>393</v>
      </c>
      <c r="C880" s="84">
        <v>30</v>
      </c>
      <c r="D880" s="84">
        <v>9</v>
      </c>
      <c r="E880" s="85">
        <v>16964.78</v>
      </c>
      <c r="F880" s="85">
        <v>3572.38</v>
      </c>
      <c r="G880" s="85">
        <v>-13392.4</v>
      </c>
    </row>
    <row r="881" spans="1:7" x14ac:dyDescent="0.3">
      <c r="A881" s="84">
        <v>2026</v>
      </c>
      <c r="B881" s="84" t="s">
        <v>393</v>
      </c>
      <c r="C881" s="84">
        <v>30</v>
      </c>
      <c r="D881" s="84">
        <v>10</v>
      </c>
      <c r="E881" s="85">
        <v>16964.78</v>
      </c>
      <c r="F881" s="85">
        <v>3768.8</v>
      </c>
      <c r="G881" s="85">
        <v>-13195.98</v>
      </c>
    </row>
    <row r="882" spans="1:7" x14ac:dyDescent="0.3">
      <c r="A882" s="84">
        <v>2026</v>
      </c>
      <c r="B882" s="84" t="s">
        <v>393</v>
      </c>
      <c r="C882" s="84">
        <v>30</v>
      </c>
      <c r="D882" s="84">
        <v>11</v>
      </c>
      <c r="E882" s="85">
        <v>16964.78</v>
      </c>
      <c r="F882" s="85">
        <v>4161.3599999999997</v>
      </c>
      <c r="G882" s="85">
        <v>-12803.42</v>
      </c>
    </row>
    <row r="883" spans="1:7" x14ac:dyDescent="0.3">
      <c r="A883" s="84">
        <v>2026</v>
      </c>
      <c r="B883" s="84" t="s">
        <v>393</v>
      </c>
      <c r="C883" s="84">
        <v>30</v>
      </c>
      <c r="D883" s="84">
        <v>12</v>
      </c>
      <c r="E883" s="85">
        <v>16964.78</v>
      </c>
      <c r="F883" s="85">
        <v>4554.8999999999996</v>
      </c>
      <c r="G883" s="85">
        <v>-12409.88</v>
      </c>
    </row>
    <row r="884" spans="1:7" x14ac:dyDescent="0.3">
      <c r="A884" s="84">
        <v>2026</v>
      </c>
      <c r="B884" s="84" t="s">
        <v>393</v>
      </c>
      <c r="C884" s="84">
        <v>30</v>
      </c>
      <c r="D884" s="84">
        <v>13</v>
      </c>
      <c r="E884" s="85">
        <v>16964.78</v>
      </c>
      <c r="F884" s="85">
        <v>4948.16</v>
      </c>
      <c r="G884" s="85">
        <v>-12016.62</v>
      </c>
    </row>
    <row r="885" spans="1:7" x14ac:dyDescent="0.3">
      <c r="A885" s="84">
        <v>2026</v>
      </c>
      <c r="B885" s="84" t="s">
        <v>393</v>
      </c>
      <c r="C885" s="84">
        <v>30</v>
      </c>
      <c r="D885" s="84">
        <v>14</v>
      </c>
      <c r="E885" s="85">
        <v>16964.78</v>
      </c>
      <c r="F885" s="85">
        <v>5341.98</v>
      </c>
      <c r="G885" s="85">
        <v>-11622.8</v>
      </c>
    </row>
    <row r="886" spans="1:7" x14ac:dyDescent="0.3">
      <c r="A886" s="84">
        <v>2026</v>
      </c>
      <c r="B886" s="84" t="s">
        <v>393</v>
      </c>
      <c r="C886" s="84">
        <v>30</v>
      </c>
      <c r="D886" s="84">
        <v>15</v>
      </c>
      <c r="E886" s="85">
        <v>16964.78</v>
      </c>
      <c r="F886" s="85">
        <v>5734.26</v>
      </c>
      <c r="G886" s="85">
        <v>-11230.52</v>
      </c>
    </row>
    <row r="887" spans="1:7" x14ac:dyDescent="0.3">
      <c r="A887" s="84">
        <v>2026</v>
      </c>
      <c r="B887" s="84" t="s">
        <v>393</v>
      </c>
      <c r="C887" s="84">
        <v>30</v>
      </c>
      <c r="D887" s="84">
        <v>16</v>
      </c>
      <c r="E887" s="85">
        <v>16964.78</v>
      </c>
      <c r="F887" s="85">
        <v>6128.22</v>
      </c>
      <c r="G887" s="85">
        <v>-10836.56</v>
      </c>
    </row>
    <row r="888" spans="1:7" x14ac:dyDescent="0.3">
      <c r="A888" s="84">
        <v>2026</v>
      </c>
      <c r="B888" s="84" t="s">
        <v>393</v>
      </c>
      <c r="C888" s="84">
        <v>30</v>
      </c>
      <c r="D888" s="84">
        <v>17</v>
      </c>
      <c r="E888" s="85">
        <v>16964.78</v>
      </c>
      <c r="F888" s="85">
        <v>6520.5</v>
      </c>
      <c r="G888" s="85">
        <v>-10444.280000000001</v>
      </c>
    </row>
    <row r="889" spans="1:7" x14ac:dyDescent="0.3">
      <c r="A889" s="84">
        <v>2026</v>
      </c>
      <c r="B889" s="84" t="s">
        <v>393</v>
      </c>
      <c r="C889" s="84">
        <v>30</v>
      </c>
      <c r="D889" s="84">
        <v>18</v>
      </c>
      <c r="E889" s="85">
        <v>16964.78</v>
      </c>
      <c r="F889" s="85">
        <v>6914.04</v>
      </c>
      <c r="G889" s="85">
        <v>-10050.74</v>
      </c>
    </row>
    <row r="890" spans="1:7" x14ac:dyDescent="0.3">
      <c r="A890" s="84">
        <v>2026</v>
      </c>
      <c r="B890" s="84" t="s">
        <v>393</v>
      </c>
      <c r="C890" s="84">
        <v>30</v>
      </c>
      <c r="D890" s="84">
        <v>19</v>
      </c>
      <c r="E890" s="85">
        <v>16964.78</v>
      </c>
      <c r="F890" s="85">
        <v>7307.16</v>
      </c>
      <c r="G890" s="85">
        <v>-9657.6200000000008</v>
      </c>
    </row>
    <row r="891" spans="1:7" x14ac:dyDescent="0.3">
      <c r="A891" s="84">
        <v>2026</v>
      </c>
      <c r="B891" s="84" t="s">
        <v>393</v>
      </c>
      <c r="C891" s="84">
        <v>30</v>
      </c>
      <c r="D891" s="84">
        <v>20</v>
      </c>
      <c r="E891" s="85">
        <v>16964.78</v>
      </c>
      <c r="F891" s="85">
        <v>7700.14</v>
      </c>
      <c r="G891" s="85">
        <v>-9264.64</v>
      </c>
    </row>
    <row r="892" spans="1:7" x14ac:dyDescent="0.3">
      <c r="A892" s="84">
        <v>2026</v>
      </c>
      <c r="B892" s="84" t="s">
        <v>393</v>
      </c>
      <c r="C892" s="84">
        <v>30</v>
      </c>
      <c r="D892" s="84">
        <v>21</v>
      </c>
      <c r="E892" s="85">
        <v>16964.78</v>
      </c>
      <c r="F892" s="85">
        <v>8289.5400000000009</v>
      </c>
      <c r="G892" s="85">
        <v>-8675.24</v>
      </c>
    </row>
    <row r="893" spans="1:7" x14ac:dyDescent="0.3">
      <c r="A893" s="84">
        <v>2026</v>
      </c>
      <c r="B893" s="84" t="s">
        <v>393</v>
      </c>
      <c r="C893" s="84">
        <v>30</v>
      </c>
      <c r="D893" s="84">
        <v>22</v>
      </c>
      <c r="E893" s="85">
        <v>16964.78</v>
      </c>
      <c r="F893" s="85">
        <v>8928.2199999999993</v>
      </c>
      <c r="G893" s="85">
        <v>-8036.56</v>
      </c>
    </row>
    <row r="894" spans="1:7" x14ac:dyDescent="0.3">
      <c r="A894" s="84">
        <v>2026</v>
      </c>
      <c r="B894" s="84" t="s">
        <v>393</v>
      </c>
      <c r="C894" s="84">
        <v>30</v>
      </c>
      <c r="D894" s="84">
        <v>23</v>
      </c>
      <c r="E894" s="85">
        <v>16964.78</v>
      </c>
      <c r="F894" s="85">
        <v>9568.7199999999993</v>
      </c>
      <c r="G894" s="85">
        <v>-7396.06</v>
      </c>
    </row>
    <row r="895" spans="1:7" x14ac:dyDescent="0.3">
      <c r="A895" s="84">
        <v>2026</v>
      </c>
      <c r="B895" s="84" t="s">
        <v>393</v>
      </c>
      <c r="C895" s="84">
        <v>30</v>
      </c>
      <c r="D895" s="84">
        <v>24</v>
      </c>
      <c r="E895" s="85">
        <v>16964.78</v>
      </c>
      <c r="F895" s="85">
        <v>10207.959999999999</v>
      </c>
      <c r="G895" s="85">
        <v>-6756.82</v>
      </c>
    </row>
    <row r="896" spans="1:7" x14ac:dyDescent="0.3">
      <c r="A896" s="84">
        <v>2026</v>
      </c>
      <c r="B896" s="84" t="s">
        <v>393</v>
      </c>
      <c r="C896" s="84">
        <v>30</v>
      </c>
      <c r="D896" s="84">
        <v>25</v>
      </c>
      <c r="E896" s="85">
        <v>16964.78</v>
      </c>
      <c r="F896" s="85">
        <v>10848.04</v>
      </c>
      <c r="G896" s="85">
        <v>-6116.74</v>
      </c>
    </row>
    <row r="897" spans="1:7" x14ac:dyDescent="0.3">
      <c r="A897" s="84">
        <v>2026</v>
      </c>
      <c r="B897" s="84" t="s">
        <v>393</v>
      </c>
      <c r="C897" s="84">
        <v>30</v>
      </c>
      <c r="D897" s="84">
        <v>26</v>
      </c>
      <c r="E897" s="85">
        <v>16964.78</v>
      </c>
      <c r="F897" s="85">
        <v>12227.32</v>
      </c>
      <c r="G897" s="85">
        <v>-4737.46</v>
      </c>
    </row>
    <row r="898" spans="1:7" x14ac:dyDescent="0.3">
      <c r="A898" s="84">
        <v>2026</v>
      </c>
      <c r="B898" s="84" t="s">
        <v>393</v>
      </c>
      <c r="C898" s="84">
        <v>30</v>
      </c>
      <c r="D898" s="84">
        <v>27</v>
      </c>
      <c r="E898" s="85">
        <v>16964.78</v>
      </c>
      <c r="F898" s="85">
        <v>13936.58</v>
      </c>
      <c r="G898" s="85">
        <v>-3028.2</v>
      </c>
    </row>
    <row r="899" spans="1:7" x14ac:dyDescent="0.3">
      <c r="A899" s="84">
        <v>2026</v>
      </c>
      <c r="B899" s="84" t="s">
        <v>393</v>
      </c>
      <c r="C899" s="84">
        <v>30</v>
      </c>
      <c r="D899" s="84">
        <v>28</v>
      </c>
      <c r="E899" s="85">
        <v>16964.78</v>
      </c>
      <c r="F899" s="85">
        <v>14577.08</v>
      </c>
      <c r="G899" s="85">
        <v>-2387.6999999999998</v>
      </c>
    </row>
    <row r="900" spans="1:7" x14ac:dyDescent="0.3">
      <c r="A900" s="84">
        <v>2026</v>
      </c>
      <c r="B900" s="84" t="s">
        <v>393</v>
      </c>
      <c r="C900" s="84">
        <v>30</v>
      </c>
      <c r="D900" s="84">
        <v>29</v>
      </c>
      <c r="E900" s="85">
        <v>16964.78</v>
      </c>
      <c r="F900" s="85">
        <v>15216.46</v>
      </c>
      <c r="G900" s="85">
        <v>-1748.32</v>
      </c>
    </row>
    <row r="901" spans="1:7" x14ac:dyDescent="0.3">
      <c r="A901" s="84">
        <v>2026</v>
      </c>
      <c r="B901" s="84" t="s">
        <v>393</v>
      </c>
      <c r="C901" s="84">
        <v>30</v>
      </c>
      <c r="D901" s="84">
        <v>30</v>
      </c>
      <c r="E901" s="85">
        <v>16964.78</v>
      </c>
      <c r="F901" s="85">
        <v>16964.78</v>
      </c>
      <c r="G901" s="85">
        <v>0</v>
      </c>
    </row>
    <row r="902" spans="1:7" x14ac:dyDescent="0.3">
      <c r="A902" s="84">
        <v>2026</v>
      </c>
      <c r="B902" s="84" t="s">
        <v>395</v>
      </c>
      <c r="C902" s="84">
        <v>1</v>
      </c>
      <c r="D902" s="84">
        <v>1</v>
      </c>
      <c r="E902" s="85">
        <v>19966.32</v>
      </c>
      <c r="F902" s="85">
        <v>19966.32</v>
      </c>
      <c r="G902" s="85">
        <v>0</v>
      </c>
    </row>
    <row r="903" spans="1:7" x14ac:dyDescent="0.3">
      <c r="A903" s="84">
        <v>2026</v>
      </c>
      <c r="B903" s="84" t="s">
        <v>395</v>
      </c>
      <c r="C903" s="84">
        <v>1</v>
      </c>
      <c r="D903" s="84">
        <v>2</v>
      </c>
      <c r="E903" s="85">
        <v>19966.32</v>
      </c>
      <c r="F903" s="85">
        <v>20260.740000000002</v>
      </c>
      <c r="G903" s="85">
        <v>294.42</v>
      </c>
    </row>
    <row r="904" spans="1:7" x14ac:dyDescent="0.3">
      <c r="A904" s="84">
        <v>2026</v>
      </c>
      <c r="B904" s="84" t="s">
        <v>395</v>
      </c>
      <c r="C904" s="84">
        <v>1</v>
      </c>
      <c r="D904" s="84">
        <v>3</v>
      </c>
      <c r="E904" s="85">
        <v>19966.32</v>
      </c>
      <c r="F904" s="85">
        <v>20555.72</v>
      </c>
      <c r="G904" s="85">
        <v>589.4</v>
      </c>
    </row>
    <row r="905" spans="1:7" x14ac:dyDescent="0.3">
      <c r="A905" s="84">
        <v>2026</v>
      </c>
      <c r="B905" s="84" t="s">
        <v>395</v>
      </c>
      <c r="C905" s="84">
        <v>1</v>
      </c>
      <c r="D905" s="84">
        <v>4</v>
      </c>
      <c r="E905" s="85">
        <v>19966.32</v>
      </c>
      <c r="F905" s="85">
        <v>20849.86</v>
      </c>
      <c r="G905" s="85">
        <v>883.54</v>
      </c>
    </row>
    <row r="906" spans="1:7" x14ac:dyDescent="0.3">
      <c r="A906" s="84">
        <v>2026</v>
      </c>
      <c r="B906" s="84" t="s">
        <v>395</v>
      </c>
      <c r="C906" s="84">
        <v>1</v>
      </c>
      <c r="D906" s="84">
        <v>5</v>
      </c>
      <c r="E906" s="85">
        <v>19966.32</v>
      </c>
      <c r="F906" s="85">
        <v>21144.560000000001</v>
      </c>
      <c r="G906" s="85">
        <v>1178.24</v>
      </c>
    </row>
    <row r="907" spans="1:7" x14ac:dyDescent="0.3">
      <c r="A907" s="84">
        <v>2026</v>
      </c>
      <c r="B907" s="84" t="s">
        <v>395</v>
      </c>
      <c r="C907" s="84">
        <v>1</v>
      </c>
      <c r="D907" s="84">
        <v>6</v>
      </c>
      <c r="E907" s="85">
        <v>19966.32</v>
      </c>
      <c r="F907" s="85">
        <v>21341.26</v>
      </c>
      <c r="G907" s="85">
        <v>1374.94</v>
      </c>
    </row>
    <row r="908" spans="1:7" x14ac:dyDescent="0.3">
      <c r="A908" s="84">
        <v>2026</v>
      </c>
      <c r="B908" s="84" t="s">
        <v>395</v>
      </c>
      <c r="C908" s="84">
        <v>1</v>
      </c>
      <c r="D908" s="84">
        <v>7</v>
      </c>
      <c r="E908" s="85">
        <v>19966.32</v>
      </c>
      <c r="F908" s="85">
        <v>21537.96</v>
      </c>
      <c r="G908" s="85">
        <v>1571.64</v>
      </c>
    </row>
    <row r="909" spans="1:7" x14ac:dyDescent="0.3">
      <c r="A909" s="84">
        <v>2026</v>
      </c>
      <c r="B909" s="84" t="s">
        <v>395</v>
      </c>
      <c r="C909" s="84">
        <v>1</v>
      </c>
      <c r="D909" s="84">
        <v>8</v>
      </c>
      <c r="E909" s="85">
        <v>19966.32</v>
      </c>
      <c r="F909" s="85">
        <v>21734.240000000002</v>
      </c>
      <c r="G909" s="85">
        <v>1767.92</v>
      </c>
    </row>
    <row r="910" spans="1:7" x14ac:dyDescent="0.3">
      <c r="A910" s="84">
        <v>2026</v>
      </c>
      <c r="B910" s="84" t="s">
        <v>395</v>
      </c>
      <c r="C910" s="84">
        <v>1</v>
      </c>
      <c r="D910" s="84">
        <v>9</v>
      </c>
      <c r="E910" s="85">
        <v>19966.32</v>
      </c>
      <c r="F910" s="85">
        <v>21931.360000000001</v>
      </c>
      <c r="G910" s="85">
        <v>1965.04</v>
      </c>
    </row>
    <row r="911" spans="1:7" x14ac:dyDescent="0.3">
      <c r="A911" s="84">
        <v>2026</v>
      </c>
      <c r="B911" s="84" t="s">
        <v>395</v>
      </c>
      <c r="C911" s="84">
        <v>1</v>
      </c>
      <c r="D911" s="84">
        <v>10</v>
      </c>
      <c r="E911" s="85">
        <v>19966.32</v>
      </c>
      <c r="F911" s="85">
        <v>22127.78</v>
      </c>
      <c r="G911" s="85">
        <v>2161.46</v>
      </c>
    </row>
    <row r="912" spans="1:7" x14ac:dyDescent="0.3">
      <c r="A912" s="84">
        <v>2026</v>
      </c>
      <c r="B912" s="84" t="s">
        <v>395</v>
      </c>
      <c r="C912" s="84">
        <v>1</v>
      </c>
      <c r="D912" s="84">
        <v>11</v>
      </c>
      <c r="E912" s="85">
        <v>19966.32</v>
      </c>
      <c r="F912" s="85">
        <v>22520.34</v>
      </c>
      <c r="G912" s="85">
        <v>2554.02</v>
      </c>
    </row>
    <row r="913" spans="1:7" x14ac:dyDescent="0.3">
      <c r="A913" s="84">
        <v>2026</v>
      </c>
      <c r="B913" s="84" t="s">
        <v>395</v>
      </c>
      <c r="C913" s="84">
        <v>1</v>
      </c>
      <c r="D913" s="84">
        <v>12</v>
      </c>
      <c r="E913" s="85">
        <v>19966.32</v>
      </c>
      <c r="F913" s="85">
        <v>22913.88</v>
      </c>
      <c r="G913" s="85">
        <v>2947.56</v>
      </c>
    </row>
    <row r="914" spans="1:7" x14ac:dyDescent="0.3">
      <c r="A914" s="84">
        <v>2026</v>
      </c>
      <c r="B914" s="84" t="s">
        <v>395</v>
      </c>
      <c r="C914" s="84">
        <v>1</v>
      </c>
      <c r="D914" s="84">
        <v>13</v>
      </c>
      <c r="E914" s="85">
        <v>19966.32</v>
      </c>
      <c r="F914" s="85">
        <v>23307.14</v>
      </c>
      <c r="G914" s="85">
        <v>3340.82</v>
      </c>
    </row>
    <row r="915" spans="1:7" x14ac:dyDescent="0.3">
      <c r="A915" s="84">
        <v>2026</v>
      </c>
      <c r="B915" s="84" t="s">
        <v>395</v>
      </c>
      <c r="C915" s="84">
        <v>1</v>
      </c>
      <c r="D915" s="84">
        <v>14</v>
      </c>
      <c r="E915" s="85">
        <v>19966.32</v>
      </c>
      <c r="F915" s="85">
        <v>23700.959999999999</v>
      </c>
      <c r="G915" s="85">
        <v>3734.64</v>
      </c>
    </row>
    <row r="916" spans="1:7" x14ac:dyDescent="0.3">
      <c r="A916" s="84">
        <v>2026</v>
      </c>
      <c r="B916" s="84" t="s">
        <v>395</v>
      </c>
      <c r="C916" s="84">
        <v>1</v>
      </c>
      <c r="D916" s="84">
        <v>15</v>
      </c>
      <c r="E916" s="85">
        <v>19966.32</v>
      </c>
      <c r="F916" s="85">
        <v>24093.24</v>
      </c>
      <c r="G916" s="85">
        <v>4126.92</v>
      </c>
    </row>
    <row r="917" spans="1:7" x14ac:dyDescent="0.3">
      <c r="A917" s="84">
        <v>2026</v>
      </c>
      <c r="B917" s="84" t="s">
        <v>395</v>
      </c>
      <c r="C917" s="84">
        <v>1</v>
      </c>
      <c r="D917" s="84">
        <v>16</v>
      </c>
      <c r="E917" s="85">
        <v>19966.32</v>
      </c>
      <c r="F917" s="85">
        <v>24487.200000000001</v>
      </c>
      <c r="G917" s="85">
        <v>4520.88</v>
      </c>
    </row>
    <row r="918" spans="1:7" x14ac:dyDescent="0.3">
      <c r="A918" s="84">
        <v>2026</v>
      </c>
      <c r="B918" s="84" t="s">
        <v>395</v>
      </c>
      <c r="C918" s="84">
        <v>1</v>
      </c>
      <c r="D918" s="84">
        <v>17</v>
      </c>
      <c r="E918" s="85">
        <v>19966.32</v>
      </c>
      <c r="F918" s="85">
        <v>24879.94</v>
      </c>
      <c r="G918" s="85">
        <v>4913.62</v>
      </c>
    </row>
    <row r="919" spans="1:7" x14ac:dyDescent="0.3">
      <c r="A919" s="84">
        <v>2026</v>
      </c>
      <c r="B919" s="84" t="s">
        <v>395</v>
      </c>
      <c r="C919" s="84">
        <v>1</v>
      </c>
      <c r="D919" s="84">
        <v>18</v>
      </c>
      <c r="E919" s="85">
        <v>19966.32</v>
      </c>
      <c r="F919" s="85">
        <v>25273.02</v>
      </c>
      <c r="G919" s="85">
        <v>5306.7</v>
      </c>
    </row>
    <row r="920" spans="1:7" x14ac:dyDescent="0.3">
      <c r="A920" s="84">
        <v>2026</v>
      </c>
      <c r="B920" s="84" t="s">
        <v>395</v>
      </c>
      <c r="C920" s="84">
        <v>1</v>
      </c>
      <c r="D920" s="84">
        <v>19</v>
      </c>
      <c r="E920" s="85">
        <v>19966.32</v>
      </c>
      <c r="F920" s="85">
        <v>25666.14</v>
      </c>
      <c r="G920" s="85">
        <v>5699.82</v>
      </c>
    </row>
    <row r="921" spans="1:7" x14ac:dyDescent="0.3">
      <c r="A921" s="84">
        <v>2026</v>
      </c>
      <c r="B921" s="84" t="s">
        <v>395</v>
      </c>
      <c r="C921" s="84">
        <v>1</v>
      </c>
      <c r="D921" s="84">
        <v>20</v>
      </c>
      <c r="E921" s="85">
        <v>19966.32</v>
      </c>
      <c r="F921" s="85">
        <v>26059.119999999999</v>
      </c>
      <c r="G921" s="85">
        <v>6092.8</v>
      </c>
    </row>
    <row r="922" spans="1:7" x14ac:dyDescent="0.3">
      <c r="A922" s="84">
        <v>2026</v>
      </c>
      <c r="B922" s="84" t="s">
        <v>395</v>
      </c>
      <c r="C922" s="84">
        <v>1</v>
      </c>
      <c r="D922" s="84">
        <v>21</v>
      </c>
      <c r="E922" s="85">
        <v>19966.32</v>
      </c>
      <c r="F922" s="85">
        <v>26648.52</v>
      </c>
      <c r="G922" s="85">
        <v>6682.2</v>
      </c>
    </row>
    <row r="923" spans="1:7" x14ac:dyDescent="0.3">
      <c r="A923" s="84">
        <v>2026</v>
      </c>
      <c r="B923" s="84" t="s">
        <v>395</v>
      </c>
      <c r="C923" s="84">
        <v>1</v>
      </c>
      <c r="D923" s="84">
        <v>22</v>
      </c>
      <c r="E923" s="85">
        <v>19966.32</v>
      </c>
      <c r="F923" s="85">
        <v>27287.200000000001</v>
      </c>
      <c r="G923" s="85">
        <v>7320.88</v>
      </c>
    </row>
    <row r="924" spans="1:7" x14ac:dyDescent="0.3">
      <c r="A924" s="84">
        <v>2026</v>
      </c>
      <c r="B924" s="84" t="s">
        <v>395</v>
      </c>
      <c r="C924" s="84">
        <v>1</v>
      </c>
      <c r="D924" s="84">
        <v>23</v>
      </c>
      <c r="E924" s="85">
        <v>19966.32</v>
      </c>
      <c r="F924" s="85">
        <v>27927.7</v>
      </c>
      <c r="G924" s="85">
        <v>7961.38</v>
      </c>
    </row>
    <row r="925" spans="1:7" x14ac:dyDescent="0.3">
      <c r="A925" s="84">
        <v>2026</v>
      </c>
      <c r="B925" s="84" t="s">
        <v>395</v>
      </c>
      <c r="C925" s="84">
        <v>1</v>
      </c>
      <c r="D925" s="84">
        <v>24</v>
      </c>
      <c r="E925" s="85">
        <v>19966.32</v>
      </c>
      <c r="F925" s="85">
        <v>28566.94</v>
      </c>
      <c r="G925" s="85">
        <v>8600.6200000000008</v>
      </c>
    </row>
    <row r="926" spans="1:7" x14ac:dyDescent="0.3">
      <c r="A926" s="84">
        <v>2026</v>
      </c>
      <c r="B926" s="84" t="s">
        <v>395</v>
      </c>
      <c r="C926" s="84">
        <v>1</v>
      </c>
      <c r="D926" s="84">
        <v>25</v>
      </c>
      <c r="E926" s="85">
        <v>19966.32</v>
      </c>
      <c r="F926" s="85">
        <v>29207.02</v>
      </c>
      <c r="G926" s="85">
        <v>9240.7000000000007</v>
      </c>
    </row>
    <row r="927" spans="1:7" x14ac:dyDescent="0.3">
      <c r="A927" s="84">
        <v>2026</v>
      </c>
      <c r="B927" s="84" t="s">
        <v>395</v>
      </c>
      <c r="C927" s="84">
        <v>1</v>
      </c>
      <c r="D927" s="84">
        <v>26</v>
      </c>
      <c r="E927" s="85">
        <v>19966.32</v>
      </c>
      <c r="F927" s="85">
        <v>30586.3</v>
      </c>
      <c r="G927" s="85">
        <v>10619.98</v>
      </c>
    </row>
    <row r="928" spans="1:7" x14ac:dyDescent="0.3">
      <c r="A928" s="84">
        <v>2026</v>
      </c>
      <c r="B928" s="84" t="s">
        <v>395</v>
      </c>
      <c r="C928" s="84">
        <v>1</v>
      </c>
      <c r="D928" s="84">
        <v>27</v>
      </c>
      <c r="E928" s="85">
        <v>19966.32</v>
      </c>
      <c r="F928" s="85">
        <v>32295.56</v>
      </c>
      <c r="G928" s="85">
        <v>12329.24</v>
      </c>
    </row>
    <row r="929" spans="1:7" x14ac:dyDescent="0.3">
      <c r="A929" s="84">
        <v>2026</v>
      </c>
      <c r="B929" s="84" t="s">
        <v>395</v>
      </c>
      <c r="C929" s="84">
        <v>1</v>
      </c>
      <c r="D929" s="84">
        <v>28</v>
      </c>
      <c r="E929" s="85">
        <v>19966.32</v>
      </c>
      <c r="F929" s="85">
        <v>32936.06</v>
      </c>
      <c r="G929" s="85">
        <v>12969.74</v>
      </c>
    </row>
    <row r="930" spans="1:7" x14ac:dyDescent="0.3">
      <c r="A930" s="84">
        <v>2026</v>
      </c>
      <c r="B930" s="84" t="s">
        <v>395</v>
      </c>
      <c r="C930" s="84">
        <v>1</v>
      </c>
      <c r="D930" s="84">
        <v>29</v>
      </c>
      <c r="E930" s="85">
        <v>19966.32</v>
      </c>
      <c r="F930" s="85">
        <v>33575.4</v>
      </c>
      <c r="G930" s="85">
        <v>13609.08</v>
      </c>
    </row>
    <row r="931" spans="1:7" x14ac:dyDescent="0.3">
      <c r="A931" s="84">
        <v>2026</v>
      </c>
      <c r="B931" s="84" t="s">
        <v>395</v>
      </c>
      <c r="C931" s="84">
        <v>1</v>
      </c>
      <c r="D931" s="84">
        <v>30</v>
      </c>
      <c r="E931" s="85">
        <v>19966.32</v>
      </c>
      <c r="F931" s="85">
        <v>35323.760000000002</v>
      </c>
      <c r="G931" s="85">
        <v>15357.44</v>
      </c>
    </row>
    <row r="932" spans="1:7" x14ac:dyDescent="0.3">
      <c r="A932" s="84">
        <v>2026</v>
      </c>
      <c r="B932" s="84" t="s">
        <v>395</v>
      </c>
      <c r="C932" s="84">
        <v>2</v>
      </c>
      <c r="D932" s="84">
        <v>1</v>
      </c>
      <c r="E932" s="85">
        <v>20260.740000000002</v>
      </c>
      <c r="F932" s="85">
        <v>19966.32</v>
      </c>
      <c r="G932" s="85">
        <v>-294.42</v>
      </c>
    </row>
    <row r="933" spans="1:7" x14ac:dyDescent="0.3">
      <c r="A933" s="84">
        <v>2026</v>
      </c>
      <c r="B933" s="84" t="s">
        <v>395</v>
      </c>
      <c r="C933" s="84">
        <v>2</v>
      </c>
      <c r="D933" s="84">
        <v>2</v>
      </c>
      <c r="E933" s="85">
        <v>20260.740000000002</v>
      </c>
      <c r="F933" s="85">
        <v>20260.740000000002</v>
      </c>
      <c r="G933" s="85">
        <v>0</v>
      </c>
    </row>
    <row r="934" spans="1:7" x14ac:dyDescent="0.3">
      <c r="A934" s="84">
        <v>2026</v>
      </c>
      <c r="B934" s="84" t="s">
        <v>395</v>
      </c>
      <c r="C934" s="84">
        <v>2</v>
      </c>
      <c r="D934" s="84">
        <v>3</v>
      </c>
      <c r="E934" s="85">
        <v>20260.740000000002</v>
      </c>
      <c r="F934" s="85">
        <v>20555.72</v>
      </c>
      <c r="G934" s="85">
        <v>294.98</v>
      </c>
    </row>
    <row r="935" spans="1:7" x14ac:dyDescent="0.3">
      <c r="A935" s="84">
        <v>2026</v>
      </c>
      <c r="B935" s="84" t="s">
        <v>395</v>
      </c>
      <c r="C935" s="84">
        <v>2</v>
      </c>
      <c r="D935" s="84">
        <v>4</v>
      </c>
      <c r="E935" s="85">
        <v>20260.740000000002</v>
      </c>
      <c r="F935" s="85">
        <v>20849.86</v>
      </c>
      <c r="G935" s="85">
        <v>589.12</v>
      </c>
    </row>
    <row r="936" spans="1:7" x14ac:dyDescent="0.3">
      <c r="A936" s="84">
        <v>2026</v>
      </c>
      <c r="B936" s="84" t="s">
        <v>395</v>
      </c>
      <c r="C936" s="84">
        <v>2</v>
      </c>
      <c r="D936" s="84">
        <v>5</v>
      </c>
      <c r="E936" s="85">
        <v>20260.740000000002</v>
      </c>
      <c r="F936" s="85">
        <v>21144.560000000001</v>
      </c>
      <c r="G936" s="85">
        <v>883.82</v>
      </c>
    </row>
    <row r="937" spans="1:7" x14ac:dyDescent="0.3">
      <c r="A937" s="84">
        <v>2026</v>
      </c>
      <c r="B937" s="84" t="s">
        <v>395</v>
      </c>
      <c r="C937" s="84">
        <v>2</v>
      </c>
      <c r="D937" s="84">
        <v>6</v>
      </c>
      <c r="E937" s="85">
        <v>20260.740000000002</v>
      </c>
      <c r="F937" s="85">
        <v>21341.26</v>
      </c>
      <c r="G937" s="85">
        <v>1080.52</v>
      </c>
    </row>
    <row r="938" spans="1:7" x14ac:dyDescent="0.3">
      <c r="A938" s="84">
        <v>2026</v>
      </c>
      <c r="B938" s="84" t="s">
        <v>395</v>
      </c>
      <c r="C938" s="84">
        <v>2</v>
      </c>
      <c r="D938" s="84">
        <v>7</v>
      </c>
      <c r="E938" s="85">
        <v>20260.740000000002</v>
      </c>
      <c r="F938" s="85">
        <v>21537.96</v>
      </c>
      <c r="G938" s="85">
        <v>1277.22</v>
      </c>
    </row>
    <row r="939" spans="1:7" x14ac:dyDescent="0.3">
      <c r="A939" s="84">
        <v>2026</v>
      </c>
      <c r="B939" s="84" t="s">
        <v>395</v>
      </c>
      <c r="C939" s="84">
        <v>2</v>
      </c>
      <c r="D939" s="84">
        <v>8</v>
      </c>
      <c r="E939" s="85">
        <v>20260.740000000002</v>
      </c>
      <c r="F939" s="85">
        <v>21734.240000000002</v>
      </c>
      <c r="G939" s="85">
        <v>1473.5</v>
      </c>
    </row>
    <row r="940" spans="1:7" x14ac:dyDescent="0.3">
      <c r="A940" s="84">
        <v>2026</v>
      </c>
      <c r="B940" s="84" t="s">
        <v>395</v>
      </c>
      <c r="C940" s="84">
        <v>2</v>
      </c>
      <c r="D940" s="84">
        <v>9</v>
      </c>
      <c r="E940" s="85">
        <v>20260.740000000002</v>
      </c>
      <c r="F940" s="85">
        <v>21931.360000000001</v>
      </c>
      <c r="G940" s="85">
        <v>1670.62</v>
      </c>
    </row>
    <row r="941" spans="1:7" x14ac:dyDescent="0.3">
      <c r="A941" s="84">
        <v>2026</v>
      </c>
      <c r="B941" s="84" t="s">
        <v>395</v>
      </c>
      <c r="C941" s="84">
        <v>2</v>
      </c>
      <c r="D941" s="84">
        <v>10</v>
      </c>
      <c r="E941" s="85">
        <v>20260.740000000002</v>
      </c>
      <c r="F941" s="85">
        <v>22127.78</v>
      </c>
      <c r="G941" s="85">
        <v>1867.04</v>
      </c>
    </row>
    <row r="942" spans="1:7" x14ac:dyDescent="0.3">
      <c r="A942" s="84">
        <v>2026</v>
      </c>
      <c r="B942" s="84" t="s">
        <v>395</v>
      </c>
      <c r="C942" s="84">
        <v>2</v>
      </c>
      <c r="D942" s="84">
        <v>11</v>
      </c>
      <c r="E942" s="85">
        <v>20260.740000000002</v>
      </c>
      <c r="F942" s="85">
        <v>22520.34</v>
      </c>
      <c r="G942" s="85">
        <v>2259.6</v>
      </c>
    </row>
    <row r="943" spans="1:7" x14ac:dyDescent="0.3">
      <c r="A943" s="84">
        <v>2026</v>
      </c>
      <c r="B943" s="84" t="s">
        <v>395</v>
      </c>
      <c r="C943" s="84">
        <v>2</v>
      </c>
      <c r="D943" s="84">
        <v>12</v>
      </c>
      <c r="E943" s="85">
        <v>20260.740000000002</v>
      </c>
      <c r="F943" s="85">
        <v>22913.88</v>
      </c>
      <c r="G943" s="85">
        <v>2653.14</v>
      </c>
    </row>
    <row r="944" spans="1:7" x14ac:dyDescent="0.3">
      <c r="A944" s="84">
        <v>2026</v>
      </c>
      <c r="B944" s="84" t="s">
        <v>395</v>
      </c>
      <c r="C944" s="84">
        <v>2</v>
      </c>
      <c r="D944" s="84">
        <v>13</v>
      </c>
      <c r="E944" s="85">
        <v>20260.740000000002</v>
      </c>
      <c r="F944" s="85">
        <v>23307.14</v>
      </c>
      <c r="G944" s="85">
        <v>3046.4</v>
      </c>
    </row>
    <row r="945" spans="1:7" x14ac:dyDescent="0.3">
      <c r="A945" s="84">
        <v>2026</v>
      </c>
      <c r="B945" s="84" t="s">
        <v>395</v>
      </c>
      <c r="C945" s="84">
        <v>2</v>
      </c>
      <c r="D945" s="84">
        <v>14</v>
      </c>
      <c r="E945" s="85">
        <v>20260.740000000002</v>
      </c>
      <c r="F945" s="85">
        <v>23700.959999999999</v>
      </c>
      <c r="G945" s="85">
        <v>3440.22</v>
      </c>
    </row>
    <row r="946" spans="1:7" x14ac:dyDescent="0.3">
      <c r="A946" s="84">
        <v>2026</v>
      </c>
      <c r="B946" s="84" t="s">
        <v>395</v>
      </c>
      <c r="C946" s="84">
        <v>2</v>
      </c>
      <c r="D946" s="84">
        <v>15</v>
      </c>
      <c r="E946" s="85">
        <v>20260.740000000002</v>
      </c>
      <c r="F946" s="85">
        <v>24093.24</v>
      </c>
      <c r="G946" s="85">
        <v>3832.5</v>
      </c>
    </row>
    <row r="947" spans="1:7" x14ac:dyDescent="0.3">
      <c r="A947" s="84">
        <v>2026</v>
      </c>
      <c r="B947" s="84" t="s">
        <v>395</v>
      </c>
      <c r="C947" s="84">
        <v>2</v>
      </c>
      <c r="D947" s="84">
        <v>16</v>
      </c>
      <c r="E947" s="85">
        <v>20260.740000000002</v>
      </c>
      <c r="F947" s="85">
        <v>24487.200000000001</v>
      </c>
      <c r="G947" s="85">
        <v>4226.46</v>
      </c>
    </row>
    <row r="948" spans="1:7" x14ac:dyDescent="0.3">
      <c r="A948" s="84">
        <v>2026</v>
      </c>
      <c r="B948" s="84" t="s">
        <v>395</v>
      </c>
      <c r="C948" s="84">
        <v>2</v>
      </c>
      <c r="D948" s="84">
        <v>17</v>
      </c>
      <c r="E948" s="85">
        <v>20260.740000000002</v>
      </c>
      <c r="F948" s="85">
        <v>24879.94</v>
      </c>
      <c r="G948" s="85">
        <v>4619.2</v>
      </c>
    </row>
    <row r="949" spans="1:7" x14ac:dyDescent="0.3">
      <c r="A949" s="84">
        <v>2026</v>
      </c>
      <c r="B949" s="84" t="s">
        <v>395</v>
      </c>
      <c r="C949" s="84">
        <v>2</v>
      </c>
      <c r="D949" s="84">
        <v>18</v>
      </c>
      <c r="E949" s="85">
        <v>20260.740000000002</v>
      </c>
      <c r="F949" s="85">
        <v>25273.02</v>
      </c>
      <c r="G949" s="85">
        <v>5012.28</v>
      </c>
    </row>
    <row r="950" spans="1:7" x14ac:dyDescent="0.3">
      <c r="A950" s="84">
        <v>2026</v>
      </c>
      <c r="B950" s="84" t="s">
        <v>395</v>
      </c>
      <c r="C950" s="84">
        <v>2</v>
      </c>
      <c r="D950" s="84">
        <v>19</v>
      </c>
      <c r="E950" s="85">
        <v>20260.740000000002</v>
      </c>
      <c r="F950" s="85">
        <v>25666.14</v>
      </c>
      <c r="G950" s="85">
        <v>5405.4</v>
      </c>
    </row>
    <row r="951" spans="1:7" x14ac:dyDescent="0.3">
      <c r="A951" s="84">
        <v>2026</v>
      </c>
      <c r="B951" s="84" t="s">
        <v>395</v>
      </c>
      <c r="C951" s="84">
        <v>2</v>
      </c>
      <c r="D951" s="84">
        <v>20</v>
      </c>
      <c r="E951" s="85">
        <v>20260.740000000002</v>
      </c>
      <c r="F951" s="85">
        <v>26059.119999999999</v>
      </c>
      <c r="G951" s="85">
        <v>5798.38</v>
      </c>
    </row>
    <row r="952" spans="1:7" x14ac:dyDescent="0.3">
      <c r="A952" s="84">
        <v>2026</v>
      </c>
      <c r="B952" s="84" t="s">
        <v>395</v>
      </c>
      <c r="C952" s="84">
        <v>2</v>
      </c>
      <c r="D952" s="84">
        <v>21</v>
      </c>
      <c r="E952" s="85">
        <v>20260.740000000002</v>
      </c>
      <c r="F952" s="85">
        <v>26648.52</v>
      </c>
      <c r="G952" s="85">
        <v>6387.78</v>
      </c>
    </row>
    <row r="953" spans="1:7" x14ac:dyDescent="0.3">
      <c r="A953" s="84">
        <v>2026</v>
      </c>
      <c r="B953" s="84" t="s">
        <v>395</v>
      </c>
      <c r="C953" s="84">
        <v>2</v>
      </c>
      <c r="D953" s="84">
        <v>22</v>
      </c>
      <c r="E953" s="85">
        <v>20260.740000000002</v>
      </c>
      <c r="F953" s="85">
        <v>27287.200000000001</v>
      </c>
      <c r="G953" s="85">
        <v>7026.46</v>
      </c>
    </row>
    <row r="954" spans="1:7" x14ac:dyDescent="0.3">
      <c r="A954" s="84">
        <v>2026</v>
      </c>
      <c r="B954" s="84" t="s">
        <v>395</v>
      </c>
      <c r="C954" s="84">
        <v>2</v>
      </c>
      <c r="D954" s="84">
        <v>23</v>
      </c>
      <c r="E954" s="85">
        <v>20260.740000000002</v>
      </c>
      <c r="F954" s="85">
        <v>27927.7</v>
      </c>
      <c r="G954" s="85">
        <v>7666.96</v>
      </c>
    </row>
    <row r="955" spans="1:7" x14ac:dyDescent="0.3">
      <c r="A955" s="84">
        <v>2026</v>
      </c>
      <c r="B955" s="84" t="s">
        <v>395</v>
      </c>
      <c r="C955" s="84">
        <v>2</v>
      </c>
      <c r="D955" s="84">
        <v>24</v>
      </c>
      <c r="E955" s="85">
        <v>20260.740000000002</v>
      </c>
      <c r="F955" s="85">
        <v>28566.94</v>
      </c>
      <c r="G955" s="85">
        <v>8306.2000000000007</v>
      </c>
    </row>
    <row r="956" spans="1:7" x14ac:dyDescent="0.3">
      <c r="A956" s="84">
        <v>2026</v>
      </c>
      <c r="B956" s="84" t="s">
        <v>395</v>
      </c>
      <c r="C956" s="84">
        <v>2</v>
      </c>
      <c r="D956" s="84">
        <v>25</v>
      </c>
      <c r="E956" s="85">
        <v>20260.740000000002</v>
      </c>
      <c r="F956" s="85">
        <v>29207.02</v>
      </c>
      <c r="G956" s="85">
        <v>8946.2800000000007</v>
      </c>
    </row>
    <row r="957" spans="1:7" x14ac:dyDescent="0.3">
      <c r="A957" s="84">
        <v>2026</v>
      </c>
      <c r="B957" s="84" t="s">
        <v>395</v>
      </c>
      <c r="C957" s="84">
        <v>2</v>
      </c>
      <c r="D957" s="84">
        <v>26</v>
      </c>
      <c r="E957" s="85">
        <v>20260.740000000002</v>
      </c>
      <c r="F957" s="85">
        <v>30586.3</v>
      </c>
      <c r="G957" s="85">
        <v>10325.56</v>
      </c>
    </row>
    <row r="958" spans="1:7" x14ac:dyDescent="0.3">
      <c r="A958" s="84">
        <v>2026</v>
      </c>
      <c r="B958" s="84" t="s">
        <v>395</v>
      </c>
      <c r="C958" s="84">
        <v>2</v>
      </c>
      <c r="D958" s="84">
        <v>27</v>
      </c>
      <c r="E958" s="85">
        <v>20260.740000000002</v>
      </c>
      <c r="F958" s="85">
        <v>32295.56</v>
      </c>
      <c r="G958" s="85">
        <v>12034.82</v>
      </c>
    </row>
    <row r="959" spans="1:7" x14ac:dyDescent="0.3">
      <c r="A959" s="84">
        <v>2026</v>
      </c>
      <c r="B959" s="84" t="s">
        <v>395</v>
      </c>
      <c r="C959" s="84">
        <v>2</v>
      </c>
      <c r="D959" s="84">
        <v>28</v>
      </c>
      <c r="E959" s="85">
        <v>20260.740000000002</v>
      </c>
      <c r="F959" s="85">
        <v>32936.06</v>
      </c>
      <c r="G959" s="85">
        <v>12675.32</v>
      </c>
    </row>
    <row r="960" spans="1:7" x14ac:dyDescent="0.3">
      <c r="A960" s="84">
        <v>2026</v>
      </c>
      <c r="B960" s="84" t="s">
        <v>395</v>
      </c>
      <c r="C960" s="84">
        <v>2</v>
      </c>
      <c r="D960" s="84">
        <v>29</v>
      </c>
      <c r="E960" s="85">
        <v>20260.740000000002</v>
      </c>
      <c r="F960" s="85">
        <v>33575.4</v>
      </c>
      <c r="G960" s="85">
        <v>13314.66</v>
      </c>
    </row>
    <row r="961" spans="1:7" x14ac:dyDescent="0.3">
      <c r="A961" s="84">
        <v>2026</v>
      </c>
      <c r="B961" s="84" t="s">
        <v>395</v>
      </c>
      <c r="C961" s="84">
        <v>2</v>
      </c>
      <c r="D961" s="84">
        <v>30</v>
      </c>
      <c r="E961" s="85">
        <v>20260.740000000002</v>
      </c>
      <c r="F961" s="85">
        <v>35323.760000000002</v>
      </c>
      <c r="G961" s="85">
        <v>15063.02</v>
      </c>
    </row>
    <row r="962" spans="1:7" x14ac:dyDescent="0.3">
      <c r="A962" s="84">
        <v>2026</v>
      </c>
      <c r="B962" s="84" t="s">
        <v>395</v>
      </c>
      <c r="C962" s="84">
        <v>3</v>
      </c>
      <c r="D962" s="84">
        <v>1</v>
      </c>
      <c r="E962" s="85">
        <v>20555.72</v>
      </c>
      <c r="F962" s="85">
        <v>19966.32</v>
      </c>
      <c r="G962" s="85">
        <v>-589.4</v>
      </c>
    </row>
    <row r="963" spans="1:7" x14ac:dyDescent="0.3">
      <c r="A963" s="84">
        <v>2026</v>
      </c>
      <c r="B963" s="84" t="s">
        <v>395</v>
      </c>
      <c r="C963" s="84">
        <v>3</v>
      </c>
      <c r="D963" s="84">
        <v>2</v>
      </c>
      <c r="E963" s="85">
        <v>20555.72</v>
      </c>
      <c r="F963" s="85">
        <v>20260.740000000002</v>
      </c>
      <c r="G963" s="85">
        <v>-294.98</v>
      </c>
    </row>
    <row r="964" spans="1:7" x14ac:dyDescent="0.3">
      <c r="A964" s="84">
        <v>2026</v>
      </c>
      <c r="B964" s="84" t="s">
        <v>395</v>
      </c>
      <c r="C964" s="84">
        <v>3</v>
      </c>
      <c r="D964" s="84">
        <v>3</v>
      </c>
      <c r="E964" s="85">
        <v>20555.72</v>
      </c>
      <c r="F964" s="85">
        <v>20555.72</v>
      </c>
      <c r="G964" s="85">
        <v>0</v>
      </c>
    </row>
    <row r="965" spans="1:7" x14ac:dyDescent="0.3">
      <c r="A965" s="84">
        <v>2026</v>
      </c>
      <c r="B965" s="84" t="s">
        <v>395</v>
      </c>
      <c r="C965" s="84">
        <v>3</v>
      </c>
      <c r="D965" s="84">
        <v>4</v>
      </c>
      <c r="E965" s="85">
        <v>20555.72</v>
      </c>
      <c r="F965" s="85">
        <v>20849.86</v>
      </c>
      <c r="G965" s="85">
        <v>294.14</v>
      </c>
    </row>
    <row r="966" spans="1:7" x14ac:dyDescent="0.3">
      <c r="A966" s="84">
        <v>2026</v>
      </c>
      <c r="B966" s="84" t="s">
        <v>395</v>
      </c>
      <c r="C966" s="84">
        <v>3</v>
      </c>
      <c r="D966" s="84">
        <v>5</v>
      </c>
      <c r="E966" s="85">
        <v>20555.72</v>
      </c>
      <c r="F966" s="85">
        <v>21144.560000000001</v>
      </c>
      <c r="G966" s="85">
        <v>588.84</v>
      </c>
    </row>
    <row r="967" spans="1:7" x14ac:dyDescent="0.3">
      <c r="A967" s="84">
        <v>2026</v>
      </c>
      <c r="B967" s="84" t="s">
        <v>395</v>
      </c>
      <c r="C967" s="84">
        <v>3</v>
      </c>
      <c r="D967" s="84">
        <v>6</v>
      </c>
      <c r="E967" s="85">
        <v>20555.72</v>
      </c>
      <c r="F967" s="85">
        <v>21341.26</v>
      </c>
      <c r="G967" s="85">
        <v>785.54</v>
      </c>
    </row>
    <row r="968" spans="1:7" x14ac:dyDescent="0.3">
      <c r="A968" s="84">
        <v>2026</v>
      </c>
      <c r="B968" s="84" t="s">
        <v>395</v>
      </c>
      <c r="C968" s="84">
        <v>3</v>
      </c>
      <c r="D968" s="84">
        <v>7</v>
      </c>
      <c r="E968" s="85">
        <v>20555.72</v>
      </c>
      <c r="F968" s="85">
        <v>21537.96</v>
      </c>
      <c r="G968" s="85">
        <v>982.24</v>
      </c>
    </row>
    <row r="969" spans="1:7" x14ac:dyDescent="0.3">
      <c r="A969" s="84">
        <v>2026</v>
      </c>
      <c r="B969" s="84" t="s">
        <v>395</v>
      </c>
      <c r="C969" s="84">
        <v>3</v>
      </c>
      <c r="D969" s="84">
        <v>8</v>
      </c>
      <c r="E969" s="85">
        <v>20555.72</v>
      </c>
      <c r="F969" s="85">
        <v>21734.240000000002</v>
      </c>
      <c r="G969" s="85">
        <v>1178.52</v>
      </c>
    </row>
    <row r="970" spans="1:7" x14ac:dyDescent="0.3">
      <c r="A970" s="84">
        <v>2026</v>
      </c>
      <c r="B970" s="84" t="s">
        <v>395</v>
      </c>
      <c r="C970" s="84">
        <v>3</v>
      </c>
      <c r="D970" s="84">
        <v>9</v>
      </c>
      <c r="E970" s="85">
        <v>20555.72</v>
      </c>
      <c r="F970" s="85">
        <v>21931.360000000001</v>
      </c>
      <c r="G970" s="85">
        <v>1375.64</v>
      </c>
    </row>
    <row r="971" spans="1:7" x14ac:dyDescent="0.3">
      <c r="A971" s="84">
        <v>2026</v>
      </c>
      <c r="B971" s="84" t="s">
        <v>395</v>
      </c>
      <c r="C971" s="84">
        <v>3</v>
      </c>
      <c r="D971" s="84">
        <v>10</v>
      </c>
      <c r="E971" s="85">
        <v>20555.72</v>
      </c>
      <c r="F971" s="85">
        <v>22127.78</v>
      </c>
      <c r="G971" s="85">
        <v>1572.06</v>
      </c>
    </row>
    <row r="972" spans="1:7" x14ac:dyDescent="0.3">
      <c r="A972" s="84">
        <v>2026</v>
      </c>
      <c r="B972" s="84" t="s">
        <v>395</v>
      </c>
      <c r="C972" s="84">
        <v>3</v>
      </c>
      <c r="D972" s="84">
        <v>11</v>
      </c>
      <c r="E972" s="85">
        <v>20555.72</v>
      </c>
      <c r="F972" s="85">
        <v>22520.34</v>
      </c>
      <c r="G972" s="85">
        <v>1964.62</v>
      </c>
    </row>
    <row r="973" spans="1:7" x14ac:dyDescent="0.3">
      <c r="A973" s="84">
        <v>2026</v>
      </c>
      <c r="B973" s="84" t="s">
        <v>395</v>
      </c>
      <c r="C973" s="84">
        <v>3</v>
      </c>
      <c r="D973" s="84">
        <v>12</v>
      </c>
      <c r="E973" s="85">
        <v>20555.72</v>
      </c>
      <c r="F973" s="85">
        <v>22913.88</v>
      </c>
      <c r="G973" s="85">
        <v>2358.16</v>
      </c>
    </row>
    <row r="974" spans="1:7" x14ac:dyDescent="0.3">
      <c r="A974" s="84">
        <v>2026</v>
      </c>
      <c r="B974" s="84" t="s">
        <v>395</v>
      </c>
      <c r="C974" s="84">
        <v>3</v>
      </c>
      <c r="D974" s="84">
        <v>13</v>
      </c>
      <c r="E974" s="85">
        <v>20555.72</v>
      </c>
      <c r="F974" s="85">
        <v>23307.14</v>
      </c>
      <c r="G974" s="85">
        <v>2751.42</v>
      </c>
    </row>
    <row r="975" spans="1:7" x14ac:dyDescent="0.3">
      <c r="A975" s="84">
        <v>2026</v>
      </c>
      <c r="B975" s="84" t="s">
        <v>395</v>
      </c>
      <c r="C975" s="84">
        <v>3</v>
      </c>
      <c r="D975" s="84">
        <v>14</v>
      </c>
      <c r="E975" s="85">
        <v>20555.72</v>
      </c>
      <c r="F975" s="85">
        <v>23700.959999999999</v>
      </c>
      <c r="G975" s="85">
        <v>3145.24</v>
      </c>
    </row>
    <row r="976" spans="1:7" x14ac:dyDescent="0.3">
      <c r="A976" s="84">
        <v>2026</v>
      </c>
      <c r="B976" s="84" t="s">
        <v>395</v>
      </c>
      <c r="C976" s="84">
        <v>3</v>
      </c>
      <c r="D976" s="84">
        <v>15</v>
      </c>
      <c r="E976" s="85">
        <v>20555.72</v>
      </c>
      <c r="F976" s="85">
        <v>24093.24</v>
      </c>
      <c r="G976" s="85">
        <v>3537.52</v>
      </c>
    </row>
    <row r="977" spans="1:7" x14ac:dyDescent="0.3">
      <c r="A977" s="84">
        <v>2026</v>
      </c>
      <c r="B977" s="84" t="s">
        <v>395</v>
      </c>
      <c r="C977" s="84">
        <v>3</v>
      </c>
      <c r="D977" s="84">
        <v>16</v>
      </c>
      <c r="E977" s="85">
        <v>20555.72</v>
      </c>
      <c r="F977" s="85">
        <v>24487.200000000001</v>
      </c>
      <c r="G977" s="85">
        <v>3931.48</v>
      </c>
    </row>
    <row r="978" spans="1:7" x14ac:dyDescent="0.3">
      <c r="A978" s="84">
        <v>2026</v>
      </c>
      <c r="B978" s="84" t="s">
        <v>395</v>
      </c>
      <c r="C978" s="84">
        <v>3</v>
      </c>
      <c r="D978" s="84">
        <v>17</v>
      </c>
      <c r="E978" s="85">
        <v>20555.72</v>
      </c>
      <c r="F978" s="85">
        <v>24879.94</v>
      </c>
      <c r="G978" s="85">
        <v>4324.22</v>
      </c>
    </row>
    <row r="979" spans="1:7" x14ac:dyDescent="0.3">
      <c r="A979" s="84">
        <v>2026</v>
      </c>
      <c r="B979" s="84" t="s">
        <v>395</v>
      </c>
      <c r="C979" s="84">
        <v>3</v>
      </c>
      <c r="D979" s="84">
        <v>18</v>
      </c>
      <c r="E979" s="85">
        <v>20555.72</v>
      </c>
      <c r="F979" s="85">
        <v>25273.02</v>
      </c>
      <c r="G979" s="85">
        <v>4717.3</v>
      </c>
    </row>
    <row r="980" spans="1:7" x14ac:dyDescent="0.3">
      <c r="A980" s="84">
        <v>2026</v>
      </c>
      <c r="B980" s="84" t="s">
        <v>395</v>
      </c>
      <c r="C980" s="84">
        <v>3</v>
      </c>
      <c r="D980" s="84">
        <v>19</v>
      </c>
      <c r="E980" s="85">
        <v>20555.72</v>
      </c>
      <c r="F980" s="85">
        <v>25666.14</v>
      </c>
      <c r="G980" s="85">
        <v>5110.42</v>
      </c>
    </row>
    <row r="981" spans="1:7" x14ac:dyDescent="0.3">
      <c r="A981" s="84">
        <v>2026</v>
      </c>
      <c r="B981" s="84" t="s">
        <v>395</v>
      </c>
      <c r="C981" s="84">
        <v>3</v>
      </c>
      <c r="D981" s="84">
        <v>20</v>
      </c>
      <c r="E981" s="85">
        <v>20555.72</v>
      </c>
      <c r="F981" s="85">
        <v>26059.119999999999</v>
      </c>
      <c r="G981" s="85">
        <v>5503.4</v>
      </c>
    </row>
    <row r="982" spans="1:7" x14ac:dyDescent="0.3">
      <c r="A982" s="84">
        <v>2026</v>
      </c>
      <c r="B982" s="84" t="s">
        <v>395</v>
      </c>
      <c r="C982" s="84">
        <v>3</v>
      </c>
      <c r="D982" s="84">
        <v>21</v>
      </c>
      <c r="E982" s="85">
        <v>20555.72</v>
      </c>
      <c r="F982" s="85">
        <v>26648.52</v>
      </c>
      <c r="G982" s="85">
        <v>6092.8</v>
      </c>
    </row>
    <row r="983" spans="1:7" x14ac:dyDescent="0.3">
      <c r="A983" s="84">
        <v>2026</v>
      </c>
      <c r="B983" s="84" t="s">
        <v>395</v>
      </c>
      <c r="C983" s="84">
        <v>3</v>
      </c>
      <c r="D983" s="84">
        <v>22</v>
      </c>
      <c r="E983" s="85">
        <v>20555.72</v>
      </c>
      <c r="F983" s="85">
        <v>27287.200000000001</v>
      </c>
      <c r="G983" s="85">
        <v>6731.48</v>
      </c>
    </row>
    <row r="984" spans="1:7" x14ac:dyDescent="0.3">
      <c r="A984" s="84">
        <v>2026</v>
      </c>
      <c r="B984" s="84" t="s">
        <v>395</v>
      </c>
      <c r="C984" s="84">
        <v>3</v>
      </c>
      <c r="D984" s="84">
        <v>23</v>
      </c>
      <c r="E984" s="85">
        <v>20555.72</v>
      </c>
      <c r="F984" s="85">
        <v>27927.7</v>
      </c>
      <c r="G984" s="85">
        <v>7371.98</v>
      </c>
    </row>
    <row r="985" spans="1:7" x14ac:dyDescent="0.3">
      <c r="A985" s="84">
        <v>2026</v>
      </c>
      <c r="B985" s="84" t="s">
        <v>395</v>
      </c>
      <c r="C985" s="84">
        <v>3</v>
      </c>
      <c r="D985" s="84">
        <v>24</v>
      </c>
      <c r="E985" s="85">
        <v>20555.72</v>
      </c>
      <c r="F985" s="85">
        <v>28566.94</v>
      </c>
      <c r="G985" s="85">
        <v>8011.22</v>
      </c>
    </row>
    <row r="986" spans="1:7" x14ac:dyDescent="0.3">
      <c r="A986" s="84">
        <v>2026</v>
      </c>
      <c r="B986" s="84" t="s">
        <v>395</v>
      </c>
      <c r="C986" s="84">
        <v>3</v>
      </c>
      <c r="D986" s="84">
        <v>25</v>
      </c>
      <c r="E986" s="85">
        <v>20555.72</v>
      </c>
      <c r="F986" s="85">
        <v>29207.02</v>
      </c>
      <c r="G986" s="85">
        <v>8651.2999999999993</v>
      </c>
    </row>
    <row r="987" spans="1:7" x14ac:dyDescent="0.3">
      <c r="A987" s="84">
        <v>2026</v>
      </c>
      <c r="B987" s="84" t="s">
        <v>395</v>
      </c>
      <c r="C987" s="84">
        <v>3</v>
      </c>
      <c r="D987" s="84">
        <v>26</v>
      </c>
      <c r="E987" s="85">
        <v>20555.72</v>
      </c>
      <c r="F987" s="85">
        <v>30586.3</v>
      </c>
      <c r="G987" s="85">
        <v>10030.58</v>
      </c>
    </row>
    <row r="988" spans="1:7" x14ac:dyDescent="0.3">
      <c r="A988" s="84">
        <v>2026</v>
      </c>
      <c r="B988" s="84" t="s">
        <v>395</v>
      </c>
      <c r="C988" s="84">
        <v>3</v>
      </c>
      <c r="D988" s="84">
        <v>27</v>
      </c>
      <c r="E988" s="85">
        <v>20555.72</v>
      </c>
      <c r="F988" s="85">
        <v>32295.56</v>
      </c>
      <c r="G988" s="85">
        <v>11739.84</v>
      </c>
    </row>
    <row r="989" spans="1:7" x14ac:dyDescent="0.3">
      <c r="A989" s="84">
        <v>2026</v>
      </c>
      <c r="B989" s="84" t="s">
        <v>395</v>
      </c>
      <c r="C989" s="84">
        <v>3</v>
      </c>
      <c r="D989" s="84">
        <v>28</v>
      </c>
      <c r="E989" s="85">
        <v>20555.72</v>
      </c>
      <c r="F989" s="85">
        <v>32936.06</v>
      </c>
      <c r="G989" s="85">
        <v>12380.34</v>
      </c>
    </row>
    <row r="990" spans="1:7" x14ac:dyDescent="0.3">
      <c r="A990" s="84">
        <v>2026</v>
      </c>
      <c r="B990" s="84" t="s">
        <v>395</v>
      </c>
      <c r="C990" s="84">
        <v>3</v>
      </c>
      <c r="D990" s="84">
        <v>29</v>
      </c>
      <c r="E990" s="85">
        <v>20555.72</v>
      </c>
      <c r="F990" s="85">
        <v>33575.4</v>
      </c>
      <c r="G990" s="85">
        <v>13019.68</v>
      </c>
    </row>
    <row r="991" spans="1:7" x14ac:dyDescent="0.3">
      <c r="A991" s="84">
        <v>2026</v>
      </c>
      <c r="B991" s="84" t="s">
        <v>395</v>
      </c>
      <c r="C991" s="84">
        <v>3</v>
      </c>
      <c r="D991" s="84">
        <v>30</v>
      </c>
      <c r="E991" s="85">
        <v>20555.72</v>
      </c>
      <c r="F991" s="85">
        <v>35323.760000000002</v>
      </c>
      <c r="G991" s="85">
        <v>14768.04</v>
      </c>
    </row>
    <row r="992" spans="1:7" x14ac:dyDescent="0.3">
      <c r="A992" s="84">
        <v>2026</v>
      </c>
      <c r="B992" s="84" t="s">
        <v>395</v>
      </c>
      <c r="C992" s="84">
        <v>4</v>
      </c>
      <c r="D992" s="84">
        <v>1</v>
      </c>
      <c r="E992" s="85">
        <v>20849.86</v>
      </c>
      <c r="F992" s="85">
        <v>19966.32</v>
      </c>
      <c r="G992" s="85">
        <v>-883.54</v>
      </c>
    </row>
    <row r="993" spans="1:7" x14ac:dyDescent="0.3">
      <c r="A993" s="84">
        <v>2026</v>
      </c>
      <c r="B993" s="84" t="s">
        <v>395</v>
      </c>
      <c r="C993" s="84">
        <v>4</v>
      </c>
      <c r="D993" s="84">
        <v>2</v>
      </c>
      <c r="E993" s="85">
        <v>20849.86</v>
      </c>
      <c r="F993" s="85">
        <v>20260.740000000002</v>
      </c>
      <c r="G993" s="85">
        <v>-589.12</v>
      </c>
    </row>
    <row r="994" spans="1:7" x14ac:dyDescent="0.3">
      <c r="A994" s="84">
        <v>2026</v>
      </c>
      <c r="B994" s="84" t="s">
        <v>395</v>
      </c>
      <c r="C994" s="84">
        <v>4</v>
      </c>
      <c r="D994" s="84">
        <v>3</v>
      </c>
      <c r="E994" s="85">
        <v>20849.86</v>
      </c>
      <c r="F994" s="85">
        <v>20555.72</v>
      </c>
      <c r="G994" s="85">
        <v>-294.14</v>
      </c>
    </row>
    <row r="995" spans="1:7" x14ac:dyDescent="0.3">
      <c r="A995" s="84">
        <v>2026</v>
      </c>
      <c r="B995" s="84" t="s">
        <v>395</v>
      </c>
      <c r="C995" s="84">
        <v>4</v>
      </c>
      <c r="D995" s="84">
        <v>4</v>
      </c>
      <c r="E995" s="85">
        <v>20849.86</v>
      </c>
      <c r="F995" s="85">
        <v>20849.86</v>
      </c>
      <c r="G995" s="85">
        <v>0</v>
      </c>
    </row>
    <row r="996" spans="1:7" x14ac:dyDescent="0.3">
      <c r="A996" s="84">
        <v>2026</v>
      </c>
      <c r="B996" s="84" t="s">
        <v>395</v>
      </c>
      <c r="C996" s="84">
        <v>4</v>
      </c>
      <c r="D996" s="84">
        <v>5</v>
      </c>
      <c r="E996" s="85">
        <v>20849.86</v>
      </c>
      <c r="F996" s="85">
        <v>21144.560000000001</v>
      </c>
      <c r="G996" s="85">
        <v>294.7</v>
      </c>
    </row>
    <row r="997" spans="1:7" x14ac:dyDescent="0.3">
      <c r="A997" s="84">
        <v>2026</v>
      </c>
      <c r="B997" s="84" t="s">
        <v>395</v>
      </c>
      <c r="C997" s="84">
        <v>4</v>
      </c>
      <c r="D997" s="84">
        <v>6</v>
      </c>
      <c r="E997" s="85">
        <v>20849.86</v>
      </c>
      <c r="F997" s="85">
        <v>21341.26</v>
      </c>
      <c r="G997" s="85">
        <v>491.4</v>
      </c>
    </row>
    <row r="998" spans="1:7" x14ac:dyDescent="0.3">
      <c r="A998" s="84">
        <v>2026</v>
      </c>
      <c r="B998" s="84" t="s">
        <v>395</v>
      </c>
      <c r="C998" s="84">
        <v>4</v>
      </c>
      <c r="D998" s="84">
        <v>7</v>
      </c>
      <c r="E998" s="85">
        <v>20849.86</v>
      </c>
      <c r="F998" s="85">
        <v>21537.96</v>
      </c>
      <c r="G998" s="85">
        <v>688.1</v>
      </c>
    </row>
    <row r="999" spans="1:7" x14ac:dyDescent="0.3">
      <c r="A999" s="84">
        <v>2026</v>
      </c>
      <c r="B999" s="84" t="s">
        <v>395</v>
      </c>
      <c r="C999" s="84">
        <v>4</v>
      </c>
      <c r="D999" s="84">
        <v>8</v>
      </c>
      <c r="E999" s="85">
        <v>20849.86</v>
      </c>
      <c r="F999" s="85">
        <v>21734.240000000002</v>
      </c>
      <c r="G999" s="85">
        <v>884.38</v>
      </c>
    </row>
    <row r="1000" spans="1:7" x14ac:dyDescent="0.3">
      <c r="A1000" s="84">
        <v>2026</v>
      </c>
      <c r="B1000" s="84" t="s">
        <v>395</v>
      </c>
      <c r="C1000" s="84">
        <v>4</v>
      </c>
      <c r="D1000" s="84">
        <v>9</v>
      </c>
      <c r="E1000" s="85">
        <v>20849.86</v>
      </c>
      <c r="F1000" s="85">
        <v>21931.360000000001</v>
      </c>
      <c r="G1000" s="85">
        <v>1081.5</v>
      </c>
    </row>
    <row r="1001" spans="1:7" x14ac:dyDescent="0.3">
      <c r="A1001" s="84">
        <v>2026</v>
      </c>
      <c r="B1001" s="84" t="s">
        <v>395</v>
      </c>
      <c r="C1001" s="84">
        <v>4</v>
      </c>
      <c r="D1001" s="84">
        <v>10</v>
      </c>
      <c r="E1001" s="85">
        <v>20849.86</v>
      </c>
      <c r="F1001" s="85">
        <v>22127.78</v>
      </c>
      <c r="G1001" s="85">
        <v>1277.92</v>
      </c>
    </row>
    <row r="1002" spans="1:7" x14ac:dyDescent="0.3">
      <c r="A1002" s="84">
        <v>2026</v>
      </c>
      <c r="B1002" s="84" t="s">
        <v>395</v>
      </c>
      <c r="C1002" s="84">
        <v>4</v>
      </c>
      <c r="D1002" s="84">
        <v>11</v>
      </c>
      <c r="E1002" s="85">
        <v>20849.86</v>
      </c>
      <c r="F1002" s="85">
        <v>22520.34</v>
      </c>
      <c r="G1002" s="85">
        <v>1670.48</v>
      </c>
    </row>
    <row r="1003" spans="1:7" x14ac:dyDescent="0.3">
      <c r="A1003" s="84">
        <v>2026</v>
      </c>
      <c r="B1003" s="84" t="s">
        <v>395</v>
      </c>
      <c r="C1003" s="84">
        <v>4</v>
      </c>
      <c r="D1003" s="84">
        <v>12</v>
      </c>
      <c r="E1003" s="85">
        <v>20849.86</v>
      </c>
      <c r="F1003" s="85">
        <v>22913.88</v>
      </c>
      <c r="G1003" s="85">
        <v>2064.02</v>
      </c>
    </row>
    <row r="1004" spans="1:7" x14ac:dyDescent="0.3">
      <c r="A1004" s="84">
        <v>2026</v>
      </c>
      <c r="B1004" s="84" t="s">
        <v>395</v>
      </c>
      <c r="C1004" s="84">
        <v>4</v>
      </c>
      <c r="D1004" s="84">
        <v>13</v>
      </c>
      <c r="E1004" s="85">
        <v>20849.86</v>
      </c>
      <c r="F1004" s="85">
        <v>23307.14</v>
      </c>
      <c r="G1004" s="85">
        <v>2457.2800000000002</v>
      </c>
    </row>
    <row r="1005" spans="1:7" x14ac:dyDescent="0.3">
      <c r="A1005" s="84">
        <v>2026</v>
      </c>
      <c r="B1005" s="84" t="s">
        <v>395</v>
      </c>
      <c r="C1005" s="84">
        <v>4</v>
      </c>
      <c r="D1005" s="84">
        <v>14</v>
      </c>
      <c r="E1005" s="85">
        <v>20849.86</v>
      </c>
      <c r="F1005" s="85">
        <v>23700.959999999999</v>
      </c>
      <c r="G1005" s="85">
        <v>2851.1</v>
      </c>
    </row>
    <row r="1006" spans="1:7" x14ac:dyDescent="0.3">
      <c r="A1006" s="84">
        <v>2026</v>
      </c>
      <c r="B1006" s="84" t="s">
        <v>395</v>
      </c>
      <c r="C1006" s="84">
        <v>4</v>
      </c>
      <c r="D1006" s="84">
        <v>15</v>
      </c>
      <c r="E1006" s="85">
        <v>20849.86</v>
      </c>
      <c r="F1006" s="85">
        <v>24093.24</v>
      </c>
      <c r="G1006" s="85">
        <v>3243.38</v>
      </c>
    </row>
    <row r="1007" spans="1:7" x14ac:dyDescent="0.3">
      <c r="A1007" s="84">
        <v>2026</v>
      </c>
      <c r="B1007" s="84" t="s">
        <v>395</v>
      </c>
      <c r="C1007" s="84">
        <v>4</v>
      </c>
      <c r="D1007" s="84">
        <v>16</v>
      </c>
      <c r="E1007" s="85">
        <v>20849.86</v>
      </c>
      <c r="F1007" s="85">
        <v>24487.200000000001</v>
      </c>
      <c r="G1007" s="85">
        <v>3637.34</v>
      </c>
    </row>
    <row r="1008" spans="1:7" x14ac:dyDescent="0.3">
      <c r="A1008" s="84">
        <v>2026</v>
      </c>
      <c r="B1008" s="84" t="s">
        <v>395</v>
      </c>
      <c r="C1008" s="84">
        <v>4</v>
      </c>
      <c r="D1008" s="84">
        <v>17</v>
      </c>
      <c r="E1008" s="85">
        <v>20849.86</v>
      </c>
      <c r="F1008" s="85">
        <v>24879.94</v>
      </c>
      <c r="G1008" s="85">
        <v>4030.08</v>
      </c>
    </row>
    <row r="1009" spans="1:7" x14ac:dyDescent="0.3">
      <c r="A1009" s="84">
        <v>2026</v>
      </c>
      <c r="B1009" s="84" t="s">
        <v>395</v>
      </c>
      <c r="C1009" s="84">
        <v>4</v>
      </c>
      <c r="D1009" s="84">
        <v>18</v>
      </c>
      <c r="E1009" s="85">
        <v>20849.86</v>
      </c>
      <c r="F1009" s="85">
        <v>25273.02</v>
      </c>
      <c r="G1009" s="85">
        <v>4423.16</v>
      </c>
    </row>
    <row r="1010" spans="1:7" x14ac:dyDescent="0.3">
      <c r="A1010" s="84">
        <v>2026</v>
      </c>
      <c r="B1010" s="84" t="s">
        <v>395</v>
      </c>
      <c r="C1010" s="84">
        <v>4</v>
      </c>
      <c r="D1010" s="84">
        <v>19</v>
      </c>
      <c r="E1010" s="85">
        <v>20849.86</v>
      </c>
      <c r="F1010" s="85">
        <v>25666.14</v>
      </c>
      <c r="G1010" s="85">
        <v>4816.28</v>
      </c>
    </row>
    <row r="1011" spans="1:7" x14ac:dyDescent="0.3">
      <c r="A1011" s="84">
        <v>2026</v>
      </c>
      <c r="B1011" s="84" t="s">
        <v>395</v>
      </c>
      <c r="C1011" s="84">
        <v>4</v>
      </c>
      <c r="D1011" s="84">
        <v>20</v>
      </c>
      <c r="E1011" s="85">
        <v>20849.86</v>
      </c>
      <c r="F1011" s="85">
        <v>26059.119999999999</v>
      </c>
      <c r="G1011" s="85">
        <v>5209.26</v>
      </c>
    </row>
    <row r="1012" spans="1:7" x14ac:dyDescent="0.3">
      <c r="A1012" s="84">
        <v>2026</v>
      </c>
      <c r="B1012" s="84" t="s">
        <v>395</v>
      </c>
      <c r="C1012" s="84">
        <v>4</v>
      </c>
      <c r="D1012" s="84">
        <v>21</v>
      </c>
      <c r="E1012" s="85">
        <v>20849.86</v>
      </c>
      <c r="F1012" s="85">
        <v>26648.52</v>
      </c>
      <c r="G1012" s="85">
        <v>5798.66</v>
      </c>
    </row>
    <row r="1013" spans="1:7" x14ac:dyDescent="0.3">
      <c r="A1013" s="84">
        <v>2026</v>
      </c>
      <c r="B1013" s="84" t="s">
        <v>395</v>
      </c>
      <c r="C1013" s="84">
        <v>4</v>
      </c>
      <c r="D1013" s="84">
        <v>22</v>
      </c>
      <c r="E1013" s="85">
        <v>20849.86</v>
      </c>
      <c r="F1013" s="85">
        <v>27287.200000000001</v>
      </c>
      <c r="G1013" s="85">
        <v>6437.34</v>
      </c>
    </row>
    <row r="1014" spans="1:7" x14ac:dyDescent="0.3">
      <c r="A1014" s="84">
        <v>2026</v>
      </c>
      <c r="B1014" s="84" t="s">
        <v>395</v>
      </c>
      <c r="C1014" s="84">
        <v>4</v>
      </c>
      <c r="D1014" s="84">
        <v>23</v>
      </c>
      <c r="E1014" s="85">
        <v>20849.86</v>
      </c>
      <c r="F1014" s="85">
        <v>27927.7</v>
      </c>
      <c r="G1014" s="85">
        <v>7077.84</v>
      </c>
    </row>
    <row r="1015" spans="1:7" x14ac:dyDescent="0.3">
      <c r="A1015" s="84">
        <v>2026</v>
      </c>
      <c r="B1015" s="84" t="s">
        <v>395</v>
      </c>
      <c r="C1015" s="84">
        <v>4</v>
      </c>
      <c r="D1015" s="84">
        <v>24</v>
      </c>
      <c r="E1015" s="85">
        <v>20849.86</v>
      </c>
      <c r="F1015" s="85">
        <v>28566.94</v>
      </c>
      <c r="G1015" s="85">
        <v>7717.08</v>
      </c>
    </row>
    <row r="1016" spans="1:7" x14ac:dyDescent="0.3">
      <c r="A1016" s="84">
        <v>2026</v>
      </c>
      <c r="B1016" s="84" t="s">
        <v>395</v>
      </c>
      <c r="C1016" s="84">
        <v>4</v>
      </c>
      <c r="D1016" s="84">
        <v>25</v>
      </c>
      <c r="E1016" s="85">
        <v>20849.86</v>
      </c>
      <c r="F1016" s="85">
        <v>29207.02</v>
      </c>
      <c r="G1016" s="85">
        <v>8357.16</v>
      </c>
    </row>
    <row r="1017" spans="1:7" x14ac:dyDescent="0.3">
      <c r="A1017" s="84">
        <v>2026</v>
      </c>
      <c r="B1017" s="84" t="s">
        <v>395</v>
      </c>
      <c r="C1017" s="84">
        <v>4</v>
      </c>
      <c r="D1017" s="84">
        <v>26</v>
      </c>
      <c r="E1017" s="85">
        <v>20849.86</v>
      </c>
      <c r="F1017" s="85">
        <v>30586.3</v>
      </c>
      <c r="G1017" s="85">
        <v>9736.44</v>
      </c>
    </row>
    <row r="1018" spans="1:7" x14ac:dyDescent="0.3">
      <c r="A1018" s="84">
        <v>2026</v>
      </c>
      <c r="B1018" s="84" t="s">
        <v>395</v>
      </c>
      <c r="C1018" s="84">
        <v>4</v>
      </c>
      <c r="D1018" s="84">
        <v>27</v>
      </c>
      <c r="E1018" s="85">
        <v>20849.86</v>
      </c>
      <c r="F1018" s="85">
        <v>32295.56</v>
      </c>
      <c r="G1018" s="85">
        <v>11445.7</v>
      </c>
    </row>
    <row r="1019" spans="1:7" x14ac:dyDescent="0.3">
      <c r="A1019" s="84">
        <v>2026</v>
      </c>
      <c r="B1019" s="84" t="s">
        <v>395</v>
      </c>
      <c r="C1019" s="84">
        <v>4</v>
      </c>
      <c r="D1019" s="84">
        <v>28</v>
      </c>
      <c r="E1019" s="85">
        <v>20849.86</v>
      </c>
      <c r="F1019" s="85">
        <v>32936.06</v>
      </c>
      <c r="G1019" s="85">
        <v>12086.2</v>
      </c>
    </row>
    <row r="1020" spans="1:7" x14ac:dyDescent="0.3">
      <c r="A1020" s="84">
        <v>2026</v>
      </c>
      <c r="B1020" s="84" t="s">
        <v>395</v>
      </c>
      <c r="C1020" s="84">
        <v>4</v>
      </c>
      <c r="D1020" s="84">
        <v>29</v>
      </c>
      <c r="E1020" s="85">
        <v>20849.86</v>
      </c>
      <c r="F1020" s="85">
        <v>33575.4</v>
      </c>
      <c r="G1020" s="85">
        <v>12725.54</v>
      </c>
    </row>
    <row r="1021" spans="1:7" x14ac:dyDescent="0.3">
      <c r="A1021" s="84">
        <v>2026</v>
      </c>
      <c r="B1021" s="84" t="s">
        <v>395</v>
      </c>
      <c r="C1021" s="84">
        <v>4</v>
      </c>
      <c r="D1021" s="84">
        <v>30</v>
      </c>
      <c r="E1021" s="85">
        <v>20849.86</v>
      </c>
      <c r="F1021" s="85">
        <v>35323.760000000002</v>
      </c>
      <c r="G1021" s="85">
        <v>14473.9</v>
      </c>
    </row>
    <row r="1022" spans="1:7" x14ac:dyDescent="0.3">
      <c r="A1022" s="84">
        <v>2026</v>
      </c>
      <c r="B1022" s="84" t="s">
        <v>395</v>
      </c>
      <c r="C1022" s="84">
        <v>5</v>
      </c>
      <c r="D1022" s="84">
        <v>1</v>
      </c>
      <c r="E1022" s="85">
        <v>21144.560000000001</v>
      </c>
      <c r="F1022" s="85">
        <v>19966.32</v>
      </c>
      <c r="G1022" s="85">
        <v>-1178.24</v>
      </c>
    </row>
    <row r="1023" spans="1:7" x14ac:dyDescent="0.3">
      <c r="A1023" s="84">
        <v>2026</v>
      </c>
      <c r="B1023" s="84" t="s">
        <v>395</v>
      </c>
      <c r="C1023" s="84">
        <v>5</v>
      </c>
      <c r="D1023" s="84">
        <v>2</v>
      </c>
      <c r="E1023" s="85">
        <v>21144.560000000001</v>
      </c>
      <c r="F1023" s="85">
        <v>20260.740000000002</v>
      </c>
      <c r="G1023" s="85">
        <v>-883.82</v>
      </c>
    </row>
    <row r="1024" spans="1:7" x14ac:dyDescent="0.3">
      <c r="A1024" s="84">
        <v>2026</v>
      </c>
      <c r="B1024" s="84" t="s">
        <v>395</v>
      </c>
      <c r="C1024" s="84">
        <v>5</v>
      </c>
      <c r="D1024" s="84">
        <v>3</v>
      </c>
      <c r="E1024" s="85">
        <v>21144.560000000001</v>
      </c>
      <c r="F1024" s="85">
        <v>20555.72</v>
      </c>
      <c r="G1024" s="85">
        <v>-588.84</v>
      </c>
    </row>
    <row r="1025" spans="1:7" x14ac:dyDescent="0.3">
      <c r="A1025" s="84">
        <v>2026</v>
      </c>
      <c r="B1025" s="84" t="s">
        <v>395</v>
      </c>
      <c r="C1025" s="84">
        <v>5</v>
      </c>
      <c r="D1025" s="84">
        <v>4</v>
      </c>
      <c r="E1025" s="85">
        <v>21144.560000000001</v>
      </c>
      <c r="F1025" s="85">
        <v>20849.86</v>
      </c>
      <c r="G1025" s="85">
        <v>-294.7</v>
      </c>
    </row>
    <row r="1026" spans="1:7" x14ac:dyDescent="0.3">
      <c r="A1026" s="84">
        <v>2026</v>
      </c>
      <c r="B1026" s="84" t="s">
        <v>395</v>
      </c>
      <c r="C1026" s="84">
        <v>5</v>
      </c>
      <c r="D1026" s="84">
        <v>5</v>
      </c>
      <c r="E1026" s="85">
        <v>21144.560000000001</v>
      </c>
      <c r="F1026" s="85">
        <v>21144.560000000001</v>
      </c>
      <c r="G1026" s="85">
        <v>0</v>
      </c>
    </row>
    <row r="1027" spans="1:7" x14ac:dyDescent="0.3">
      <c r="A1027" s="84">
        <v>2026</v>
      </c>
      <c r="B1027" s="84" t="s">
        <v>395</v>
      </c>
      <c r="C1027" s="84">
        <v>5</v>
      </c>
      <c r="D1027" s="84">
        <v>6</v>
      </c>
      <c r="E1027" s="85">
        <v>21144.560000000001</v>
      </c>
      <c r="F1027" s="85">
        <v>21341.26</v>
      </c>
      <c r="G1027" s="85">
        <v>196.7</v>
      </c>
    </row>
    <row r="1028" spans="1:7" x14ac:dyDescent="0.3">
      <c r="A1028" s="84">
        <v>2026</v>
      </c>
      <c r="B1028" s="84" t="s">
        <v>395</v>
      </c>
      <c r="C1028" s="84">
        <v>5</v>
      </c>
      <c r="D1028" s="84">
        <v>7</v>
      </c>
      <c r="E1028" s="85">
        <v>21144.560000000001</v>
      </c>
      <c r="F1028" s="85">
        <v>21537.96</v>
      </c>
      <c r="G1028" s="85">
        <v>393.4</v>
      </c>
    </row>
    <row r="1029" spans="1:7" x14ac:dyDescent="0.3">
      <c r="A1029" s="84">
        <v>2026</v>
      </c>
      <c r="B1029" s="84" t="s">
        <v>395</v>
      </c>
      <c r="C1029" s="84">
        <v>5</v>
      </c>
      <c r="D1029" s="84">
        <v>8</v>
      </c>
      <c r="E1029" s="85">
        <v>21144.560000000001</v>
      </c>
      <c r="F1029" s="85">
        <v>21734.240000000002</v>
      </c>
      <c r="G1029" s="85">
        <v>589.67999999999995</v>
      </c>
    </row>
    <row r="1030" spans="1:7" x14ac:dyDescent="0.3">
      <c r="A1030" s="84">
        <v>2026</v>
      </c>
      <c r="B1030" s="84" t="s">
        <v>395</v>
      </c>
      <c r="C1030" s="84">
        <v>5</v>
      </c>
      <c r="D1030" s="84">
        <v>9</v>
      </c>
      <c r="E1030" s="85">
        <v>21144.560000000001</v>
      </c>
      <c r="F1030" s="85">
        <v>21931.360000000001</v>
      </c>
      <c r="G1030" s="85">
        <v>786.8</v>
      </c>
    </row>
    <row r="1031" spans="1:7" x14ac:dyDescent="0.3">
      <c r="A1031" s="84">
        <v>2026</v>
      </c>
      <c r="B1031" s="84" t="s">
        <v>395</v>
      </c>
      <c r="C1031" s="84">
        <v>5</v>
      </c>
      <c r="D1031" s="84">
        <v>10</v>
      </c>
      <c r="E1031" s="85">
        <v>21144.560000000001</v>
      </c>
      <c r="F1031" s="85">
        <v>22127.78</v>
      </c>
      <c r="G1031" s="85">
        <v>983.22</v>
      </c>
    </row>
    <row r="1032" spans="1:7" x14ac:dyDescent="0.3">
      <c r="A1032" s="84">
        <v>2026</v>
      </c>
      <c r="B1032" s="84" t="s">
        <v>395</v>
      </c>
      <c r="C1032" s="84">
        <v>5</v>
      </c>
      <c r="D1032" s="84">
        <v>11</v>
      </c>
      <c r="E1032" s="85">
        <v>21144.560000000001</v>
      </c>
      <c r="F1032" s="85">
        <v>22520.34</v>
      </c>
      <c r="G1032" s="85">
        <v>1375.78</v>
      </c>
    </row>
    <row r="1033" spans="1:7" x14ac:dyDescent="0.3">
      <c r="A1033" s="84">
        <v>2026</v>
      </c>
      <c r="B1033" s="84" t="s">
        <v>395</v>
      </c>
      <c r="C1033" s="84">
        <v>5</v>
      </c>
      <c r="D1033" s="84">
        <v>12</v>
      </c>
      <c r="E1033" s="85">
        <v>21144.560000000001</v>
      </c>
      <c r="F1033" s="85">
        <v>22913.88</v>
      </c>
      <c r="G1033" s="85">
        <v>1769.32</v>
      </c>
    </row>
    <row r="1034" spans="1:7" x14ac:dyDescent="0.3">
      <c r="A1034" s="84">
        <v>2026</v>
      </c>
      <c r="B1034" s="84" t="s">
        <v>395</v>
      </c>
      <c r="C1034" s="84">
        <v>5</v>
      </c>
      <c r="D1034" s="84">
        <v>13</v>
      </c>
      <c r="E1034" s="85">
        <v>21144.560000000001</v>
      </c>
      <c r="F1034" s="85">
        <v>23307.14</v>
      </c>
      <c r="G1034" s="85">
        <v>2162.58</v>
      </c>
    </row>
    <row r="1035" spans="1:7" x14ac:dyDescent="0.3">
      <c r="A1035" s="84">
        <v>2026</v>
      </c>
      <c r="B1035" s="84" t="s">
        <v>395</v>
      </c>
      <c r="C1035" s="84">
        <v>5</v>
      </c>
      <c r="D1035" s="84">
        <v>14</v>
      </c>
      <c r="E1035" s="85">
        <v>21144.560000000001</v>
      </c>
      <c r="F1035" s="85">
        <v>23700.959999999999</v>
      </c>
      <c r="G1035" s="85">
        <v>2556.4</v>
      </c>
    </row>
    <row r="1036" spans="1:7" x14ac:dyDescent="0.3">
      <c r="A1036" s="84">
        <v>2026</v>
      </c>
      <c r="B1036" s="84" t="s">
        <v>395</v>
      </c>
      <c r="C1036" s="84">
        <v>5</v>
      </c>
      <c r="D1036" s="84">
        <v>15</v>
      </c>
      <c r="E1036" s="85">
        <v>21144.560000000001</v>
      </c>
      <c r="F1036" s="85">
        <v>24093.24</v>
      </c>
      <c r="G1036" s="85">
        <v>2948.68</v>
      </c>
    </row>
    <row r="1037" spans="1:7" x14ac:dyDescent="0.3">
      <c r="A1037" s="84">
        <v>2026</v>
      </c>
      <c r="B1037" s="84" t="s">
        <v>395</v>
      </c>
      <c r="C1037" s="84">
        <v>5</v>
      </c>
      <c r="D1037" s="84">
        <v>16</v>
      </c>
      <c r="E1037" s="85">
        <v>21144.560000000001</v>
      </c>
      <c r="F1037" s="85">
        <v>24487.200000000001</v>
      </c>
      <c r="G1037" s="85">
        <v>3342.64</v>
      </c>
    </row>
    <row r="1038" spans="1:7" x14ac:dyDescent="0.3">
      <c r="A1038" s="84">
        <v>2026</v>
      </c>
      <c r="B1038" s="84" t="s">
        <v>395</v>
      </c>
      <c r="C1038" s="84">
        <v>5</v>
      </c>
      <c r="D1038" s="84">
        <v>17</v>
      </c>
      <c r="E1038" s="85">
        <v>21144.560000000001</v>
      </c>
      <c r="F1038" s="85">
        <v>24879.94</v>
      </c>
      <c r="G1038" s="85">
        <v>3735.38</v>
      </c>
    </row>
    <row r="1039" spans="1:7" x14ac:dyDescent="0.3">
      <c r="A1039" s="84">
        <v>2026</v>
      </c>
      <c r="B1039" s="84" t="s">
        <v>395</v>
      </c>
      <c r="C1039" s="84">
        <v>5</v>
      </c>
      <c r="D1039" s="84">
        <v>18</v>
      </c>
      <c r="E1039" s="85">
        <v>21144.560000000001</v>
      </c>
      <c r="F1039" s="85">
        <v>25273.02</v>
      </c>
      <c r="G1039" s="85">
        <v>4128.46</v>
      </c>
    </row>
    <row r="1040" spans="1:7" x14ac:dyDescent="0.3">
      <c r="A1040" s="84">
        <v>2026</v>
      </c>
      <c r="B1040" s="84" t="s">
        <v>395</v>
      </c>
      <c r="C1040" s="84">
        <v>5</v>
      </c>
      <c r="D1040" s="84">
        <v>19</v>
      </c>
      <c r="E1040" s="85">
        <v>21144.560000000001</v>
      </c>
      <c r="F1040" s="85">
        <v>25666.14</v>
      </c>
      <c r="G1040" s="85">
        <v>4521.58</v>
      </c>
    </row>
    <row r="1041" spans="1:7" x14ac:dyDescent="0.3">
      <c r="A1041" s="84">
        <v>2026</v>
      </c>
      <c r="B1041" s="84" t="s">
        <v>395</v>
      </c>
      <c r="C1041" s="84">
        <v>5</v>
      </c>
      <c r="D1041" s="84">
        <v>20</v>
      </c>
      <c r="E1041" s="85">
        <v>21144.560000000001</v>
      </c>
      <c r="F1041" s="85">
        <v>26059.119999999999</v>
      </c>
      <c r="G1041" s="85">
        <v>4914.5600000000004</v>
      </c>
    </row>
    <row r="1042" spans="1:7" x14ac:dyDescent="0.3">
      <c r="A1042" s="84">
        <v>2026</v>
      </c>
      <c r="B1042" s="84" t="s">
        <v>395</v>
      </c>
      <c r="C1042" s="84">
        <v>5</v>
      </c>
      <c r="D1042" s="84">
        <v>21</v>
      </c>
      <c r="E1042" s="85">
        <v>21144.560000000001</v>
      </c>
      <c r="F1042" s="85">
        <v>26648.52</v>
      </c>
      <c r="G1042" s="85">
        <v>5503.96</v>
      </c>
    </row>
    <row r="1043" spans="1:7" x14ac:dyDescent="0.3">
      <c r="A1043" s="84">
        <v>2026</v>
      </c>
      <c r="B1043" s="84" t="s">
        <v>395</v>
      </c>
      <c r="C1043" s="84">
        <v>5</v>
      </c>
      <c r="D1043" s="84">
        <v>22</v>
      </c>
      <c r="E1043" s="85">
        <v>21144.560000000001</v>
      </c>
      <c r="F1043" s="85">
        <v>27287.200000000001</v>
      </c>
      <c r="G1043" s="85">
        <v>6142.64</v>
      </c>
    </row>
    <row r="1044" spans="1:7" x14ac:dyDescent="0.3">
      <c r="A1044" s="84">
        <v>2026</v>
      </c>
      <c r="B1044" s="84" t="s">
        <v>395</v>
      </c>
      <c r="C1044" s="84">
        <v>5</v>
      </c>
      <c r="D1044" s="84">
        <v>23</v>
      </c>
      <c r="E1044" s="85">
        <v>21144.560000000001</v>
      </c>
      <c r="F1044" s="85">
        <v>27927.7</v>
      </c>
      <c r="G1044" s="85">
        <v>6783.14</v>
      </c>
    </row>
    <row r="1045" spans="1:7" x14ac:dyDescent="0.3">
      <c r="A1045" s="84">
        <v>2026</v>
      </c>
      <c r="B1045" s="84" t="s">
        <v>395</v>
      </c>
      <c r="C1045" s="84">
        <v>5</v>
      </c>
      <c r="D1045" s="84">
        <v>24</v>
      </c>
      <c r="E1045" s="85">
        <v>21144.560000000001</v>
      </c>
      <c r="F1045" s="85">
        <v>28566.94</v>
      </c>
      <c r="G1045" s="85">
        <v>7422.38</v>
      </c>
    </row>
    <row r="1046" spans="1:7" x14ac:dyDescent="0.3">
      <c r="A1046" s="84">
        <v>2026</v>
      </c>
      <c r="B1046" s="84" t="s">
        <v>395</v>
      </c>
      <c r="C1046" s="84">
        <v>5</v>
      </c>
      <c r="D1046" s="84">
        <v>25</v>
      </c>
      <c r="E1046" s="85">
        <v>21144.560000000001</v>
      </c>
      <c r="F1046" s="85">
        <v>29207.02</v>
      </c>
      <c r="G1046" s="85">
        <v>8062.46</v>
      </c>
    </row>
    <row r="1047" spans="1:7" x14ac:dyDescent="0.3">
      <c r="A1047" s="84">
        <v>2026</v>
      </c>
      <c r="B1047" s="84" t="s">
        <v>395</v>
      </c>
      <c r="C1047" s="84">
        <v>5</v>
      </c>
      <c r="D1047" s="84">
        <v>26</v>
      </c>
      <c r="E1047" s="85">
        <v>21144.560000000001</v>
      </c>
      <c r="F1047" s="85">
        <v>30586.3</v>
      </c>
      <c r="G1047" s="85">
        <v>9441.74</v>
      </c>
    </row>
    <row r="1048" spans="1:7" x14ac:dyDescent="0.3">
      <c r="A1048" s="84">
        <v>2026</v>
      </c>
      <c r="B1048" s="84" t="s">
        <v>395</v>
      </c>
      <c r="C1048" s="84">
        <v>5</v>
      </c>
      <c r="D1048" s="84">
        <v>27</v>
      </c>
      <c r="E1048" s="85">
        <v>21144.560000000001</v>
      </c>
      <c r="F1048" s="85">
        <v>32295.56</v>
      </c>
      <c r="G1048" s="85">
        <v>11151</v>
      </c>
    </row>
    <row r="1049" spans="1:7" x14ac:dyDescent="0.3">
      <c r="A1049" s="84">
        <v>2026</v>
      </c>
      <c r="B1049" s="84" t="s">
        <v>395</v>
      </c>
      <c r="C1049" s="84">
        <v>5</v>
      </c>
      <c r="D1049" s="84">
        <v>28</v>
      </c>
      <c r="E1049" s="85">
        <v>21144.560000000001</v>
      </c>
      <c r="F1049" s="85">
        <v>32936.06</v>
      </c>
      <c r="G1049" s="85">
        <v>11791.5</v>
      </c>
    </row>
    <row r="1050" spans="1:7" x14ac:dyDescent="0.3">
      <c r="A1050" s="84">
        <v>2026</v>
      </c>
      <c r="B1050" s="84" t="s">
        <v>395</v>
      </c>
      <c r="C1050" s="84">
        <v>5</v>
      </c>
      <c r="D1050" s="84">
        <v>29</v>
      </c>
      <c r="E1050" s="85">
        <v>21144.560000000001</v>
      </c>
      <c r="F1050" s="85">
        <v>33575.4</v>
      </c>
      <c r="G1050" s="85">
        <v>12430.84</v>
      </c>
    </row>
    <row r="1051" spans="1:7" x14ac:dyDescent="0.3">
      <c r="A1051" s="84">
        <v>2026</v>
      </c>
      <c r="B1051" s="84" t="s">
        <v>395</v>
      </c>
      <c r="C1051" s="84">
        <v>5</v>
      </c>
      <c r="D1051" s="84">
        <v>30</v>
      </c>
      <c r="E1051" s="85">
        <v>21144.560000000001</v>
      </c>
      <c r="F1051" s="85">
        <v>35323.760000000002</v>
      </c>
      <c r="G1051" s="85">
        <v>14179.2</v>
      </c>
    </row>
    <row r="1052" spans="1:7" x14ac:dyDescent="0.3">
      <c r="A1052" s="84">
        <v>2026</v>
      </c>
      <c r="B1052" s="84" t="s">
        <v>395</v>
      </c>
      <c r="C1052" s="84">
        <v>6</v>
      </c>
      <c r="D1052" s="84">
        <v>1</v>
      </c>
      <c r="E1052" s="85">
        <v>21341.26</v>
      </c>
      <c r="F1052" s="85">
        <v>19966.32</v>
      </c>
      <c r="G1052" s="85">
        <v>-1374.94</v>
      </c>
    </row>
    <row r="1053" spans="1:7" x14ac:dyDescent="0.3">
      <c r="A1053" s="84">
        <v>2026</v>
      </c>
      <c r="B1053" s="84" t="s">
        <v>395</v>
      </c>
      <c r="C1053" s="84">
        <v>6</v>
      </c>
      <c r="D1053" s="84">
        <v>2</v>
      </c>
      <c r="E1053" s="85">
        <v>21341.26</v>
      </c>
      <c r="F1053" s="85">
        <v>20260.740000000002</v>
      </c>
      <c r="G1053" s="85">
        <v>-1080.52</v>
      </c>
    </row>
    <row r="1054" spans="1:7" x14ac:dyDescent="0.3">
      <c r="A1054" s="84">
        <v>2026</v>
      </c>
      <c r="B1054" s="84" t="s">
        <v>395</v>
      </c>
      <c r="C1054" s="84">
        <v>6</v>
      </c>
      <c r="D1054" s="84">
        <v>3</v>
      </c>
      <c r="E1054" s="85">
        <v>21341.26</v>
      </c>
      <c r="F1054" s="85">
        <v>20555.72</v>
      </c>
      <c r="G1054" s="85">
        <v>-785.54</v>
      </c>
    </row>
    <row r="1055" spans="1:7" x14ac:dyDescent="0.3">
      <c r="A1055" s="84">
        <v>2026</v>
      </c>
      <c r="B1055" s="84" t="s">
        <v>395</v>
      </c>
      <c r="C1055" s="84">
        <v>6</v>
      </c>
      <c r="D1055" s="84">
        <v>4</v>
      </c>
      <c r="E1055" s="85">
        <v>21341.26</v>
      </c>
      <c r="F1055" s="85">
        <v>20849.86</v>
      </c>
      <c r="G1055" s="85">
        <v>-491.4</v>
      </c>
    </row>
    <row r="1056" spans="1:7" x14ac:dyDescent="0.3">
      <c r="A1056" s="84">
        <v>2026</v>
      </c>
      <c r="B1056" s="84" t="s">
        <v>395</v>
      </c>
      <c r="C1056" s="84">
        <v>6</v>
      </c>
      <c r="D1056" s="84">
        <v>5</v>
      </c>
      <c r="E1056" s="85">
        <v>21341.26</v>
      </c>
      <c r="F1056" s="85">
        <v>21144.560000000001</v>
      </c>
      <c r="G1056" s="85">
        <v>-196.7</v>
      </c>
    </row>
    <row r="1057" spans="1:7" x14ac:dyDescent="0.3">
      <c r="A1057" s="84">
        <v>2026</v>
      </c>
      <c r="B1057" s="84" t="s">
        <v>395</v>
      </c>
      <c r="C1057" s="84">
        <v>6</v>
      </c>
      <c r="D1057" s="84">
        <v>6</v>
      </c>
      <c r="E1057" s="85">
        <v>21341.26</v>
      </c>
      <c r="F1057" s="85">
        <v>21341.26</v>
      </c>
      <c r="G1057" s="85">
        <v>0</v>
      </c>
    </row>
    <row r="1058" spans="1:7" x14ac:dyDescent="0.3">
      <c r="A1058" s="84">
        <v>2026</v>
      </c>
      <c r="B1058" s="84" t="s">
        <v>395</v>
      </c>
      <c r="C1058" s="84">
        <v>6</v>
      </c>
      <c r="D1058" s="84">
        <v>7</v>
      </c>
      <c r="E1058" s="85">
        <v>21341.26</v>
      </c>
      <c r="F1058" s="85">
        <v>21537.96</v>
      </c>
      <c r="G1058" s="85">
        <v>196.7</v>
      </c>
    </row>
    <row r="1059" spans="1:7" x14ac:dyDescent="0.3">
      <c r="A1059" s="84">
        <v>2026</v>
      </c>
      <c r="B1059" s="84" t="s">
        <v>395</v>
      </c>
      <c r="C1059" s="84">
        <v>6</v>
      </c>
      <c r="D1059" s="84">
        <v>8</v>
      </c>
      <c r="E1059" s="85">
        <v>21341.26</v>
      </c>
      <c r="F1059" s="85">
        <v>21734.240000000002</v>
      </c>
      <c r="G1059" s="85">
        <v>392.98</v>
      </c>
    </row>
    <row r="1060" spans="1:7" x14ac:dyDescent="0.3">
      <c r="A1060" s="84">
        <v>2026</v>
      </c>
      <c r="B1060" s="84" t="s">
        <v>395</v>
      </c>
      <c r="C1060" s="84">
        <v>6</v>
      </c>
      <c r="D1060" s="84">
        <v>9</v>
      </c>
      <c r="E1060" s="85">
        <v>21341.26</v>
      </c>
      <c r="F1060" s="85">
        <v>21931.360000000001</v>
      </c>
      <c r="G1060" s="85">
        <v>590.1</v>
      </c>
    </row>
    <row r="1061" spans="1:7" x14ac:dyDescent="0.3">
      <c r="A1061" s="84">
        <v>2026</v>
      </c>
      <c r="B1061" s="84" t="s">
        <v>395</v>
      </c>
      <c r="C1061" s="84">
        <v>6</v>
      </c>
      <c r="D1061" s="84">
        <v>10</v>
      </c>
      <c r="E1061" s="85">
        <v>21341.26</v>
      </c>
      <c r="F1061" s="85">
        <v>22127.78</v>
      </c>
      <c r="G1061" s="85">
        <v>786.52</v>
      </c>
    </row>
    <row r="1062" spans="1:7" x14ac:dyDescent="0.3">
      <c r="A1062" s="84">
        <v>2026</v>
      </c>
      <c r="B1062" s="84" t="s">
        <v>395</v>
      </c>
      <c r="C1062" s="84">
        <v>6</v>
      </c>
      <c r="D1062" s="84">
        <v>11</v>
      </c>
      <c r="E1062" s="85">
        <v>21341.26</v>
      </c>
      <c r="F1062" s="85">
        <v>22520.34</v>
      </c>
      <c r="G1062" s="85">
        <v>1179.08</v>
      </c>
    </row>
    <row r="1063" spans="1:7" x14ac:dyDescent="0.3">
      <c r="A1063" s="84">
        <v>2026</v>
      </c>
      <c r="B1063" s="84" t="s">
        <v>395</v>
      </c>
      <c r="C1063" s="84">
        <v>6</v>
      </c>
      <c r="D1063" s="84">
        <v>12</v>
      </c>
      <c r="E1063" s="85">
        <v>21341.26</v>
      </c>
      <c r="F1063" s="85">
        <v>22913.88</v>
      </c>
      <c r="G1063" s="85">
        <v>1572.62</v>
      </c>
    </row>
    <row r="1064" spans="1:7" x14ac:dyDescent="0.3">
      <c r="A1064" s="84">
        <v>2026</v>
      </c>
      <c r="B1064" s="84" t="s">
        <v>395</v>
      </c>
      <c r="C1064" s="84">
        <v>6</v>
      </c>
      <c r="D1064" s="84">
        <v>13</v>
      </c>
      <c r="E1064" s="85">
        <v>21341.26</v>
      </c>
      <c r="F1064" s="85">
        <v>23307.14</v>
      </c>
      <c r="G1064" s="85">
        <v>1965.88</v>
      </c>
    </row>
    <row r="1065" spans="1:7" x14ac:dyDescent="0.3">
      <c r="A1065" s="84">
        <v>2026</v>
      </c>
      <c r="B1065" s="84" t="s">
        <v>395</v>
      </c>
      <c r="C1065" s="84">
        <v>6</v>
      </c>
      <c r="D1065" s="84">
        <v>14</v>
      </c>
      <c r="E1065" s="85">
        <v>21341.26</v>
      </c>
      <c r="F1065" s="85">
        <v>23700.959999999999</v>
      </c>
      <c r="G1065" s="85">
        <v>2359.6999999999998</v>
      </c>
    </row>
    <row r="1066" spans="1:7" x14ac:dyDescent="0.3">
      <c r="A1066" s="84">
        <v>2026</v>
      </c>
      <c r="B1066" s="84" t="s">
        <v>395</v>
      </c>
      <c r="C1066" s="84">
        <v>6</v>
      </c>
      <c r="D1066" s="84">
        <v>15</v>
      </c>
      <c r="E1066" s="85">
        <v>21341.26</v>
      </c>
      <c r="F1066" s="85">
        <v>24093.24</v>
      </c>
      <c r="G1066" s="85">
        <v>2751.98</v>
      </c>
    </row>
    <row r="1067" spans="1:7" x14ac:dyDescent="0.3">
      <c r="A1067" s="84">
        <v>2026</v>
      </c>
      <c r="B1067" s="84" t="s">
        <v>395</v>
      </c>
      <c r="C1067" s="84">
        <v>6</v>
      </c>
      <c r="D1067" s="84">
        <v>16</v>
      </c>
      <c r="E1067" s="85">
        <v>21341.26</v>
      </c>
      <c r="F1067" s="85">
        <v>24487.200000000001</v>
      </c>
      <c r="G1067" s="85">
        <v>3145.94</v>
      </c>
    </row>
    <row r="1068" spans="1:7" x14ac:dyDescent="0.3">
      <c r="A1068" s="84">
        <v>2026</v>
      </c>
      <c r="B1068" s="84" t="s">
        <v>395</v>
      </c>
      <c r="C1068" s="84">
        <v>6</v>
      </c>
      <c r="D1068" s="84">
        <v>17</v>
      </c>
      <c r="E1068" s="85">
        <v>21341.26</v>
      </c>
      <c r="F1068" s="85">
        <v>24879.94</v>
      </c>
      <c r="G1068" s="85">
        <v>3538.68</v>
      </c>
    </row>
    <row r="1069" spans="1:7" x14ac:dyDescent="0.3">
      <c r="A1069" s="84">
        <v>2026</v>
      </c>
      <c r="B1069" s="84" t="s">
        <v>395</v>
      </c>
      <c r="C1069" s="84">
        <v>6</v>
      </c>
      <c r="D1069" s="84">
        <v>18</v>
      </c>
      <c r="E1069" s="85">
        <v>21341.26</v>
      </c>
      <c r="F1069" s="85">
        <v>25273.02</v>
      </c>
      <c r="G1069" s="85">
        <v>3931.76</v>
      </c>
    </row>
    <row r="1070" spans="1:7" x14ac:dyDescent="0.3">
      <c r="A1070" s="84">
        <v>2026</v>
      </c>
      <c r="B1070" s="84" t="s">
        <v>395</v>
      </c>
      <c r="C1070" s="84">
        <v>6</v>
      </c>
      <c r="D1070" s="84">
        <v>19</v>
      </c>
      <c r="E1070" s="85">
        <v>21341.26</v>
      </c>
      <c r="F1070" s="85">
        <v>25666.14</v>
      </c>
      <c r="G1070" s="85">
        <v>4324.88</v>
      </c>
    </row>
    <row r="1071" spans="1:7" x14ac:dyDescent="0.3">
      <c r="A1071" s="84">
        <v>2026</v>
      </c>
      <c r="B1071" s="84" t="s">
        <v>395</v>
      </c>
      <c r="C1071" s="84">
        <v>6</v>
      </c>
      <c r="D1071" s="84">
        <v>20</v>
      </c>
      <c r="E1071" s="85">
        <v>21341.26</v>
      </c>
      <c r="F1071" s="85">
        <v>26059.119999999999</v>
      </c>
      <c r="G1071" s="85">
        <v>4717.8599999999997</v>
      </c>
    </row>
    <row r="1072" spans="1:7" x14ac:dyDescent="0.3">
      <c r="A1072" s="84">
        <v>2026</v>
      </c>
      <c r="B1072" s="84" t="s">
        <v>395</v>
      </c>
      <c r="C1072" s="84">
        <v>6</v>
      </c>
      <c r="D1072" s="84">
        <v>21</v>
      </c>
      <c r="E1072" s="85">
        <v>21341.26</v>
      </c>
      <c r="F1072" s="85">
        <v>26648.52</v>
      </c>
      <c r="G1072" s="85">
        <v>5307.26</v>
      </c>
    </row>
    <row r="1073" spans="1:7" x14ac:dyDescent="0.3">
      <c r="A1073" s="84">
        <v>2026</v>
      </c>
      <c r="B1073" s="84" t="s">
        <v>395</v>
      </c>
      <c r="C1073" s="84">
        <v>6</v>
      </c>
      <c r="D1073" s="84">
        <v>22</v>
      </c>
      <c r="E1073" s="85">
        <v>21341.26</v>
      </c>
      <c r="F1073" s="85">
        <v>27287.200000000001</v>
      </c>
      <c r="G1073" s="85">
        <v>5945.94</v>
      </c>
    </row>
    <row r="1074" spans="1:7" x14ac:dyDescent="0.3">
      <c r="A1074" s="84">
        <v>2026</v>
      </c>
      <c r="B1074" s="84" t="s">
        <v>395</v>
      </c>
      <c r="C1074" s="84">
        <v>6</v>
      </c>
      <c r="D1074" s="84">
        <v>23</v>
      </c>
      <c r="E1074" s="85">
        <v>21341.26</v>
      </c>
      <c r="F1074" s="85">
        <v>27927.7</v>
      </c>
      <c r="G1074" s="85">
        <v>6586.44</v>
      </c>
    </row>
    <row r="1075" spans="1:7" x14ac:dyDescent="0.3">
      <c r="A1075" s="84">
        <v>2026</v>
      </c>
      <c r="B1075" s="84" t="s">
        <v>395</v>
      </c>
      <c r="C1075" s="84">
        <v>6</v>
      </c>
      <c r="D1075" s="84">
        <v>24</v>
      </c>
      <c r="E1075" s="85">
        <v>21341.26</v>
      </c>
      <c r="F1075" s="85">
        <v>28566.94</v>
      </c>
      <c r="G1075" s="85">
        <v>7225.68</v>
      </c>
    </row>
    <row r="1076" spans="1:7" x14ac:dyDescent="0.3">
      <c r="A1076" s="84">
        <v>2026</v>
      </c>
      <c r="B1076" s="84" t="s">
        <v>395</v>
      </c>
      <c r="C1076" s="84">
        <v>6</v>
      </c>
      <c r="D1076" s="84">
        <v>25</v>
      </c>
      <c r="E1076" s="85">
        <v>21341.26</v>
      </c>
      <c r="F1076" s="85">
        <v>29207.02</v>
      </c>
      <c r="G1076" s="85">
        <v>7865.76</v>
      </c>
    </row>
    <row r="1077" spans="1:7" x14ac:dyDescent="0.3">
      <c r="A1077" s="84">
        <v>2026</v>
      </c>
      <c r="B1077" s="84" t="s">
        <v>395</v>
      </c>
      <c r="C1077" s="84">
        <v>6</v>
      </c>
      <c r="D1077" s="84">
        <v>26</v>
      </c>
      <c r="E1077" s="85">
        <v>21341.26</v>
      </c>
      <c r="F1077" s="85">
        <v>30586.3</v>
      </c>
      <c r="G1077" s="85">
        <v>9245.0400000000009</v>
      </c>
    </row>
    <row r="1078" spans="1:7" x14ac:dyDescent="0.3">
      <c r="A1078" s="84">
        <v>2026</v>
      </c>
      <c r="B1078" s="84" t="s">
        <v>395</v>
      </c>
      <c r="C1078" s="84">
        <v>6</v>
      </c>
      <c r="D1078" s="84">
        <v>27</v>
      </c>
      <c r="E1078" s="85">
        <v>21341.26</v>
      </c>
      <c r="F1078" s="85">
        <v>32295.56</v>
      </c>
      <c r="G1078" s="85">
        <v>10954.3</v>
      </c>
    </row>
    <row r="1079" spans="1:7" x14ac:dyDescent="0.3">
      <c r="A1079" s="84">
        <v>2026</v>
      </c>
      <c r="B1079" s="84" t="s">
        <v>395</v>
      </c>
      <c r="C1079" s="84">
        <v>6</v>
      </c>
      <c r="D1079" s="84">
        <v>28</v>
      </c>
      <c r="E1079" s="85">
        <v>21341.26</v>
      </c>
      <c r="F1079" s="85">
        <v>32936.06</v>
      </c>
      <c r="G1079" s="85">
        <v>11594.8</v>
      </c>
    </row>
    <row r="1080" spans="1:7" x14ac:dyDescent="0.3">
      <c r="A1080" s="84">
        <v>2026</v>
      </c>
      <c r="B1080" s="84" t="s">
        <v>395</v>
      </c>
      <c r="C1080" s="84">
        <v>6</v>
      </c>
      <c r="D1080" s="84">
        <v>29</v>
      </c>
      <c r="E1080" s="85">
        <v>21341.26</v>
      </c>
      <c r="F1080" s="85">
        <v>33575.4</v>
      </c>
      <c r="G1080" s="85">
        <v>12234.14</v>
      </c>
    </row>
    <row r="1081" spans="1:7" x14ac:dyDescent="0.3">
      <c r="A1081" s="84">
        <v>2026</v>
      </c>
      <c r="B1081" s="84" t="s">
        <v>395</v>
      </c>
      <c r="C1081" s="84">
        <v>6</v>
      </c>
      <c r="D1081" s="84">
        <v>30</v>
      </c>
      <c r="E1081" s="85">
        <v>21341.26</v>
      </c>
      <c r="F1081" s="85">
        <v>35323.760000000002</v>
      </c>
      <c r="G1081" s="85">
        <v>13982.5</v>
      </c>
    </row>
    <row r="1082" spans="1:7" x14ac:dyDescent="0.3">
      <c r="A1082" s="84">
        <v>2026</v>
      </c>
      <c r="B1082" s="84" t="s">
        <v>395</v>
      </c>
      <c r="C1082" s="84">
        <v>7</v>
      </c>
      <c r="D1082" s="84">
        <v>1</v>
      </c>
      <c r="E1082" s="85">
        <v>21537.96</v>
      </c>
      <c r="F1082" s="85">
        <v>19966.32</v>
      </c>
      <c r="G1082" s="85">
        <v>-1571.64</v>
      </c>
    </row>
    <row r="1083" spans="1:7" x14ac:dyDescent="0.3">
      <c r="A1083" s="84">
        <v>2026</v>
      </c>
      <c r="B1083" s="84" t="s">
        <v>395</v>
      </c>
      <c r="C1083" s="84">
        <v>7</v>
      </c>
      <c r="D1083" s="84">
        <v>2</v>
      </c>
      <c r="E1083" s="85">
        <v>21537.96</v>
      </c>
      <c r="F1083" s="85">
        <v>20260.740000000002</v>
      </c>
      <c r="G1083" s="85">
        <v>-1277.22</v>
      </c>
    </row>
    <row r="1084" spans="1:7" x14ac:dyDescent="0.3">
      <c r="A1084" s="84">
        <v>2026</v>
      </c>
      <c r="B1084" s="84" t="s">
        <v>395</v>
      </c>
      <c r="C1084" s="84">
        <v>7</v>
      </c>
      <c r="D1084" s="84">
        <v>3</v>
      </c>
      <c r="E1084" s="85">
        <v>21537.96</v>
      </c>
      <c r="F1084" s="85">
        <v>20555.72</v>
      </c>
      <c r="G1084" s="85">
        <v>-982.24</v>
      </c>
    </row>
    <row r="1085" spans="1:7" x14ac:dyDescent="0.3">
      <c r="A1085" s="84">
        <v>2026</v>
      </c>
      <c r="B1085" s="84" t="s">
        <v>395</v>
      </c>
      <c r="C1085" s="84">
        <v>7</v>
      </c>
      <c r="D1085" s="84">
        <v>4</v>
      </c>
      <c r="E1085" s="85">
        <v>21537.96</v>
      </c>
      <c r="F1085" s="85">
        <v>20849.86</v>
      </c>
      <c r="G1085" s="85">
        <v>-688.1</v>
      </c>
    </row>
    <row r="1086" spans="1:7" x14ac:dyDescent="0.3">
      <c r="A1086" s="84">
        <v>2026</v>
      </c>
      <c r="B1086" s="84" t="s">
        <v>395</v>
      </c>
      <c r="C1086" s="84">
        <v>7</v>
      </c>
      <c r="D1086" s="84">
        <v>5</v>
      </c>
      <c r="E1086" s="85">
        <v>21537.96</v>
      </c>
      <c r="F1086" s="85">
        <v>21144.560000000001</v>
      </c>
      <c r="G1086" s="85">
        <v>-393.4</v>
      </c>
    </row>
    <row r="1087" spans="1:7" x14ac:dyDescent="0.3">
      <c r="A1087" s="84">
        <v>2026</v>
      </c>
      <c r="B1087" s="84" t="s">
        <v>395</v>
      </c>
      <c r="C1087" s="84">
        <v>7</v>
      </c>
      <c r="D1087" s="84">
        <v>6</v>
      </c>
      <c r="E1087" s="85">
        <v>21537.96</v>
      </c>
      <c r="F1087" s="85">
        <v>21341.26</v>
      </c>
      <c r="G1087" s="85">
        <v>-196.7</v>
      </c>
    </row>
    <row r="1088" spans="1:7" x14ac:dyDescent="0.3">
      <c r="A1088" s="84">
        <v>2026</v>
      </c>
      <c r="B1088" s="84" t="s">
        <v>395</v>
      </c>
      <c r="C1088" s="84">
        <v>7</v>
      </c>
      <c r="D1088" s="84">
        <v>7</v>
      </c>
      <c r="E1088" s="85">
        <v>21537.96</v>
      </c>
      <c r="F1088" s="85">
        <v>21537.96</v>
      </c>
      <c r="G1088" s="85">
        <v>0</v>
      </c>
    </row>
    <row r="1089" spans="1:7" x14ac:dyDescent="0.3">
      <c r="A1089" s="84">
        <v>2026</v>
      </c>
      <c r="B1089" s="84" t="s">
        <v>395</v>
      </c>
      <c r="C1089" s="84">
        <v>7</v>
      </c>
      <c r="D1089" s="84">
        <v>8</v>
      </c>
      <c r="E1089" s="85">
        <v>21537.96</v>
      </c>
      <c r="F1089" s="85">
        <v>21734.240000000002</v>
      </c>
      <c r="G1089" s="85">
        <v>196.28</v>
      </c>
    </row>
    <row r="1090" spans="1:7" x14ac:dyDescent="0.3">
      <c r="A1090" s="84">
        <v>2026</v>
      </c>
      <c r="B1090" s="84" t="s">
        <v>395</v>
      </c>
      <c r="C1090" s="84">
        <v>7</v>
      </c>
      <c r="D1090" s="84">
        <v>9</v>
      </c>
      <c r="E1090" s="85">
        <v>21537.96</v>
      </c>
      <c r="F1090" s="85">
        <v>21931.360000000001</v>
      </c>
      <c r="G1090" s="85">
        <v>393.4</v>
      </c>
    </row>
    <row r="1091" spans="1:7" x14ac:dyDescent="0.3">
      <c r="A1091" s="84">
        <v>2026</v>
      </c>
      <c r="B1091" s="84" t="s">
        <v>395</v>
      </c>
      <c r="C1091" s="84">
        <v>7</v>
      </c>
      <c r="D1091" s="84">
        <v>10</v>
      </c>
      <c r="E1091" s="85">
        <v>21537.96</v>
      </c>
      <c r="F1091" s="85">
        <v>22127.78</v>
      </c>
      <c r="G1091" s="85">
        <v>589.82000000000005</v>
      </c>
    </row>
    <row r="1092" spans="1:7" x14ac:dyDescent="0.3">
      <c r="A1092" s="84">
        <v>2026</v>
      </c>
      <c r="B1092" s="84" t="s">
        <v>395</v>
      </c>
      <c r="C1092" s="84">
        <v>7</v>
      </c>
      <c r="D1092" s="84">
        <v>11</v>
      </c>
      <c r="E1092" s="85">
        <v>21537.96</v>
      </c>
      <c r="F1092" s="85">
        <v>22520.34</v>
      </c>
      <c r="G1092" s="85">
        <v>982.38</v>
      </c>
    </row>
    <row r="1093" spans="1:7" x14ac:dyDescent="0.3">
      <c r="A1093" s="84">
        <v>2026</v>
      </c>
      <c r="B1093" s="84" t="s">
        <v>395</v>
      </c>
      <c r="C1093" s="84">
        <v>7</v>
      </c>
      <c r="D1093" s="84">
        <v>12</v>
      </c>
      <c r="E1093" s="85">
        <v>21537.96</v>
      </c>
      <c r="F1093" s="85">
        <v>22913.88</v>
      </c>
      <c r="G1093" s="85">
        <v>1375.92</v>
      </c>
    </row>
    <row r="1094" spans="1:7" x14ac:dyDescent="0.3">
      <c r="A1094" s="84">
        <v>2026</v>
      </c>
      <c r="B1094" s="84" t="s">
        <v>395</v>
      </c>
      <c r="C1094" s="84">
        <v>7</v>
      </c>
      <c r="D1094" s="84">
        <v>13</v>
      </c>
      <c r="E1094" s="85">
        <v>21537.96</v>
      </c>
      <c r="F1094" s="85">
        <v>23307.14</v>
      </c>
      <c r="G1094" s="85">
        <v>1769.18</v>
      </c>
    </row>
    <row r="1095" spans="1:7" x14ac:dyDescent="0.3">
      <c r="A1095" s="84">
        <v>2026</v>
      </c>
      <c r="B1095" s="84" t="s">
        <v>395</v>
      </c>
      <c r="C1095" s="84">
        <v>7</v>
      </c>
      <c r="D1095" s="84">
        <v>14</v>
      </c>
      <c r="E1095" s="85">
        <v>21537.96</v>
      </c>
      <c r="F1095" s="85">
        <v>23700.959999999999</v>
      </c>
      <c r="G1095" s="85">
        <v>2163</v>
      </c>
    </row>
    <row r="1096" spans="1:7" x14ac:dyDescent="0.3">
      <c r="A1096" s="84">
        <v>2026</v>
      </c>
      <c r="B1096" s="84" t="s">
        <v>395</v>
      </c>
      <c r="C1096" s="84">
        <v>7</v>
      </c>
      <c r="D1096" s="84">
        <v>15</v>
      </c>
      <c r="E1096" s="85">
        <v>21537.96</v>
      </c>
      <c r="F1096" s="85">
        <v>24093.24</v>
      </c>
      <c r="G1096" s="85">
        <v>2555.2800000000002</v>
      </c>
    </row>
    <row r="1097" spans="1:7" x14ac:dyDescent="0.3">
      <c r="A1097" s="84">
        <v>2026</v>
      </c>
      <c r="B1097" s="84" t="s">
        <v>395</v>
      </c>
      <c r="C1097" s="84">
        <v>7</v>
      </c>
      <c r="D1097" s="84">
        <v>16</v>
      </c>
      <c r="E1097" s="85">
        <v>21537.96</v>
      </c>
      <c r="F1097" s="85">
        <v>24487.200000000001</v>
      </c>
      <c r="G1097" s="85">
        <v>2949.24</v>
      </c>
    </row>
    <row r="1098" spans="1:7" x14ac:dyDescent="0.3">
      <c r="A1098" s="84">
        <v>2026</v>
      </c>
      <c r="B1098" s="84" t="s">
        <v>395</v>
      </c>
      <c r="C1098" s="84">
        <v>7</v>
      </c>
      <c r="D1098" s="84">
        <v>17</v>
      </c>
      <c r="E1098" s="85">
        <v>21537.96</v>
      </c>
      <c r="F1098" s="85">
        <v>24879.94</v>
      </c>
      <c r="G1098" s="85">
        <v>3341.98</v>
      </c>
    </row>
    <row r="1099" spans="1:7" x14ac:dyDescent="0.3">
      <c r="A1099" s="84">
        <v>2026</v>
      </c>
      <c r="B1099" s="84" t="s">
        <v>395</v>
      </c>
      <c r="C1099" s="84">
        <v>7</v>
      </c>
      <c r="D1099" s="84">
        <v>18</v>
      </c>
      <c r="E1099" s="85">
        <v>21537.96</v>
      </c>
      <c r="F1099" s="85">
        <v>25273.02</v>
      </c>
      <c r="G1099" s="85">
        <v>3735.06</v>
      </c>
    </row>
    <row r="1100" spans="1:7" x14ac:dyDescent="0.3">
      <c r="A1100" s="84">
        <v>2026</v>
      </c>
      <c r="B1100" s="84" t="s">
        <v>395</v>
      </c>
      <c r="C1100" s="84">
        <v>7</v>
      </c>
      <c r="D1100" s="84">
        <v>19</v>
      </c>
      <c r="E1100" s="85">
        <v>21537.96</v>
      </c>
      <c r="F1100" s="85">
        <v>25666.14</v>
      </c>
      <c r="G1100" s="85">
        <v>4128.18</v>
      </c>
    </row>
    <row r="1101" spans="1:7" x14ac:dyDescent="0.3">
      <c r="A1101" s="84">
        <v>2026</v>
      </c>
      <c r="B1101" s="84" t="s">
        <v>395</v>
      </c>
      <c r="C1101" s="84">
        <v>7</v>
      </c>
      <c r="D1101" s="84">
        <v>20</v>
      </c>
      <c r="E1101" s="85">
        <v>21537.96</v>
      </c>
      <c r="F1101" s="85">
        <v>26059.119999999999</v>
      </c>
      <c r="G1101" s="85">
        <v>4521.16</v>
      </c>
    </row>
    <row r="1102" spans="1:7" x14ac:dyDescent="0.3">
      <c r="A1102" s="84">
        <v>2026</v>
      </c>
      <c r="B1102" s="84" t="s">
        <v>395</v>
      </c>
      <c r="C1102" s="84">
        <v>7</v>
      </c>
      <c r="D1102" s="84">
        <v>21</v>
      </c>
      <c r="E1102" s="85">
        <v>21537.96</v>
      </c>
      <c r="F1102" s="85">
        <v>26648.52</v>
      </c>
      <c r="G1102" s="85">
        <v>5110.5600000000004</v>
      </c>
    </row>
    <row r="1103" spans="1:7" x14ac:dyDescent="0.3">
      <c r="A1103" s="84">
        <v>2026</v>
      </c>
      <c r="B1103" s="84" t="s">
        <v>395</v>
      </c>
      <c r="C1103" s="84">
        <v>7</v>
      </c>
      <c r="D1103" s="84">
        <v>22</v>
      </c>
      <c r="E1103" s="85">
        <v>21537.96</v>
      </c>
      <c r="F1103" s="85">
        <v>27287.200000000001</v>
      </c>
      <c r="G1103" s="85">
        <v>5749.24</v>
      </c>
    </row>
    <row r="1104" spans="1:7" x14ac:dyDescent="0.3">
      <c r="A1104" s="84">
        <v>2026</v>
      </c>
      <c r="B1104" s="84" t="s">
        <v>395</v>
      </c>
      <c r="C1104" s="84">
        <v>7</v>
      </c>
      <c r="D1104" s="84">
        <v>23</v>
      </c>
      <c r="E1104" s="85">
        <v>21537.96</v>
      </c>
      <c r="F1104" s="85">
        <v>27927.7</v>
      </c>
      <c r="G1104" s="85">
        <v>6389.74</v>
      </c>
    </row>
    <row r="1105" spans="1:7" x14ac:dyDescent="0.3">
      <c r="A1105" s="84">
        <v>2026</v>
      </c>
      <c r="B1105" s="84" t="s">
        <v>395</v>
      </c>
      <c r="C1105" s="84">
        <v>7</v>
      </c>
      <c r="D1105" s="84">
        <v>24</v>
      </c>
      <c r="E1105" s="85">
        <v>21537.96</v>
      </c>
      <c r="F1105" s="85">
        <v>28566.94</v>
      </c>
      <c r="G1105" s="85">
        <v>7028.98</v>
      </c>
    </row>
    <row r="1106" spans="1:7" x14ac:dyDescent="0.3">
      <c r="A1106" s="84">
        <v>2026</v>
      </c>
      <c r="B1106" s="84" t="s">
        <v>395</v>
      </c>
      <c r="C1106" s="84">
        <v>7</v>
      </c>
      <c r="D1106" s="84">
        <v>25</v>
      </c>
      <c r="E1106" s="85">
        <v>21537.96</v>
      </c>
      <c r="F1106" s="85">
        <v>29207.02</v>
      </c>
      <c r="G1106" s="85">
        <v>7669.06</v>
      </c>
    </row>
    <row r="1107" spans="1:7" x14ac:dyDescent="0.3">
      <c r="A1107" s="84">
        <v>2026</v>
      </c>
      <c r="B1107" s="84" t="s">
        <v>395</v>
      </c>
      <c r="C1107" s="84">
        <v>7</v>
      </c>
      <c r="D1107" s="84">
        <v>26</v>
      </c>
      <c r="E1107" s="85">
        <v>21537.96</v>
      </c>
      <c r="F1107" s="85">
        <v>30586.3</v>
      </c>
      <c r="G1107" s="85">
        <v>9048.34</v>
      </c>
    </row>
    <row r="1108" spans="1:7" x14ac:dyDescent="0.3">
      <c r="A1108" s="84">
        <v>2026</v>
      </c>
      <c r="B1108" s="84" t="s">
        <v>395</v>
      </c>
      <c r="C1108" s="84">
        <v>7</v>
      </c>
      <c r="D1108" s="84">
        <v>27</v>
      </c>
      <c r="E1108" s="85">
        <v>21537.96</v>
      </c>
      <c r="F1108" s="85">
        <v>32295.56</v>
      </c>
      <c r="G1108" s="85">
        <v>10757.6</v>
      </c>
    </row>
    <row r="1109" spans="1:7" x14ac:dyDescent="0.3">
      <c r="A1109" s="84">
        <v>2026</v>
      </c>
      <c r="B1109" s="84" t="s">
        <v>395</v>
      </c>
      <c r="C1109" s="84">
        <v>7</v>
      </c>
      <c r="D1109" s="84">
        <v>28</v>
      </c>
      <c r="E1109" s="85">
        <v>21537.96</v>
      </c>
      <c r="F1109" s="85">
        <v>32936.06</v>
      </c>
      <c r="G1109" s="85">
        <v>11398.1</v>
      </c>
    </row>
    <row r="1110" spans="1:7" x14ac:dyDescent="0.3">
      <c r="A1110" s="84">
        <v>2026</v>
      </c>
      <c r="B1110" s="84" t="s">
        <v>395</v>
      </c>
      <c r="C1110" s="84">
        <v>7</v>
      </c>
      <c r="D1110" s="84">
        <v>29</v>
      </c>
      <c r="E1110" s="85">
        <v>21537.96</v>
      </c>
      <c r="F1110" s="85">
        <v>33575.4</v>
      </c>
      <c r="G1110" s="85">
        <v>12037.44</v>
      </c>
    </row>
    <row r="1111" spans="1:7" x14ac:dyDescent="0.3">
      <c r="A1111" s="84">
        <v>2026</v>
      </c>
      <c r="B1111" s="84" t="s">
        <v>395</v>
      </c>
      <c r="C1111" s="84">
        <v>7</v>
      </c>
      <c r="D1111" s="84">
        <v>30</v>
      </c>
      <c r="E1111" s="85">
        <v>21537.96</v>
      </c>
      <c r="F1111" s="85">
        <v>35323.760000000002</v>
      </c>
      <c r="G1111" s="85">
        <v>13785.8</v>
      </c>
    </row>
    <row r="1112" spans="1:7" x14ac:dyDescent="0.3">
      <c r="A1112" s="84">
        <v>2026</v>
      </c>
      <c r="B1112" s="84" t="s">
        <v>395</v>
      </c>
      <c r="C1112" s="84">
        <v>8</v>
      </c>
      <c r="D1112" s="84">
        <v>1</v>
      </c>
      <c r="E1112" s="85">
        <v>21734.240000000002</v>
      </c>
      <c r="F1112" s="85">
        <v>19966.32</v>
      </c>
      <c r="G1112" s="85">
        <v>-1767.92</v>
      </c>
    </row>
    <row r="1113" spans="1:7" x14ac:dyDescent="0.3">
      <c r="A1113" s="84">
        <v>2026</v>
      </c>
      <c r="B1113" s="84" t="s">
        <v>395</v>
      </c>
      <c r="C1113" s="84">
        <v>8</v>
      </c>
      <c r="D1113" s="84">
        <v>2</v>
      </c>
      <c r="E1113" s="85">
        <v>21734.240000000002</v>
      </c>
      <c r="F1113" s="85">
        <v>20260.740000000002</v>
      </c>
      <c r="G1113" s="85">
        <v>-1473.5</v>
      </c>
    </row>
    <row r="1114" spans="1:7" x14ac:dyDescent="0.3">
      <c r="A1114" s="84">
        <v>2026</v>
      </c>
      <c r="B1114" s="84" t="s">
        <v>395</v>
      </c>
      <c r="C1114" s="84">
        <v>8</v>
      </c>
      <c r="D1114" s="84">
        <v>3</v>
      </c>
      <c r="E1114" s="85">
        <v>21734.240000000002</v>
      </c>
      <c r="F1114" s="85">
        <v>20555.72</v>
      </c>
      <c r="G1114" s="85">
        <v>-1178.52</v>
      </c>
    </row>
    <row r="1115" spans="1:7" x14ac:dyDescent="0.3">
      <c r="A1115" s="84">
        <v>2026</v>
      </c>
      <c r="B1115" s="84" t="s">
        <v>395</v>
      </c>
      <c r="C1115" s="84">
        <v>8</v>
      </c>
      <c r="D1115" s="84">
        <v>4</v>
      </c>
      <c r="E1115" s="85">
        <v>21734.240000000002</v>
      </c>
      <c r="F1115" s="85">
        <v>20849.86</v>
      </c>
      <c r="G1115" s="85">
        <v>-884.38</v>
      </c>
    </row>
    <row r="1116" spans="1:7" x14ac:dyDescent="0.3">
      <c r="A1116" s="84">
        <v>2026</v>
      </c>
      <c r="B1116" s="84" t="s">
        <v>395</v>
      </c>
      <c r="C1116" s="84">
        <v>8</v>
      </c>
      <c r="D1116" s="84">
        <v>5</v>
      </c>
      <c r="E1116" s="85">
        <v>21734.240000000002</v>
      </c>
      <c r="F1116" s="85">
        <v>21144.560000000001</v>
      </c>
      <c r="G1116" s="85">
        <v>-589.67999999999995</v>
      </c>
    </row>
    <row r="1117" spans="1:7" x14ac:dyDescent="0.3">
      <c r="A1117" s="84">
        <v>2026</v>
      </c>
      <c r="B1117" s="84" t="s">
        <v>395</v>
      </c>
      <c r="C1117" s="84">
        <v>8</v>
      </c>
      <c r="D1117" s="84">
        <v>6</v>
      </c>
      <c r="E1117" s="85">
        <v>21734.240000000002</v>
      </c>
      <c r="F1117" s="85">
        <v>21341.26</v>
      </c>
      <c r="G1117" s="85">
        <v>-392.98</v>
      </c>
    </row>
    <row r="1118" spans="1:7" x14ac:dyDescent="0.3">
      <c r="A1118" s="84">
        <v>2026</v>
      </c>
      <c r="B1118" s="84" t="s">
        <v>395</v>
      </c>
      <c r="C1118" s="84">
        <v>8</v>
      </c>
      <c r="D1118" s="84">
        <v>7</v>
      </c>
      <c r="E1118" s="85">
        <v>21734.240000000002</v>
      </c>
      <c r="F1118" s="85">
        <v>21537.96</v>
      </c>
      <c r="G1118" s="85">
        <v>-196.28</v>
      </c>
    </row>
    <row r="1119" spans="1:7" x14ac:dyDescent="0.3">
      <c r="A1119" s="84">
        <v>2026</v>
      </c>
      <c r="B1119" s="84" t="s">
        <v>395</v>
      </c>
      <c r="C1119" s="84">
        <v>8</v>
      </c>
      <c r="D1119" s="84">
        <v>8</v>
      </c>
      <c r="E1119" s="85">
        <v>21734.240000000002</v>
      </c>
      <c r="F1119" s="85">
        <v>21734.240000000002</v>
      </c>
      <c r="G1119" s="85">
        <v>0</v>
      </c>
    </row>
    <row r="1120" spans="1:7" x14ac:dyDescent="0.3">
      <c r="A1120" s="84">
        <v>2026</v>
      </c>
      <c r="B1120" s="84" t="s">
        <v>395</v>
      </c>
      <c r="C1120" s="84">
        <v>8</v>
      </c>
      <c r="D1120" s="84">
        <v>9</v>
      </c>
      <c r="E1120" s="85">
        <v>21734.240000000002</v>
      </c>
      <c r="F1120" s="85">
        <v>21931.360000000001</v>
      </c>
      <c r="G1120" s="85">
        <v>197.12</v>
      </c>
    </row>
    <row r="1121" spans="1:7" x14ac:dyDescent="0.3">
      <c r="A1121" s="84">
        <v>2026</v>
      </c>
      <c r="B1121" s="84" t="s">
        <v>395</v>
      </c>
      <c r="C1121" s="84">
        <v>8</v>
      </c>
      <c r="D1121" s="84">
        <v>10</v>
      </c>
      <c r="E1121" s="85">
        <v>21734.240000000002</v>
      </c>
      <c r="F1121" s="85">
        <v>22127.78</v>
      </c>
      <c r="G1121" s="85">
        <v>393.54</v>
      </c>
    </row>
    <row r="1122" spans="1:7" x14ac:dyDescent="0.3">
      <c r="A1122" s="84">
        <v>2026</v>
      </c>
      <c r="B1122" s="84" t="s">
        <v>395</v>
      </c>
      <c r="C1122" s="84">
        <v>8</v>
      </c>
      <c r="D1122" s="84">
        <v>11</v>
      </c>
      <c r="E1122" s="85">
        <v>21734.240000000002</v>
      </c>
      <c r="F1122" s="85">
        <v>22520.34</v>
      </c>
      <c r="G1122" s="85">
        <v>786.1</v>
      </c>
    </row>
    <row r="1123" spans="1:7" x14ac:dyDescent="0.3">
      <c r="A1123" s="84">
        <v>2026</v>
      </c>
      <c r="B1123" s="84" t="s">
        <v>395</v>
      </c>
      <c r="C1123" s="84">
        <v>8</v>
      </c>
      <c r="D1123" s="84">
        <v>12</v>
      </c>
      <c r="E1123" s="85">
        <v>21734.240000000002</v>
      </c>
      <c r="F1123" s="85">
        <v>22913.88</v>
      </c>
      <c r="G1123" s="85">
        <v>1179.6400000000001</v>
      </c>
    </row>
    <row r="1124" spans="1:7" x14ac:dyDescent="0.3">
      <c r="A1124" s="84">
        <v>2026</v>
      </c>
      <c r="B1124" s="84" t="s">
        <v>395</v>
      </c>
      <c r="C1124" s="84">
        <v>8</v>
      </c>
      <c r="D1124" s="84">
        <v>13</v>
      </c>
      <c r="E1124" s="85">
        <v>21734.240000000002</v>
      </c>
      <c r="F1124" s="85">
        <v>23307.14</v>
      </c>
      <c r="G1124" s="85">
        <v>1572.9</v>
      </c>
    </row>
    <row r="1125" spans="1:7" x14ac:dyDescent="0.3">
      <c r="A1125" s="84">
        <v>2026</v>
      </c>
      <c r="B1125" s="84" t="s">
        <v>395</v>
      </c>
      <c r="C1125" s="84">
        <v>8</v>
      </c>
      <c r="D1125" s="84">
        <v>14</v>
      </c>
      <c r="E1125" s="85">
        <v>21734.240000000002</v>
      </c>
      <c r="F1125" s="85">
        <v>23700.959999999999</v>
      </c>
      <c r="G1125" s="85">
        <v>1966.72</v>
      </c>
    </row>
    <row r="1126" spans="1:7" x14ac:dyDescent="0.3">
      <c r="A1126" s="84">
        <v>2026</v>
      </c>
      <c r="B1126" s="84" t="s">
        <v>395</v>
      </c>
      <c r="C1126" s="84">
        <v>8</v>
      </c>
      <c r="D1126" s="84">
        <v>15</v>
      </c>
      <c r="E1126" s="85">
        <v>21734.240000000002</v>
      </c>
      <c r="F1126" s="85">
        <v>24093.24</v>
      </c>
      <c r="G1126" s="85">
        <v>2359</v>
      </c>
    </row>
    <row r="1127" spans="1:7" x14ac:dyDescent="0.3">
      <c r="A1127" s="84">
        <v>2026</v>
      </c>
      <c r="B1127" s="84" t="s">
        <v>395</v>
      </c>
      <c r="C1127" s="84">
        <v>8</v>
      </c>
      <c r="D1127" s="84">
        <v>16</v>
      </c>
      <c r="E1127" s="85">
        <v>21734.240000000002</v>
      </c>
      <c r="F1127" s="85">
        <v>24487.200000000001</v>
      </c>
      <c r="G1127" s="85">
        <v>2752.96</v>
      </c>
    </row>
    <row r="1128" spans="1:7" x14ac:dyDescent="0.3">
      <c r="A1128" s="84">
        <v>2026</v>
      </c>
      <c r="B1128" s="84" t="s">
        <v>395</v>
      </c>
      <c r="C1128" s="84">
        <v>8</v>
      </c>
      <c r="D1128" s="84">
        <v>17</v>
      </c>
      <c r="E1128" s="85">
        <v>21734.240000000002</v>
      </c>
      <c r="F1128" s="85">
        <v>24879.94</v>
      </c>
      <c r="G1128" s="85">
        <v>3145.7</v>
      </c>
    </row>
    <row r="1129" spans="1:7" x14ac:dyDescent="0.3">
      <c r="A1129" s="84">
        <v>2026</v>
      </c>
      <c r="B1129" s="84" t="s">
        <v>395</v>
      </c>
      <c r="C1129" s="84">
        <v>8</v>
      </c>
      <c r="D1129" s="84">
        <v>18</v>
      </c>
      <c r="E1129" s="85">
        <v>21734.240000000002</v>
      </c>
      <c r="F1129" s="85">
        <v>25273.02</v>
      </c>
      <c r="G1129" s="85">
        <v>3538.78</v>
      </c>
    </row>
    <row r="1130" spans="1:7" x14ac:dyDescent="0.3">
      <c r="A1130" s="84">
        <v>2026</v>
      </c>
      <c r="B1130" s="84" t="s">
        <v>395</v>
      </c>
      <c r="C1130" s="84">
        <v>8</v>
      </c>
      <c r="D1130" s="84">
        <v>19</v>
      </c>
      <c r="E1130" s="85">
        <v>21734.240000000002</v>
      </c>
      <c r="F1130" s="85">
        <v>25666.14</v>
      </c>
      <c r="G1130" s="85">
        <v>3931.9</v>
      </c>
    </row>
    <row r="1131" spans="1:7" x14ac:dyDescent="0.3">
      <c r="A1131" s="84">
        <v>2026</v>
      </c>
      <c r="B1131" s="84" t="s">
        <v>395</v>
      </c>
      <c r="C1131" s="84">
        <v>8</v>
      </c>
      <c r="D1131" s="84">
        <v>20</v>
      </c>
      <c r="E1131" s="85">
        <v>21734.240000000002</v>
      </c>
      <c r="F1131" s="85">
        <v>26059.119999999999</v>
      </c>
      <c r="G1131" s="85">
        <v>4324.88</v>
      </c>
    </row>
    <row r="1132" spans="1:7" x14ac:dyDescent="0.3">
      <c r="A1132" s="84">
        <v>2026</v>
      </c>
      <c r="B1132" s="84" t="s">
        <v>395</v>
      </c>
      <c r="C1132" s="84">
        <v>8</v>
      </c>
      <c r="D1132" s="84">
        <v>21</v>
      </c>
      <c r="E1132" s="85">
        <v>21734.240000000002</v>
      </c>
      <c r="F1132" s="85">
        <v>26648.52</v>
      </c>
      <c r="G1132" s="85">
        <v>4914.28</v>
      </c>
    </row>
    <row r="1133" spans="1:7" x14ac:dyDescent="0.3">
      <c r="A1133" s="84">
        <v>2026</v>
      </c>
      <c r="B1133" s="84" t="s">
        <v>395</v>
      </c>
      <c r="C1133" s="84">
        <v>8</v>
      </c>
      <c r="D1133" s="84">
        <v>22</v>
      </c>
      <c r="E1133" s="85">
        <v>21734.240000000002</v>
      </c>
      <c r="F1133" s="85">
        <v>27287.200000000001</v>
      </c>
      <c r="G1133" s="85">
        <v>5552.96</v>
      </c>
    </row>
    <row r="1134" spans="1:7" x14ac:dyDescent="0.3">
      <c r="A1134" s="84">
        <v>2026</v>
      </c>
      <c r="B1134" s="84" t="s">
        <v>395</v>
      </c>
      <c r="C1134" s="84">
        <v>8</v>
      </c>
      <c r="D1134" s="84">
        <v>23</v>
      </c>
      <c r="E1134" s="85">
        <v>21734.240000000002</v>
      </c>
      <c r="F1134" s="85">
        <v>27927.7</v>
      </c>
      <c r="G1134" s="85">
        <v>6193.46</v>
      </c>
    </row>
    <row r="1135" spans="1:7" x14ac:dyDescent="0.3">
      <c r="A1135" s="84">
        <v>2026</v>
      </c>
      <c r="B1135" s="84" t="s">
        <v>395</v>
      </c>
      <c r="C1135" s="84">
        <v>8</v>
      </c>
      <c r="D1135" s="84">
        <v>24</v>
      </c>
      <c r="E1135" s="85">
        <v>21734.240000000002</v>
      </c>
      <c r="F1135" s="85">
        <v>28566.94</v>
      </c>
      <c r="G1135" s="85">
        <v>6832.7</v>
      </c>
    </row>
    <row r="1136" spans="1:7" x14ac:dyDescent="0.3">
      <c r="A1136" s="84">
        <v>2026</v>
      </c>
      <c r="B1136" s="84" t="s">
        <v>395</v>
      </c>
      <c r="C1136" s="84">
        <v>8</v>
      </c>
      <c r="D1136" s="84">
        <v>25</v>
      </c>
      <c r="E1136" s="85">
        <v>21734.240000000002</v>
      </c>
      <c r="F1136" s="85">
        <v>29207.02</v>
      </c>
      <c r="G1136" s="85">
        <v>7472.78</v>
      </c>
    </row>
    <row r="1137" spans="1:7" x14ac:dyDescent="0.3">
      <c r="A1137" s="84">
        <v>2026</v>
      </c>
      <c r="B1137" s="84" t="s">
        <v>395</v>
      </c>
      <c r="C1137" s="84">
        <v>8</v>
      </c>
      <c r="D1137" s="84">
        <v>26</v>
      </c>
      <c r="E1137" s="85">
        <v>21734.240000000002</v>
      </c>
      <c r="F1137" s="85">
        <v>30586.3</v>
      </c>
      <c r="G1137" s="85">
        <v>8852.06</v>
      </c>
    </row>
    <row r="1138" spans="1:7" x14ac:dyDescent="0.3">
      <c r="A1138" s="84">
        <v>2026</v>
      </c>
      <c r="B1138" s="84" t="s">
        <v>395</v>
      </c>
      <c r="C1138" s="84">
        <v>8</v>
      </c>
      <c r="D1138" s="84">
        <v>27</v>
      </c>
      <c r="E1138" s="85">
        <v>21734.240000000002</v>
      </c>
      <c r="F1138" s="85">
        <v>32295.56</v>
      </c>
      <c r="G1138" s="85">
        <v>10561.32</v>
      </c>
    </row>
    <row r="1139" spans="1:7" x14ac:dyDescent="0.3">
      <c r="A1139" s="84">
        <v>2026</v>
      </c>
      <c r="B1139" s="84" t="s">
        <v>395</v>
      </c>
      <c r="C1139" s="84">
        <v>8</v>
      </c>
      <c r="D1139" s="84">
        <v>28</v>
      </c>
      <c r="E1139" s="85">
        <v>21734.240000000002</v>
      </c>
      <c r="F1139" s="85">
        <v>32936.06</v>
      </c>
      <c r="G1139" s="85">
        <v>11201.82</v>
      </c>
    </row>
    <row r="1140" spans="1:7" x14ac:dyDescent="0.3">
      <c r="A1140" s="84">
        <v>2026</v>
      </c>
      <c r="B1140" s="84" t="s">
        <v>395</v>
      </c>
      <c r="C1140" s="84">
        <v>8</v>
      </c>
      <c r="D1140" s="84">
        <v>29</v>
      </c>
      <c r="E1140" s="85">
        <v>21734.240000000002</v>
      </c>
      <c r="F1140" s="85">
        <v>33575.4</v>
      </c>
      <c r="G1140" s="85">
        <v>11841.16</v>
      </c>
    </row>
    <row r="1141" spans="1:7" x14ac:dyDescent="0.3">
      <c r="A1141" s="84">
        <v>2026</v>
      </c>
      <c r="B1141" s="84" t="s">
        <v>395</v>
      </c>
      <c r="C1141" s="84">
        <v>8</v>
      </c>
      <c r="D1141" s="84">
        <v>30</v>
      </c>
      <c r="E1141" s="85">
        <v>21734.240000000002</v>
      </c>
      <c r="F1141" s="85">
        <v>35323.760000000002</v>
      </c>
      <c r="G1141" s="85">
        <v>13589.52</v>
      </c>
    </row>
    <row r="1142" spans="1:7" x14ac:dyDescent="0.3">
      <c r="A1142" s="84">
        <v>2026</v>
      </c>
      <c r="B1142" s="84" t="s">
        <v>395</v>
      </c>
      <c r="C1142" s="84">
        <v>9</v>
      </c>
      <c r="D1142" s="84">
        <v>1</v>
      </c>
      <c r="E1142" s="85">
        <v>21931.360000000001</v>
      </c>
      <c r="F1142" s="85">
        <v>19966.32</v>
      </c>
      <c r="G1142" s="85">
        <v>-1965.04</v>
      </c>
    </row>
    <row r="1143" spans="1:7" x14ac:dyDescent="0.3">
      <c r="A1143" s="84">
        <v>2026</v>
      </c>
      <c r="B1143" s="84" t="s">
        <v>395</v>
      </c>
      <c r="C1143" s="84">
        <v>9</v>
      </c>
      <c r="D1143" s="84">
        <v>2</v>
      </c>
      <c r="E1143" s="85">
        <v>21931.360000000001</v>
      </c>
      <c r="F1143" s="85">
        <v>20260.740000000002</v>
      </c>
      <c r="G1143" s="85">
        <v>-1670.62</v>
      </c>
    </row>
    <row r="1144" spans="1:7" x14ac:dyDescent="0.3">
      <c r="A1144" s="84">
        <v>2026</v>
      </c>
      <c r="B1144" s="84" t="s">
        <v>395</v>
      </c>
      <c r="C1144" s="84">
        <v>9</v>
      </c>
      <c r="D1144" s="84">
        <v>3</v>
      </c>
      <c r="E1144" s="85">
        <v>21931.360000000001</v>
      </c>
      <c r="F1144" s="85">
        <v>20555.72</v>
      </c>
      <c r="G1144" s="85">
        <v>-1375.64</v>
      </c>
    </row>
    <row r="1145" spans="1:7" x14ac:dyDescent="0.3">
      <c r="A1145" s="84">
        <v>2026</v>
      </c>
      <c r="B1145" s="84" t="s">
        <v>395</v>
      </c>
      <c r="C1145" s="84">
        <v>9</v>
      </c>
      <c r="D1145" s="84">
        <v>4</v>
      </c>
      <c r="E1145" s="85">
        <v>21931.360000000001</v>
      </c>
      <c r="F1145" s="85">
        <v>20849.86</v>
      </c>
      <c r="G1145" s="85">
        <v>-1081.5</v>
      </c>
    </row>
    <row r="1146" spans="1:7" x14ac:dyDescent="0.3">
      <c r="A1146" s="84">
        <v>2026</v>
      </c>
      <c r="B1146" s="84" t="s">
        <v>395</v>
      </c>
      <c r="C1146" s="84">
        <v>9</v>
      </c>
      <c r="D1146" s="84">
        <v>5</v>
      </c>
      <c r="E1146" s="85">
        <v>21931.360000000001</v>
      </c>
      <c r="F1146" s="85">
        <v>21144.560000000001</v>
      </c>
      <c r="G1146" s="85">
        <v>-786.8</v>
      </c>
    </row>
    <row r="1147" spans="1:7" x14ac:dyDescent="0.3">
      <c r="A1147" s="84">
        <v>2026</v>
      </c>
      <c r="B1147" s="84" t="s">
        <v>395</v>
      </c>
      <c r="C1147" s="84">
        <v>9</v>
      </c>
      <c r="D1147" s="84">
        <v>6</v>
      </c>
      <c r="E1147" s="85">
        <v>21931.360000000001</v>
      </c>
      <c r="F1147" s="85">
        <v>21341.26</v>
      </c>
      <c r="G1147" s="85">
        <v>-590.1</v>
      </c>
    </row>
    <row r="1148" spans="1:7" x14ac:dyDescent="0.3">
      <c r="A1148" s="84">
        <v>2026</v>
      </c>
      <c r="B1148" s="84" t="s">
        <v>395</v>
      </c>
      <c r="C1148" s="84">
        <v>9</v>
      </c>
      <c r="D1148" s="84">
        <v>7</v>
      </c>
      <c r="E1148" s="85">
        <v>21931.360000000001</v>
      </c>
      <c r="F1148" s="85">
        <v>21537.96</v>
      </c>
      <c r="G1148" s="85">
        <v>-393.4</v>
      </c>
    </row>
    <row r="1149" spans="1:7" x14ac:dyDescent="0.3">
      <c r="A1149" s="84">
        <v>2026</v>
      </c>
      <c r="B1149" s="84" t="s">
        <v>395</v>
      </c>
      <c r="C1149" s="84">
        <v>9</v>
      </c>
      <c r="D1149" s="84">
        <v>8</v>
      </c>
      <c r="E1149" s="85">
        <v>21931.360000000001</v>
      </c>
      <c r="F1149" s="85">
        <v>21734.240000000002</v>
      </c>
      <c r="G1149" s="85">
        <v>-197.12</v>
      </c>
    </row>
    <row r="1150" spans="1:7" x14ac:dyDescent="0.3">
      <c r="A1150" s="84">
        <v>2026</v>
      </c>
      <c r="B1150" s="84" t="s">
        <v>395</v>
      </c>
      <c r="C1150" s="84">
        <v>9</v>
      </c>
      <c r="D1150" s="84">
        <v>9</v>
      </c>
      <c r="E1150" s="85">
        <v>21931.360000000001</v>
      </c>
      <c r="F1150" s="85">
        <v>21931.360000000001</v>
      </c>
      <c r="G1150" s="85">
        <v>0</v>
      </c>
    </row>
    <row r="1151" spans="1:7" x14ac:dyDescent="0.3">
      <c r="A1151" s="84">
        <v>2026</v>
      </c>
      <c r="B1151" s="84" t="s">
        <v>395</v>
      </c>
      <c r="C1151" s="84">
        <v>9</v>
      </c>
      <c r="D1151" s="84">
        <v>10</v>
      </c>
      <c r="E1151" s="85">
        <v>21931.360000000001</v>
      </c>
      <c r="F1151" s="85">
        <v>22127.78</v>
      </c>
      <c r="G1151" s="85">
        <v>196.42</v>
      </c>
    </row>
    <row r="1152" spans="1:7" x14ac:dyDescent="0.3">
      <c r="A1152" s="84">
        <v>2026</v>
      </c>
      <c r="B1152" s="84" t="s">
        <v>395</v>
      </c>
      <c r="C1152" s="84">
        <v>9</v>
      </c>
      <c r="D1152" s="84">
        <v>11</v>
      </c>
      <c r="E1152" s="85">
        <v>21931.360000000001</v>
      </c>
      <c r="F1152" s="85">
        <v>22520.34</v>
      </c>
      <c r="G1152" s="85">
        <v>588.98</v>
      </c>
    </row>
    <row r="1153" spans="1:7" x14ac:dyDescent="0.3">
      <c r="A1153" s="84">
        <v>2026</v>
      </c>
      <c r="B1153" s="84" t="s">
        <v>395</v>
      </c>
      <c r="C1153" s="84">
        <v>9</v>
      </c>
      <c r="D1153" s="84">
        <v>12</v>
      </c>
      <c r="E1153" s="85">
        <v>21931.360000000001</v>
      </c>
      <c r="F1153" s="85">
        <v>22913.88</v>
      </c>
      <c r="G1153" s="85">
        <v>982.52</v>
      </c>
    </row>
    <row r="1154" spans="1:7" x14ac:dyDescent="0.3">
      <c r="A1154" s="84">
        <v>2026</v>
      </c>
      <c r="B1154" s="84" t="s">
        <v>395</v>
      </c>
      <c r="C1154" s="84">
        <v>9</v>
      </c>
      <c r="D1154" s="84">
        <v>13</v>
      </c>
      <c r="E1154" s="85">
        <v>21931.360000000001</v>
      </c>
      <c r="F1154" s="85">
        <v>23307.14</v>
      </c>
      <c r="G1154" s="85">
        <v>1375.78</v>
      </c>
    </row>
    <row r="1155" spans="1:7" x14ac:dyDescent="0.3">
      <c r="A1155" s="84">
        <v>2026</v>
      </c>
      <c r="B1155" s="84" t="s">
        <v>395</v>
      </c>
      <c r="C1155" s="84">
        <v>9</v>
      </c>
      <c r="D1155" s="84">
        <v>14</v>
      </c>
      <c r="E1155" s="85">
        <v>21931.360000000001</v>
      </c>
      <c r="F1155" s="85">
        <v>23700.959999999999</v>
      </c>
      <c r="G1155" s="85">
        <v>1769.6</v>
      </c>
    </row>
    <row r="1156" spans="1:7" x14ac:dyDescent="0.3">
      <c r="A1156" s="84">
        <v>2026</v>
      </c>
      <c r="B1156" s="84" t="s">
        <v>395</v>
      </c>
      <c r="C1156" s="84">
        <v>9</v>
      </c>
      <c r="D1156" s="84">
        <v>15</v>
      </c>
      <c r="E1156" s="85">
        <v>21931.360000000001</v>
      </c>
      <c r="F1156" s="85">
        <v>24093.24</v>
      </c>
      <c r="G1156" s="85">
        <v>2161.88</v>
      </c>
    </row>
    <row r="1157" spans="1:7" x14ac:dyDescent="0.3">
      <c r="A1157" s="84">
        <v>2026</v>
      </c>
      <c r="B1157" s="84" t="s">
        <v>395</v>
      </c>
      <c r="C1157" s="84">
        <v>9</v>
      </c>
      <c r="D1157" s="84">
        <v>16</v>
      </c>
      <c r="E1157" s="85">
        <v>21931.360000000001</v>
      </c>
      <c r="F1157" s="85">
        <v>24487.200000000001</v>
      </c>
      <c r="G1157" s="85">
        <v>2555.84</v>
      </c>
    </row>
    <row r="1158" spans="1:7" x14ac:dyDescent="0.3">
      <c r="A1158" s="84">
        <v>2026</v>
      </c>
      <c r="B1158" s="84" t="s">
        <v>395</v>
      </c>
      <c r="C1158" s="84">
        <v>9</v>
      </c>
      <c r="D1158" s="84">
        <v>17</v>
      </c>
      <c r="E1158" s="85">
        <v>21931.360000000001</v>
      </c>
      <c r="F1158" s="85">
        <v>24879.94</v>
      </c>
      <c r="G1158" s="85">
        <v>2948.58</v>
      </c>
    </row>
    <row r="1159" spans="1:7" x14ac:dyDescent="0.3">
      <c r="A1159" s="84">
        <v>2026</v>
      </c>
      <c r="B1159" s="84" t="s">
        <v>395</v>
      </c>
      <c r="C1159" s="84">
        <v>9</v>
      </c>
      <c r="D1159" s="84">
        <v>18</v>
      </c>
      <c r="E1159" s="85">
        <v>21931.360000000001</v>
      </c>
      <c r="F1159" s="85">
        <v>25273.02</v>
      </c>
      <c r="G1159" s="85">
        <v>3341.66</v>
      </c>
    </row>
    <row r="1160" spans="1:7" x14ac:dyDescent="0.3">
      <c r="A1160" s="84">
        <v>2026</v>
      </c>
      <c r="B1160" s="84" t="s">
        <v>395</v>
      </c>
      <c r="C1160" s="84">
        <v>9</v>
      </c>
      <c r="D1160" s="84">
        <v>19</v>
      </c>
      <c r="E1160" s="85">
        <v>21931.360000000001</v>
      </c>
      <c r="F1160" s="85">
        <v>25666.14</v>
      </c>
      <c r="G1160" s="85">
        <v>3734.78</v>
      </c>
    </row>
    <row r="1161" spans="1:7" x14ac:dyDescent="0.3">
      <c r="A1161" s="84">
        <v>2026</v>
      </c>
      <c r="B1161" s="84" t="s">
        <v>395</v>
      </c>
      <c r="C1161" s="84">
        <v>9</v>
      </c>
      <c r="D1161" s="84">
        <v>20</v>
      </c>
      <c r="E1161" s="85">
        <v>21931.360000000001</v>
      </c>
      <c r="F1161" s="85">
        <v>26059.119999999999</v>
      </c>
      <c r="G1161" s="85">
        <v>4127.76</v>
      </c>
    </row>
    <row r="1162" spans="1:7" x14ac:dyDescent="0.3">
      <c r="A1162" s="84">
        <v>2026</v>
      </c>
      <c r="B1162" s="84" t="s">
        <v>395</v>
      </c>
      <c r="C1162" s="84">
        <v>9</v>
      </c>
      <c r="D1162" s="84">
        <v>21</v>
      </c>
      <c r="E1162" s="85">
        <v>21931.360000000001</v>
      </c>
      <c r="F1162" s="85">
        <v>26648.52</v>
      </c>
      <c r="G1162" s="85">
        <v>4717.16</v>
      </c>
    </row>
    <row r="1163" spans="1:7" x14ac:dyDescent="0.3">
      <c r="A1163" s="84">
        <v>2026</v>
      </c>
      <c r="B1163" s="84" t="s">
        <v>395</v>
      </c>
      <c r="C1163" s="84">
        <v>9</v>
      </c>
      <c r="D1163" s="84">
        <v>22</v>
      </c>
      <c r="E1163" s="85">
        <v>21931.360000000001</v>
      </c>
      <c r="F1163" s="85">
        <v>27287.200000000001</v>
      </c>
      <c r="G1163" s="85">
        <v>5355.84</v>
      </c>
    </row>
    <row r="1164" spans="1:7" x14ac:dyDescent="0.3">
      <c r="A1164" s="84">
        <v>2026</v>
      </c>
      <c r="B1164" s="84" t="s">
        <v>395</v>
      </c>
      <c r="C1164" s="84">
        <v>9</v>
      </c>
      <c r="D1164" s="84">
        <v>23</v>
      </c>
      <c r="E1164" s="85">
        <v>21931.360000000001</v>
      </c>
      <c r="F1164" s="85">
        <v>27927.7</v>
      </c>
      <c r="G1164" s="85">
        <v>5996.34</v>
      </c>
    </row>
    <row r="1165" spans="1:7" x14ac:dyDescent="0.3">
      <c r="A1165" s="84">
        <v>2026</v>
      </c>
      <c r="B1165" s="84" t="s">
        <v>395</v>
      </c>
      <c r="C1165" s="84">
        <v>9</v>
      </c>
      <c r="D1165" s="84">
        <v>24</v>
      </c>
      <c r="E1165" s="85">
        <v>21931.360000000001</v>
      </c>
      <c r="F1165" s="85">
        <v>28566.94</v>
      </c>
      <c r="G1165" s="85">
        <v>6635.58</v>
      </c>
    </row>
    <row r="1166" spans="1:7" x14ac:dyDescent="0.3">
      <c r="A1166" s="84">
        <v>2026</v>
      </c>
      <c r="B1166" s="84" t="s">
        <v>395</v>
      </c>
      <c r="C1166" s="84">
        <v>9</v>
      </c>
      <c r="D1166" s="84">
        <v>25</v>
      </c>
      <c r="E1166" s="85">
        <v>21931.360000000001</v>
      </c>
      <c r="F1166" s="85">
        <v>29207.02</v>
      </c>
      <c r="G1166" s="85">
        <v>7275.66</v>
      </c>
    </row>
    <row r="1167" spans="1:7" x14ac:dyDescent="0.3">
      <c r="A1167" s="84">
        <v>2026</v>
      </c>
      <c r="B1167" s="84" t="s">
        <v>395</v>
      </c>
      <c r="C1167" s="84">
        <v>9</v>
      </c>
      <c r="D1167" s="84">
        <v>26</v>
      </c>
      <c r="E1167" s="85">
        <v>21931.360000000001</v>
      </c>
      <c r="F1167" s="85">
        <v>30586.3</v>
      </c>
      <c r="G1167" s="85">
        <v>8654.94</v>
      </c>
    </row>
    <row r="1168" spans="1:7" x14ac:dyDescent="0.3">
      <c r="A1168" s="84">
        <v>2026</v>
      </c>
      <c r="B1168" s="84" t="s">
        <v>395</v>
      </c>
      <c r="C1168" s="84">
        <v>9</v>
      </c>
      <c r="D1168" s="84">
        <v>27</v>
      </c>
      <c r="E1168" s="85">
        <v>21931.360000000001</v>
      </c>
      <c r="F1168" s="85">
        <v>32295.56</v>
      </c>
      <c r="G1168" s="85">
        <v>10364.200000000001</v>
      </c>
    </row>
    <row r="1169" spans="1:7" x14ac:dyDescent="0.3">
      <c r="A1169" s="84">
        <v>2026</v>
      </c>
      <c r="B1169" s="84" t="s">
        <v>395</v>
      </c>
      <c r="C1169" s="84">
        <v>9</v>
      </c>
      <c r="D1169" s="84">
        <v>28</v>
      </c>
      <c r="E1169" s="85">
        <v>21931.360000000001</v>
      </c>
      <c r="F1169" s="85">
        <v>32936.06</v>
      </c>
      <c r="G1169" s="85">
        <v>11004.7</v>
      </c>
    </row>
    <row r="1170" spans="1:7" x14ac:dyDescent="0.3">
      <c r="A1170" s="84">
        <v>2026</v>
      </c>
      <c r="B1170" s="84" t="s">
        <v>395</v>
      </c>
      <c r="C1170" s="84">
        <v>9</v>
      </c>
      <c r="D1170" s="84">
        <v>29</v>
      </c>
      <c r="E1170" s="85">
        <v>21931.360000000001</v>
      </c>
      <c r="F1170" s="85">
        <v>33575.4</v>
      </c>
      <c r="G1170" s="85">
        <v>11644.04</v>
      </c>
    </row>
    <row r="1171" spans="1:7" x14ac:dyDescent="0.3">
      <c r="A1171" s="84">
        <v>2026</v>
      </c>
      <c r="B1171" s="84" t="s">
        <v>395</v>
      </c>
      <c r="C1171" s="84">
        <v>9</v>
      </c>
      <c r="D1171" s="84">
        <v>30</v>
      </c>
      <c r="E1171" s="85">
        <v>21931.360000000001</v>
      </c>
      <c r="F1171" s="85">
        <v>35323.760000000002</v>
      </c>
      <c r="G1171" s="85">
        <v>13392.4</v>
      </c>
    </row>
    <row r="1172" spans="1:7" x14ac:dyDescent="0.3">
      <c r="A1172" s="84">
        <v>2026</v>
      </c>
      <c r="B1172" s="84" t="s">
        <v>395</v>
      </c>
      <c r="C1172" s="84">
        <v>10</v>
      </c>
      <c r="D1172" s="84">
        <v>1</v>
      </c>
      <c r="E1172" s="85">
        <v>22127.78</v>
      </c>
      <c r="F1172" s="85">
        <v>19966.32</v>
      </c>
      <c r="G1172" s="85">
        <v>-2161.46</v>
      </c>
    </row>
    <row r="1173" spans="1:7" x14ac:dyDescent="0.3">
      <c r="A1173" s="84">
        <v>2026</v>
      </c>
      <c r="B1173" s="84" t="s">
        <v>395</v>
      </c>
      <c r="C1173" s="84">
        <v>10</v>
      </c>
      <c r="D1173" s="84">
        <v>2</v>
      </c>
      <c r="E1173" s="85">
        <v>22127.78</v>
      </c>
      <c r="F1173" s="85">
        <v>20260.740000000002</v>
      </c>
      <c r="G1173" s="85">
        <v>-1867.04</v>
      </c>
    </row>
    <row r="1174" spans="1:7" x14ac:dyDescent="0.3">
      <c r="A1174" s="84">
        <v>2026</v>
      </c>
      <c r="B1174" s="84" t="s">
        <v>395</v>
      </c>
      <c r="C1174" s="84">
        <v>10</v>
      </c>
      <c r="D1174" s="84">
        <v>3</v>
      </c>
      <c r="E1174" s="85">
        <v>22127.78</v>
      </c>
      <c r="F1174" s="85">
        <v>20555.72</v>
      </c>
      <c r="G1174" s="85">
        <v>-1572.06</v>
      </c>
    </row>
    <row r="1175" spans="1:7" x14ac:dyDescent="0.3">
      <c r="A1175" s="84">
        <v>2026</v>
      </c>
      <c r="B1175" s="84" t="s">
        <v>395</v>
      </c>
      <c r="C1175" s="84">
        <v>10</v>
      </c>
      <c r="D1175" s="84">
        <v>4</v>
      </c>
      <c r="E1175" s="85">
        <v>22127.78</v>
      </c>
      <c r="F1175" s="85">
        <v>20849.86</v>
      </c>
      <c r="G1175" s="85">
        <v>-1277.92</v>
      </c>
    </row>
    <row r="1176" spans="1:7" x14ac:dyDescent="0.3">
      <c r="A1176" s="84">
        <v>2026</v>
      </c>
      <c r="B1176" s="84" t="s">
        <v>395</v>
      </c>
      <c r="C1176" s="84">
        <v>10</v>
      </c>
      <c r="D1176" s="84">
        <v>5</v>
      </c>
      <c r="E1176" s="85">
        <v>22127.78</v>
      </c>
      <c r="F1176" s="85">
        <v>21144.560000000001</v>
      </c>
      <c r="G1176" s="85">
        <v>-983.22</v>
      </c>
    </row>
    <row r="1177" spans="1:7" x14ac:dyDescent="0.3">
      <c r="A1177" s="84">
        <v>2026</v>
      </c>
      <c r="B1177" s="84" t="s">
        <v>395</v>
      </c>
      <c r="C1177" s="84">
        <v>10</v>
      </c>
      <c r="D1177" s="84">
        <v>6</v>
      </c>
      <c r="E1177" s="85">
        <v>22127.78</v>
      </c>
      <c r="F1177" s="85">
        <v>21341.26</v>
      </c>
      <c r="G1177" s="85">
        <v>-786.52</v>
      </c>
    </row>
    <row r="1178" spans="1:7" x14ac:dyDescent="0.3">
      <c r="A1178" s="84">
        <v>2026</v>
      </c>
      <c r="B1178" s="84" t="s">
        <v>395</v>
      </c>
      <c r="C1178" s="84">
        <v>10</v>
      </c>
      <c r="D1178" s="84">
        <v>7</v>
      </c>
      <c r="E1178" s="85">
        <v>22127.78</v>
      </c>
      <c r="F1178" s="85">
        <v>21537.96</v>
      </c>
      <c r="G1178" s="85">
        <v>-589.82000000000005</v>
      </c>
    </row>
    <row r="1179" spans="1:7" x14ac:dyDescent="0.3">
      <c r="A1179" s="84">
        <v>2026</v>
      </c>
      <c r="B1179" s="84" t="s">
        <v>395</v>
      </c>
      <c r="C1179" s="84">
        <v>10</v>
      </c>
      <c r="D1179" s="84">
        <v>8</v>
      </c>
      <c r="E1179" s="85">
        <v>22127.78</v>
      </c>
      <c r="F1179" s="85">
        <v>21734.240000000002</v>
      </c>
      <c r="G1179" s="85">
        <v>-393.54</v>
      </c>
    </row>
    <row r="1180" spans="1:7" x14ac:dyDescent="0.3">
      <c r="A1180" s="84">
        <v>2026</v>
      </c>
      <c r="B1180" s="84" t="s">
        <v>395</v>
      </c>
      <c r="C1180" s="84">
        <v>10</v>
      </c>
      <c r="D1180" s="84">
        <v>9</v>
      </c>
      <c r="E1180" s="85">
        <v>22127.78</v>
      </c>
      <c r="F1180" s="85">
        <v>21931.360000000001</v>
      </c>
      <c r="G1180" s="85">
        <v>-196.42</v>
      </c>
    </row>
    <row r="1181" spans="1:7" x14ac:dyDescent="0.3">
      <c r="A1181" s="84">
        <v>2026</v>
      </c>
      <c r="B1181" s="84" t="s">
        <v>395</v>
      </c>
      <c r="C1181" s="84">
        <v>10</v>
      </c>
      <c r="D1181" s="84">
        <v>10</v>
      </c>
      <c r="E1181" s="85">
        <v>22127.78</v>
      </c>
      <c r="F1181" s="85">
        <v>22127.78</v>
      </c>
      <c r="G1181" s="85">
        <v>0</v>
      </c>
    </row>
    <row r="1182" spans="1:7" x14ac:dyDescent="0.3">
      <c r="A1182" s="84">
        <v>2026</v>
      </c>
      <c r="B1182" s="84" t="s">
        <v>395</v>
      </c>
      <c r="C1182" s="84">
        <v>10</v>
      </c>
      <c r="D1182" s="84">
        <v>11</v>
      </c>
      <c r="E1182" s="85">
        <v>22127.78</v>
      </c>
      <c r="F1182" s="85">
        <v>22520.34</v>
      </c>
      <c r="G1182" s="85">
        <v>392.56</v>
      </c>
    </row>
    <row r="1183" spans="1:7" x14ac:dyDescent="0.3">
      <c r="A1183" s="84">
        <v>2026</v>
      </c>
      <c r="B1183" s="84" t="s">
        <v>395</v>
      </c>
      <c r="C1183" s="84">
        <v>10</v>
      </c>
      <c r="D1183" s="84">
        <v>12</v>
      </c>
      <c r="E1183" s="85">
        <v>22127.78</v>
      </c>
      <c r="F1183" s="85">
        <v>22913.88</v>
      </c>
      <c r="G1183" s="85">
        <v>786.1</v>
      </c>
    </row>
    <row r="1184" spans="1:7" x14ac:dyDescent="0.3">
      <c r="A1184" s="84">
        <v>2026</v>
      </c>
      <c r="B1184" s="84" t="s">
        <v>395</v>
      </c>
      <c r="C1184" s="84">
        <v>10</v>
      </c>
      <c r="D1184" s="84">
        <v>13</v>
      </c>
      <c r="E1184" s="85">
        <v>22127.78</v>
      </c>
      <c r="F1184" s="85">
        <v>23307.14</v>
      </c>
      <c r="G1184" s="85">
        <v>1179.3599999999999</v>
      </c>
    </row>
    <row r="1185" spans="1:7" x14ac:dyDescent="0.3">
      <c r="A1185" s="84">
        <v>2026</v>
      </c>
      <c r="B1185" s="84" t="s">
        <v>395</v>
      </c>
      <c r="C1185" s="84">
        <v>10</v>
      </c>
      <c r="D1185" s="84">
        <v>14</v>
      </c>
      <c r="E1185" s="85">
        <v>22127.78</v>
      </c>
      <c r="F1185" s="85">
        <v>23700.959999999999</v>
      </c>
      <c r="G1185" s="85">
        <v>1573.18</v>
      </c>
    </row>
    <row r="1186" spans="1:7" x14ac:dyDescent="0.3">
      <c r="A1186" s="84">
        <v>2026</v>
      </c>
      <c r="B1186" s="84" t="s">
        <v>395</v>
      </c>
      <c r="C1186" s="84">
        <v>10</v>
      </c>
      <c r="D1186" s="84">
        <v>15</v>
      </c>
      <c r="E1186" s="85">
        <v>22127.78</v>
      </c>
      <c r="F1186" s="85">
        <v>24093.24</v>
      </c>
      <c r="G1186" s="85">
        <v>1965.46</v>
      </c>
    </row>
    <row r="1187" spans="1:7" x14ac:dyDescent="0.3">
      <c r="A1187" s="84">
        <v>2026</v>
      </c>
      <c r="B1187" s="84" t="s">
        <v>395</v>
      </c>
      <c r="C1187" s="84">
        <v>10</v>
      </c>
      <c r="D1187" s="84">
        <v>16</v>
      </c>
      <c r="E1187" s="85">
        <v>22127.78</v>
      </c>
      <c r="F1187" s="85">
        <v>24487.200000000001</v>
      </c>
      <c r="G1187" s="85">
        <v>2359.42</v>
      </c>
    </row>
    <row r="1188" spans="1:7" x14ac:dyDescent="0.3">
      <c r="A1188" s="84">
        <v>2026</v>
      </c>
      <c r="B1188" s="84" t="s">
        <v>395</v>
      </c>
      <c r="C1188" s="84">
        <v>10</v>
      </c>
      <c r="D1188" s="84">
        <v>17</v>
      </c>
      <c r="E1188" s="85">
        <v>22127.78</v>
      </c>
      <c r="F1188" s="85">
        <v>24879.94</v>
      </c>
      <c r="G1188" s="85">
        <v>2752.16</v>
      </c>
    </row>
    <row r="1189" spans="1:7" x14ac:dyDescent="0.3">
      <c r="A1189" s="84">
        <v>2026</v>
      </c>
      <c r="B1189" s="84" t="s">
        <v>395</v>
      </c>
      <c r="C1189" s="84">
        <v>10</v>
      </c>
      <c r="D1189" s="84">
        <v>18</v>
      </c>
      <c r="E1189" s="85">
        <v>22127.78</v>
      </c>
      <c r="F1189" s="85">
        <v>25273.02</v>
      </c>
      <c r="G1189" s="85">
        <v>3145.24</v>
      </c>
    </row>
    <row r="1190" spans="1:7" x14ac:dyDescent="0.3">
      <c r="A1190" s="84">
        <v>2026</v>
      </c>
      <c r="B1190" s="84" t="s">
        <v>395</v>
      </c>
      <c r="C1190" s="84">
        <v>10</v>
      </c>
      <c r="D1190" s="84">
        <v>19</v>
      </c>
      <c r="E1190" s="85">
        <v>22127.78</v>
      </c>
      <c r="F1190" s="85">
        <v>25666.14</v>
      </c>
      <c r="G1190" s="85">
        <v>3538.36</v>
      </c>
    </row>
    <row r="1191" spans="1:7" x14ac:dyDescent="0.3">
      <c r="A1191" s="84">
        <v>2026</v>
      </c>
      <c r="B1191" s="84" t="s">
        <v>395</v>
      </c>
      <c r="C1191" s="84">
        <v>10</v>
      </c>
      <c r="D1191" s="84">
        <v>20</v>
      </c>
      <c r="E1191" s="85">
        <v>22127.78</v>
      </c>
      <c r="F1191" s="85">
        <v>26059.119999999999</v>
      </c>
      <c r="G1191" s="85">
        <v>3931.34</v>
      </c>
    </row>
    <row r="1192" spans="1:7" x14ac:dyDescent="0.3">
      <c r="A1192" s="84">
        <v>2026</v>
      </c>
      <c r="B1192" s="84" t="s">
        <v>395</v>
      </c>
      <c r="C1192" s="84">
        <v>10</v>
      </c>
      <c r="D1192" s="84">
        <v>21</v>
      </c>
      <c r="E1192" s="85">
        <v>22127.78</v>
      </c>
      <c r="F1192" s="85">
        <v>26648.52</v>
      </c>
      <c r="G1192" s="85">
        <v>4520.74</v>
      </c>
    </row>
    <row r="1193" spans="1:7" x14ac:dyDescent="0.3">
      <c r="A1193" s="84">
        <v>2026</v>
      </c>
      <c r="B1193" s="84" t="s">
        <v>395</v>
      </c>
      <c r="C1193" s="84">
        <v>10</v>
      </c>
      <c r="D1193" s="84">
        <v>22</v>
      </c>
      <c r="E1193" s="85">
        <v>22127.78</v>
      </c>
      <c r="F1193" s="85">
        <v>27287.200000000001</v>
      </c>
      <c r="G1193" s="85">
        <v>5159.42</v>
      </c>
    </row>
    <row r="1194" spans="1:7" x14ac:dyDescent="0.3">
      <c r="A1194" s="84">
        <v>2026</v>
      </c>
      <c r="B1194" s="84" t="s">
        <v>395</v>
      </c>
      <c r="C1194" s="84">
        <v>10</v>
      </c>
      <c r="D1194" s="84">
        <v>23</v>
      </c>
      <c r="E1194" s="85">
        <v>22127.78</v>
      </c>
      <c r="F1194" s="85">
        <v>27927.7</v>
      </c>
      <c r="G1194" s="85">
        <v>5799.92</v>
      </c>
    </row>
    <row r="1195" spans="1:7" x14ac:dyDescent="0.3">
      <c r="A1195" s="84">
        <v>2026</v>
      </c>
      <c r="B1195" s="84" t="s">
        <v>395</v>
      </c>
      <c r="C1195" s="84">
        <v>10</v>
      </c>
      <c r="D1195" s="84">
        <v>24</v>
      </c>
      <c r="E1195" s="85">
        <v>22127.78</v>
      </c>
      <c r="F1195" s="85">
        <v>28566.94</v>
      </c>
      <c r="G1195" s="85">
        <v>6439.16</v>
      </c>
    </row>
    <row r="1196" spans="1:7" x14ac:dyDescent="0.3">
      <c r="A1196" s="84">
        <v>2026</v>
      </c>
      <c r="B1196" s="84" t="s">
        <v>395</v>
      </c>
      <c r="C1196" s="84">
        <v>10</v>
      </c>
      <c r="D1196" s="84">
        <v>25</v>
      </c>
      <c r="E1196" s="85">
        <v>22127.78</v>
      </c>
      <c r="F1196" s="85">
        <v>29207.02</v>
      </c>
      <c r="G1196" s="85">
        <v>7079.24</v>
      </c>
    </row>
    <row r="1197" spans="1:7" x14ac:dyDescent="0.3">
      <c r="A1197" s="84">
        <v>2026</v>
      </c>
      <c r="B1197" s="84" t="s">
        <v>395</v>
      </c>
      <c r="C1197" s="84">
        <v>10</v>
      </c>
      <c r="D1197" s="84">
        <v>26</v>
      </c>
      <c r="E1197" s="85">
        <v>22127.78</v>
      </c>
      <c r="F1197" s="85">
        <v>30586.3</v>
      </c>
      <c r="G1197" s="85">
        <v>8458.52</v>
      </c>
    </row>
    <row r="1198" spans="1:7" x14ac:dyDescent="0.3">
      <c r="A1198" s="84">
        <v>2026</v>
      </c>
      <c r="B1198" s="84" t="s">
        <v>395</v>
      </c>
      <c r="C1198" s="84">
        <v>10</v>
      </c>
      <c r="D1198" s="84">
        <v>27</v>
      </c>
      <c r="E1198" s="85">
        <v>22127.78</v>
      </c>
      <c r="F1198" s="85">
        <v>32295.56</v>
      </c>
      <c r="G1198" s="85">
        <v>10167.780000000001</v>
      </c>
    </row>
    <row r="1199" spans="1:7" x14ac:dyDescent="0.3">
      <c r="A1199" s="84">
        <v>2026</v>
      </c>
      <c r="B1199" s="84" t="s">
        <v>395</v>
      </c>
      <c r="C1199" s="84">
        <v>10</v>
      </c>
      <c r="D1199" s="84">
        <v>28</v>
      </c>
      <c r="E1199" s="85">
        <v>22127.78</v>
      </c>
      <c r="F1199" s="85">
        <v>32936.06</v>
      </c>
      <c r="G1199" s="85">
        <v>10808.28</v>
      </c>
    </row>
    <row r="1200" spans="1:7" x14ac:dyDescent="0.3">
      <c r="A1200" s="84">
        <v>2026</v>
      </c>
      <c r="B1200" s="84" t="s">
        <v>395</v>
      </c>
      <c r="C1200" s="84">
        <v>10</v>
      </c>
      <c r="D1200" s="84">
        <v>29</v>
      </c>
      <c r="E1200" s="85">
        <v>22127.78</v>
      </c>
      <c r="F1200" s="85">
        <v>33575.4</v>
      </c>
      <c r="G1200" s="85">
        <v>11447.62</v>
      </c>
    </row>
    <row r="1201" spans="1:7" x14ac:dyDescent="0.3">
      <c r="A1201" s="84">
        <v>2026</v>
      </c>
      <c r="B1201" s="84" t="s">
        <v>395</v>
      </c>
      <c r="C1201" s="84">
        <v>10</v>
      </c>
      <c r="D1201" s="84">
        <v>30</v>
      </c>
      <c r="E1201" s="85">
        <v>22127.78</v>
      </c>
      <c r="F1201" s="85">
        <v>35323.760000000002</v>
      </c>
      <c r="G1201" s="85">
        <v>13195.98</v>
      </c>
    </row>
    <row r="1202" spans="1:7" x14ac:dyDescent="0.3">
      <c r="A1202" s="84">
        <v>2026</v>
      </c>
      <c r="B1202" s="84" t="s">
        <v>395</v>
      </c>
      <c r="C1202" s="84">
        <v>11</v>
      </c>
      <c r="D1202" s="84">
        <v>1</v>
      </c>
      <c r="E1202" s="85">
        <v>22520.34</v>
      </c>
      <c r="F1202" s="85">
        <v>19966.32</v>
      </c>
      <c r="G1202" s="85">
        <v>-2554.02</v>
      </c>
    </row>
    <row r="1203" spans="1:7" x14ac:dyDescent="0.3">
      <c r="A1203" s="84">
        <v>2026</v>
      </c>
      <c r="B1203" s="84" t="s">
        <v>395</v>
      </c>
      <c r="C1203" s="84">
        <v>11</v>
      </c>
      <c r="D1203" s="84">
        <v>2</v>
      </c>
      <c r="E1203" s="85">
        <v>22520.34</v>
      </c>
      <c r="F1203" s="85">
        <v>20260.740000000002</v>
      </c>
      <c r="G1203" s="85">
        <v>-2259.6</v>
      </c>
    </row>
    <row r="1204" spans="1:7" x14ac:dyDescent="0.3">
      <c r="A1204" s="84">
        <v>2026</v>
      </c>
      <c r="B1204" s="84" t="s">
        <v>395</v>
      </c>
      <c r="C1204" s="84">
        <v>11</v>
      </c>
      <c r="D1204" s="84">
        <v>3</v>
      </c>
      <c r="E1204" s="85">
        <v>22520.34</v>
      </c>
      <c r="F1204" s="85">
        <v>20555.72</v>
      </c>
      <c r="G1204" s="85">
        <v>-1964.62</v>
      </c>
    </row>
    <row r="1205" spans="1:7" x14ac:dyDescent="0.3">
      <c r="A1205" s="84">
        <v>2026</v>
      </c>
      <c r="B1205" s="84" t="s">
        <v>395</v>
      </c>
      <c r="C1205" s="84">
        <v>11</v>
      </c>
      <c r="D1205" s="84">
        <v>4</v>
      </c>
      <c r="E1205" s="85">
        <v>22520.34</v>
      </c>
      <c r="F1205" s="85">
        <v>20849.86</v>
      </c>
      <c r="G1205" s="85">
        <v>-1670.48</v>
      </c>
    </row>
    <row r="1206" spans="1:7" x14ac:dyDescent="0.3">
      <c r="A1206" s="84">
        <v>2026</v>
      </c>
      <c r="B1206" s="84" t="s">
        <v>395</v>
      </c>
      <c r="C1206" s="84">
        <v>11</v>
      </c>
      <c r="D1206" s="84">
        <v>5</v>
      </c>
      <c r="E1206" s="85">
        <v>22520.34</v>
      </c>
      <c r="F1206" s="85">
        <v>21144.560000000001</v>
      </c>
      <c r="G1206" s="85">
        <v>-1375.78</v>
      </c>
    </row>
    <row r="1207" spans="1:7" x14ac:dyDescent="0.3">
      <c r="A1207" s="84">
        <v>2026</v>
      </c>
      <c r="B1207" s="84" t="s">
        <v>395</v>
      </c>
      <c r="C1207" s="84">
        <v>11</v>
      </c>
      <c r="D1207" s="84">
        <v>6</v>
      </c>
      <c r="E1207" s="85">
        <v>22520.34</v>
      </c>
      <c r="F1207" s="85">
        <v>21341.26</v>
      </c>
      <c r="G1207" s="85">
        <v>-1179.08</v>
      </c>
    </row>
    <row r="1208" spans="1:7" x14ac:dyDescent="0.3">
      <c r="A1208" s="84">
        <v>2026</v>
      </c>
      <c r="B1208" s="84" t="s">
        <v>395</v>
      </c>
      <c r="C1208" s="84">
        <v>11</v>
      </c>
      <c r="D1208" s="84">
        <v>7</v>
      </c>
      <c r="E1208" s="85">
        <v>22520.34</v>
      </c>
      <c r="F1208" s="85">
        <v>21537.96</v>
      </c>
      <c r="G1208" s="85">
        <v>-982.38</v>
      </c>
    </row>
    <row r="1209" spans="1:7" x14ac:dyDescent="0.3">
      <c r="A1209" s="84">
        <v>2026</v>
      </c>
      <c r="B1209" s="84" t="s">
        <v>395</v>
      </c>
      <c r="C1209" s="84">
        <v>11</v>
      </c>
      <c r="D1209" s="84">
        <v>8</v>
      </c>
      <c r="E1209" s="85">
        <v>22520.34</v>
      </c>
      <c r="F1209" s="85">
        <v>21734.240000000002</v>
      </c>
      <c r="G1209" s="85">
        <v>-786.1</v>
      </c>
    </row>
    <row r="1210" spans="1:7" x14ac:dyDescent="0.3">
      <c r="A1210" s="84">
        <v>2026</v>
      </c>
      <c r="B1210" s="84" t="s">
        <v>395</v>
      </c>
      <c r="C1210" s="84">
        <v>11</v>
      </c>
      <c r="D1210" s="84">
        <v>9</v>
      </c>
      <c r="E1210" s="85">
        <v>22520.34</v>
      </c>
      <c r="F1210" s="85">
        <v>21931.360000000001</v>
      </c>
      <c r="G1210" s="85">
        <v>-588.98</v>
      </c>
    </row>
    <row r="1211" spans="1:7" x14ac:dyDescent="0.3">
      <c r="A1211" s="84">
        <v>2026</v>
      </c>
      <c r="B1211" s="84" t="s">
        <v>395</v>
      </c>
      <c r="C1211" s="84">
        <v>11</v>
      </c>
      <c r="D1211" s="84">
        <v>10</v>
      </c>
      <c r="E1211" s="85">
        <v>22520.34</v>
      </c>
      <c r="F1211" s="85">
        <v>22127.78</v>
      </c>
      <c r="G1211" s="85">
        <v>-392.56</v>
      </c>
    </row>
    <row r="1212" spans="1:7" x14ac:dyDescent="0.3">
      <c r="A1212" s="84">
        <v>2026</v>
      </c>
      <c r="B1212" s="84" t="s">
        <v>395</v>
      </c>
      <c r="C1212" s="84">
        <v>11</v>
      </c>
      <c r="D1212" s="84">
        <v>11</v>
      </c>
      <c r="E1212" s="85">
        <v>22520.34</v>
      </c>
      <c r="F1212" s="85">
        <v>22520.34</v>
      </c>
      <c r="G1212" s="85">
        <v>0</v>
      </c>
    </row>
    <row r="1213" spans="1:7" x14ac:dyDescent="0.3">
      <c r="A1213" s="84">
        <v>2026</v>
      </c>
      <c r="B1213" s="84" t="s">
        <v>395</v>
      </c>
      <c r="C1213" s="84">
        <v>11</v>
      </c>
      <c r="D1213" s="84">
        <v>12</v>
      </c>
      <c r="E1213" s="85">
        <v>22520.34</v>
      </c>
      <c r="F1213" s="85">
        <v>22913.88</v>
      </c>
      <c r="G1213" s="85">
        <v>393.54</v>
      </c>
    </row>
    <row r="1214" spans="1:7" x14ac:dyDescent="0.3">
      <c r="A1214" s="84">
        <v>2026</v>
      </c>
      <c r="B1214" s="84" t="s">
        <v>395</v>
      </c>
      <c r="C1214" s="84">
        <v>11</v>
      </c>
      <c r="D1214" s="84">
        <v>13</v>
      </c>
      <c r="E1214" s="85">
        <v>22520.34</v>
      </c>
      <c r="F1214" s="85">
        <v>23307.14</v>
      </c>
      <c r="G1214" s="85">
        <v>786.8</v>
      </c>
    </row>
    <row r="1215" spans="1:7" x14ac:dyDescent="0.3">
      <c r="A1215" s="84">
        <v>2026</v>
      </c>
      <c r="B1215" s="84" t="s">
        <v>395</v>
      </c>
      <c r="C1215" s="84">
        <v>11</v>
      </c>
      <c r="D1215" s="84">
        <v>14</v>
      </c>
      <c r="E1215" s="85">
        <v>22520.34</v>
      </c>
      <c r="F1215" s="85">
        <v>23700.959999999999</v>
      </c>
      <c r="G1215" s="85">
        <v>1180.6199999999999</v>
      </c>
    </row>
    <row r="1216" spans="1:7" x14ac:dyDescent="0.3">
      <c r="A1216" s="84">
        <v>2026</v>
      </c>
      <c r="B1216" s="84" t="s">
        <v>395</v>
      </c>
      <c r="C1216" s="84">
        <v>11</v>
      </c>
      <c r="D1216" s="84">
        <v>15</v>
      </c>
      <c r="E1216" s="85">
        <v>22520.34</v>
      </c>
      <c r="F1216" s="85">
        <v>24093.24</v>
      </c>
      <c r="G1216" s="85">
        <v>1572.9</v>
      </c>
    </row>
    <row r="1217" spans="1:7" x14ac:dyDescent="0.3">
      <c r="A1217" s="84">
        <v>2026</v>
      </c>
      <c r="B1217" s="84" t="s">
        <v>395</v>
      </c>
      <c r="C1217" s="84">
        <v>11</v>
      </c>
      <c r="D1217" s="84">
        <v>16</v>
      </c>
      <c r="E1217" s="85">
        <v>22520.34</v>
      </c>
      <c r="F1217" s="85">
        <v>24487.200000000001</v>
      </c>
      <c r="G1217" s="85">
        <v>1966.86</v>
      </c>
    </row>
    <row r="1218" spans="1:7" x14ac:dyDescent="0.3">
      <c r="A1218" s="84">
        <v>2026</v>
      </c>
      <c r="B1218" s="84" t="s">
        <v>395</v>
      </c>
      <c r="C1218" s="84">
        <v>11</v>
      </c>
      <c r="D1218" s="84">
        <v>17</v>
      </c>
      <c r="E1218" s="85">
        <v>22520.34</v>
      </c>
      <c r="F1218" s="85">
        <v>24879.94</v>
      </c>
      <c r="G1218" s="85">
        <v>2359.6</v>
      </c>
    </row>
    <row r="1219" spans="1:7" x14ac:dyDescent="0.3">
      <c r="A1219" s="84">
        <v>2026</v>
      </c>
      <c r="B1219" s="84" t="s">
        <v>395</v>
      </c>
      <c r="C1219" s="84">
        <v>11</v>
      </c>
      <c r="D1219" s="84">
        <v>18</v>
      </c>
      <c r="E1219" s="85">
        <v>22520.34</v>
      </c>
      <c r="F1219" s="85">
        <v>25273.02</v>
      </c>
      <c r="G1219" s="85">
        <v>2752.68</v>
      </c>
    </row>
    <row r="1220" spans="1:7" x14ac:dyDescent="0.3">
      <c r="A1220" s="84">
        <v>2026</v>
      </c>
      <c r="B1220" s="84" t="s">
        <v>395</v>
      </c>
      <c r="C1220" s="84">
        <v>11</v>
      </c>
      <c r="D1220" s="84">
        <v>19</v>
      </c>
      <c r="E1220" s="85">
        <v>22520.34</v>
      </c>
      <c r="F1220" s="85">
        <v>25666.14</v>
      </c>
      <c r="G1220" s="85">
        <v>3145.8</v>
      </c>
    </row>
    <row r="1221" spans="1:7" x14ac:dyDescent="0.3">
      <c r="A1221" s="84">
        <v>2026</v>
      </c>
      <c r="B1221" s="84" t="s">
        <v>395</v>
      </c>
      <c r="C1221" s="84">
        <v>11</v>
      </c>
      <c r="D1221" s="84">
        <v>20</v>
      </c>
      <c r="E1221" s="85">
        <v>22520.34</v>
      </c>
      <c r="F1221" s="85">
        <v>26059.119999999999</v>
      </c>
      <c r="G1221" s="85">
        <v>3538.78</v>
      </c>
    </row>
    <row r="1222" spans="1:7" x14ac:dyDescent="0.3">
      <c r="A1222" s="84">
        <v>2026</v>
      </c>
      <c r="B1222" s="84" t="s">
        <v>395</v>
      </c>
      <c r="C1222" s="84">
        <v>11</v>
      </c>
      <c r="D1222" s="84">
        <v>21</v>
      </c>
      <c r="E1222" s="85">
        <v>22520.34</v>
      </c>
      <c r="F1222" s="85">
        <v>26648.52</v>
      </c>
      <c r="G1222" s="85">
        <v>4128.18</v>
      </c>
    </row>
    <row r="1223" spans="1:7" x14ac:dyDescent="0.3">
      <c r="A1223" s="84">
        <v>2026</v>
      </c>
      <c r="B1223" s="84" t="s">
        <v>395</v>
      </c>
      <c r="C1223" s="84">
        <v>11</v>
      </c>
      <c r="D1223" s="84">
        <v>22</v>
      </c>
      <c r="E1223" s="85">
        <v>22520.34</v>
      </c>
      <c r="F1223" s="85">
        <v>27287.200000000001</v>
      </c>
      <c r="G1223" s="85">
        <v>4766.8599999999997</v>
      </c>
    </row>
    <row r="1224" spans="1:7" x14ac:dyDescent="0.3">
      <c r="A1224" s="84">
        <v>2026</v>
      </c>
      <c r="B1224" s="84" t="s">
        <v>395</v>
      </c>
      <c r="C1224" s="84">
        <v>11</v>
      </c>
      <c r="D1224" s="84">
        <v>23</v>
      </c>
      <c r="E1224" s="85">
        <v>22520.34</v>
      </c>
      <c r="F1224" s="85">
        <v>27927.7</v>
      </c>
      <c r="G1224" s="85">
        <v>5407.36</v>
      </c>
    </row>
    <row r="1225" spans="1:7" x14ac:dyDescent="0.3">
      <c r="A1225" s="84">
        <v>2026</v>
      </c>
      <c r="B1225" s="84" t="s">
        <v>395</v>
      </c>
      <c r="C1225" s="84">
        <v>11</v>
      </c>
      <c r="D1225" s="84">
        <v>24</v>
      </c>
      <c r="E1225" s="85">
        <v>22520.34</v>
      </c>
      <c r="F1225" s="85">
        <v>28566.94</v>
      </c>
      <c r="G1225" s="85">
        <v>6046.6</v>
      </c>
    </row>
    <row r="1226" spans="1:7" x14ac:dyDescent="0.3">
      <c r="A1226" s="84">
        <v>2026</v>
      </c>
      <c r="B1226" s="84" t="s">
        <v>395</v>
      </c>
      <c r="C1226" s="84">
        <v>11</v>
      </c>
      <c r="D1226" s="84">
        <v>25</v>
      </c>
      <c r="E1226" s="85">
        <v>22520.34</v>
      </c>
      <c r="F1226" s="85">
        <v>29207.02</v>
      </c>
      <c r="G1226" s="85">
        <v>6686.68</v>
      </c>
    </row>
    <row r="1227" spans="1:7" x14ac:dyDescent="0.3">
      <c r="A1227" s="84">
        <v>2026</v>
      </c>
      <c r="B1227" s="84" t="s">
        <v>395</v>
      </c>
      <c r="C1227" s="84">
        <v>11</v>
      </c>
      <c r="D1227" s="84">
        <v>26</v>
      </c>
      <c r="E1227" s="85">
        <v>22520.34</v>
      </c>
      <c r="F1227" s="85">
        <v>30586.3</v>
      </c>
      <c r="G1227" s="85">
        <v>8065.96</v>
      </c>
    </row>
    <row r="1228" spans="1:7" x14ac:dyDescent="0.3">
      <c r="A1228" s="84">
        <v>2026</v>
      </c>
      <c r="B1228" s="84" t="s">
        <v>395</v>
      </c>
      <c r="C1228" s="84">
        <v>11</v>
      </c>
      <c r="D1228" s="84">
        <v>27</v>
      </c>
      <c r="E1228" s="85">
        <v>22520.34</v>
      </c>
      <c r="F1228" s="85">
        <v>32295.56</v>
      </c>
      <c r="G1228" s="85">
        <v>9775.2199999999993</v>
      </c>
    </row>
    <row r="1229" spans="1:7" x14ac:dyDescent="0.3">
      <c r="A1229" s="84">
        <v>2026</v>
      </c>
      <c r="B1229" s="84" t="s">
        <v>395</v>
      </c>
      <c r="C1229" s="84">
        <v>11</v>
      </c>
      <c r="D1229" s="84">
        <v>28</v>
      </c>
      <c r="E1229" s="85">
        <v>22520.34</v>
      </c>
      <c r="F1229" s="85">
        <v>32936.06</v>
      </c>
      <c r="G1229" s="85">
        <v>10415.719999999999</v>
      </c>
    </row>
    <row r="1230" spans="1:7" x14ac:dyDescent="0.3">
      <c r="A1230" s="84">
        <v>2026</v>
      </c>
      <c r="B1230" s="84" t="s">
        <v>395</v>
      </c>
      <c r="C1230" s="84">
        <v>11</v>
      </c>
      <c r="D1230" s="84">
        <v>29</v>
      </c>
      <c r="E1230" s="85">
        <v>22520.34</v>
      </c>
      <c r="F1230" s="85">
        <v>33575.4</v>
      </c>
      <c r="G1230" s="85">
        <v>11055.06</v>
      </c>
    </row>
    <row r="1231" spans="1:7" x14ac:dyDescent="0.3">
      <c r="A1231" s="84">
        <v>2026</v>
      </c>
      <c r="B1231" s="84" t="s">
        <v>395</v>
      </c>
      <c r="C1231" s="84">
        <v>11</v>
      </c>
      <c r="D1231" s="84">
        <v>30</v>
      </c>
      <c r="E1231" s="85">
        <v>22520.34</v>
      </c>
      <c r="F1231" s="85">
        <v>35323.760000000002</v>
      </c>
      <c r="G1231" s="85">
        <v>12803.42</v>
      </c>
    </row>
    <row r="1232" spans="1:7" x14ac:dyDescent="0.3">
      <c r="A1232" s="84">
        <v>2026</v>
      </c>
      <c r="B1232" s="84" t="s">
        <v>395</v>
      </c>
      <c r="C1232" s="84">
        <v>12</v>
      </c>
      <c r="D1232" s="84">
        <v>1</v>
      </c>
      <c r="E1232" s="85">
        <v>22913.88</v>
      </c>
      <c r="F1232" s="85">
        <v>19966.32</v>
      </c>
      <c r="G1232" s="85">
        <v>-2947.56</v>
      </c>
    </row>
    <row r="1233" spans="1:7" x14ac:dyDescent="0.3">
      <c r="A1233" s="84">
        <v>2026</v>
      </c>
      <c r="B1233" s="84" t="s">
        <v>395</v>
      </c>
      <c r="C1233" s="84">
        <v>12</v>
      </c>
      <c r="D1233" s="84">
        <v>2</v>
      </c>
      <c r="E1233" s="85">
        <v>22913.88</v>
      </c>
      <c r="F1233" s="85">
        <v>20260.740000000002</v>
      </c>
      <c r="G1233" s="85">
        <v>-2653.14</v>
      </c>
    </row>
    <row r="1234" spans="1:7" x14ac:dyDescent="0.3">
      <c r="A1234" s="84">
        <v>2026</v>
      </c>
      <c r="B1234" s="84" t="s">
        <v>395</v>
      </c>
      <c r="C1234" s="84">
        <v>12</v>
      </c>
      <c r="D1234" s="84">
        <v>3</v>
      </c>
      <c r="E1234" s="85">
        <v>22913.88</v>
      </c>
      <c r="F1234" s="85">
        <v>20555.72</v>
      </c>
      <c r="G1234" s="85">
        <v>-2358.16</v>
      </c>
    </row>
    <row r="1235" spans="1:7" x14ac:dyDescent="0.3">
      <c r="A1235" s="84">
        <v>2026</v>
      </c>
      <c r="B1235" s="84" t="s">
        <v>395</v>
      </c>
      <c r="C1235" s="84">
        <v>12</v>
      </c>
      <c r="D1235" s="84">
        <v>4</v>
      </c>
      <c r="E1235" s="85">
        <v>22913.88</v>
      </c>
      <c r="F1235" s="85">
        <v>20849.86</v>
      </c>
      <c r="G1235" s="85">
        <v>-2064.02</v>
      </c>
    </row>
    <row r="1236" spans="1:7" x14ac:dyDescent="0.3">
      <c r="A1236" s="84">
        <v>2026</v>
      </c>
      <c r="B1236" s="84" t="s">
        <v>395</v>
      </c>
      <c r="C1236" s="84">
        <v>12</v>
      </c>
      <c r="D1236" s="84">
        <v>5</v>
      </c>
      <c r="E1236" s="85">
        <v>22913.88</v>
      </c>
      <c r="F1236" s="85">
        <v>21144.560000000001</v>
      </c>
      <c r="G1236" s="85">
        <v>-1769.32</v>
      </c>
    </row>
    <row r="1237" spans="1:7" x14ac:dyDescent="0.3">
      <c r="A1237" s="84">
        <v>2026</v>
      </c>
      <c r="B1237" s="84" t="s">
        <v>395</v>
      </c>
      <c r="C1237" s="84">
        <v>12</v>
      </c>
      <c r="D1237" s="84">
        <v>6</v>
      </c>
      <c r="E1237" s="85">
        <v>22913.88</v>
      </c>
      <c r="F1237" s="85">
        <v>21341.26</v>
      </c>
      <c r="G1237" s="85">
        <v>-1572.62</v>
      </c>
    </row>
    <row r="1238" spans="1:7" x14ac:dyDescent="0.3">
      <c r="A1238" s="84">
        <v>2026</v>
      </c>
      <c r="B1238" s="84" t="s">
        <v>395</v>
      </c>
      <c r="C1238" s="84">
        <v>12</v>
      </c>
      <c r="D1238" s="84">
        <v>7</v>
      </c>
      <c r="E1238" s="85">
        <v>22913.88</v>
      </c>
      <c r="F1238" s="85">
        <v>21537.96</v>
      </c>
      <c r="G1238" s="85">
        <v>-1375.92</v>
      </c>
    </row>
    <row r="1239" spans="1:7" x14ac:dyDescent="0.3">
      <c r="A1239" s="84">
        <v>2026</v>
      </c>
      <c r="B1239" s="84" t="s">
        <v>395</v>
      </c>
      <c r="C1239" s="84">
        <v>12</v>
      </c>
      <c r="D1239" s="84">
        <v>8</v>
      </c>
      <c r="E1239" s="85">
        <v>22913.88</v>
      </c>
      <c r="F1239" s="85">
        <v>21734.240000000002</v>
      </c>
      <c r="G1239" s="85">
        <v>-1179.6400000000001</v>
      </c>
    </row>
    <row r="1240" spans="1:7" x14ac:dyDescent="0.3">
      <c r="A1240" s="84">
        <v>2026</v>
      </c>
      <c r="B1240" s="84" t="s">
        <v>395</v>
      </c>
      <c r="C1240" s="84">
        <v>12</v>
      </c>
      <c r="D1240" s="84">
        <v>9</v>
      </c>
      <c r="E1240" s="85">
        <v>22913.88</v>
      </c>
      <c r="F1240" s="85">
        <v>21931.360000000001</v>
      </c>
      <c r="G1240" s="85">
        <v>-982.52</v>
      </c>
    </row>
    <row r="1241" spans="1:7" x14ac:dyDescent="0.3">
      <c r="A1241" s="84">
        <v>2026</v>
      </c>
      <c r="B1241" s="84" t="s">
        <v>395</v>
      </c>
      <c r="C1241" s="84">
        <v>12</v>
      </c>
      <c r="D1241" s="84">
        <v>10</v>
      </c>
      <c r="E1241" s="85">
        <v>22913.88</v>
      </c>
      <c r="F1241" s="85">
        <v>22127.78</v>
      </c>
      <c r="G1241" s="85">
        <v>-786.1</v>
      </c>
    </row>
    <row r="1242" spans="1:7" x14ac:dyDescent="0.3">
      <c r="A1242" s="84">
        <v>2026</v>
      </c>
      <c r="B1242" s="84" t="s">
        <v>395</v>
      </c>
      <c r="C1242" s="84">
        <v>12</v>
      </c>
      <c r="D1242" s="84">
        <v>11</v>
      </c>
      <c r="E1242" s="85">
        <v>22913.88</v>
      </c>
      <c r="F1242" s="85">
        <v>22520.34</v>
      </c>
      <c r="G1242" s="85">
        <v>-393.54</v>
      </c>
    </row>
    <row r="1243" spans="1:7" x14ac:dyDescent="0.3">
      <c r="A1243" s="84">
        <v>2026</v>
      </c>
      <c r="B1243" s="84" t="s">
        <v>395</v>
      </c>
      <c r="C1243" s="84">
        <v>12</v>
      </c>
      <c r="D1243" s="84">
        <v>12</v>
      </c>
      <c r="E1243" s="85">
        <v>22913.88</v>
      </c>
      <c r="F1243" s="85">
        <v>22913.88</v>
      </c>
      <c r="G1243" s="85">
        <v>0</v>
      </c>
    </row>
    <row r="1244" spans="1:7" x14ac:dyDescent="0.3">
      <c r="A1244" s="84">
        <v>2026</v>
      </c>
      <c r="B1244" s="84" t="s">
        <v>395</v>
      </c>
      <c r="C1244" s="84">
        <v>12</v>
      </c>
      <c r="D1244" s="84">
        <v>13</v>
      </c>
      <c r="E1244" s="85">
        <v>22913.88</v>
      </c>
      <c r="F1244" s="85">
        <v>23307.14</v>
      </c>
      <c r="G1244" s="85">
        <v>393.26</v>
      </c>
    </row>
    <row r="1245" spans="1:7" x14ac:dyDescent="0.3">
      <c r="A1245" s="84">
        <v>2026</v>
      </c>
      <c r="B1245" s="84" t="s">
        <v>395</v>
      </c>
      <c r="C1245" s="84">
        <v>12</v>
      </c>
      <c r="D1245" s="84">
        <v>14</v>
      </c>
      <c r="E1245" s="85">
        <v>22913.88</v>
      </c>
      <c r="F1245" s="85">
        <v>23700.959999999999</v>
      </c>
      <c r="G1245" s="85">
        <v>787.08</v>
      </c>
    </row>
    <row r="1246" spans="1:7" x14ac:dyDescent="0.3">
      <c r="A1246" s="84">
        <v>2026</v>
      </c>
      <c r="B1246" s="84" t="s">
        <v>395</v>
      </c>
      <c r="C1246" s="84">
        <v>12</v>
      </c>
      <c r="D1246" s="84">
        <v>15</v>
      </c>
      <c r="E1246" s="85">
        <v>22913.88</v>
      </c>
      <c r="F1246" s="85">
        <v>24093.24</v>
      </c>
      <c r="G1246" s="85">
        <v>1179.3599999999999</v>
      </c>
    </row>
    <row r="1247" spans="1:7" x14ac:dyDescent="0.3">
      <c r="A1247" s="84">
        <v>2026</v>
      </c>
      <c r="B1247" s="84" t="s">
        <v>395</v>
      </c>
      <c r="C1247" s="84">
        <v>12</v>
      </c>
      <c r="D1247" s="84">
        <v>16</v>
      </c>
      <c r="E1247" s="85">
        <v>22913.88</v>
      </c>
      <c r="F1247" s="85">
        <v>24487.200000000001</v>
      </c>
      <c r="G1247" s="85">
        <v>1573.32</v>
      </c>
    </row>
    <row r="1248" spans="1:7" x14ac:dyDescent="0.3">
      <c r="A1248" s="84">
        <v>2026</v>
      </c>
      <c r="B1248" s="84" t="s">
        <v>395</v>
      </c>
      <c r="C1248" s="84">
        <v>12</v>
      </c>
      <c r="D1248" s="84">
        <v>17</v>
      </c>
      <c r="E1248" s="85">
        <v>22913.88</v>
      </c>
      <c r="F1248" s="85">
        <v>24879.94</v>
      </c>
      <c r="G1248" s="85">
        <v>1966.06</v>
      </c>
    </row>
    <row r="1249" spans="1:7" x14ac:dyDescent="0.3">
      <c r="A1249" s="84">
        <v>2026</v>
      </c>
      <c r="B1249" s="84" t="s">
        <v>395</v>
      </c>
      <c r="C1249" s="84">
        <v>12</v>
      </c>
      <c r="D1249" s="84">
        <v>18</v>
      </c>
      <c r="E1249" s="85">
        <v>22913.88</v>
      </c>
      <c r="F1249" s="85">
        <v>25273.02</v>
      </c>
      <c r="G1249" s="85">
        <v>2359.14</v>
      </c>
    </row>
    <row r="1250" spans="1:7" x14ac:dyDescent="0.3">
      <c r="A1250" s="84">
        <v>2026</v>
      </c>
      <c r="B1250" s="84" t="s">
        <v>395</v>
      </c>
      <c r="C1250" s="84">
        <v>12</v>
      </c>
      <c r="D1250" s="84">
        <v>19</v>
      </c>
      <c r="E1250" s="85">
        <v>22913.88</v>
      </c>
      <c r="F1250" s="85">
        <v>25666.14</v>
      </c>
      <c r="G1250" s="85">
        <v>2752.26</v>
      </c>
    </row>
    <row r="1251" spans="1:7" x14ac:dyDescent="0.3">
      <c r="A1251" s="84">
        <v>2026</v>
      </c>
      <c r="B1251" s="84" t="s">
        <v>395</v>
      </c>
      <c r="C1251" s="84">
        <v>12</v>
      </c>
      <c r="D1251" s="84">
        <v>20</v>
      </c>
      <c r="E1251" s="85">
        <v>22913.88</v>
      </c>
      <c r="F1251" s="85">
        <v>26059.119999999999</v>
      </c>
      <c r="G1251" s="85">
        <v>3145.24</v>
      </c>
    </row>
    <row r="1252" spans="1:7" x14ac:dyDescent="0.3">
      <c r="A1252" s="84">
        <v>2026</v>
      </c>
      <c r="B1252" s="84" t="s">
        <v>395</v>
      </c>
      <c r="C1252" s="84">
        <v>12</v>
      </c>
      <c r="D1252" s="84">
        <v>21</v>
      </c>
      <c r="E1252" s="85">
        <v>22913.88</v>
      </c>
      <c r="F1252" s="85">
        <v>26648.52</v>
      </c>
      <c r="G1252" s="85">
        <v>3734.64</v>
      </c>
    </row>
    <row r="1253" spans="1:7" x14ac:dyDescent="0.3">
      <c r="A1253" s="84">
        <v>2026</v>
      </c>
      <c r="B1253" s="84" t="s">
        <v>395</v>
      </c>
      <c r="C1253" s="84">
        <v>12</v>
      </c>
      <c r="D1253" s="84">
        <v>22</v>
      </c>
      <c r="E1253" s="85">
        <v>22913.88</v>
      </c>
      <c r="F1253" s="85">
        <v>27287.200000000001</v>
      </c>
      <c r="G1253" s="85">
        <v>4373.32</v>
      </c>
    </row>
    <row r="1254" spans="1:7" x14ac:dyDescent="0.3">
      <c r="A1254" s="84">
        <v>2026</v>
      </c>
      <c r="B1254" s="84" t="s">
        <v>395</v>
      </c>
      <c r="C1254" s="84">
        <v>12</v>
      </c>
      <c r="D1254" s="84">
        <v>23</v>
      </c>
      <c r="E1254" s="85">
        <v>22913.88</v>
      </c>
      <c r="F1254" s="85">
        <v>27927.7</v>
      </c>
      <c r="G1254" s="85">
        <v>5013.82</v>
      </c>
    </row>
    <row r="1255" spans="1:7" x14ac:dyDescent="0.3">
      <c r="A1255" s="84">
        <v>2026</v>
      </c>
      <c r="B1255" s="84" t="s">
        <v>395</v>
      </c>
      <c r="C1255" s="84">
        <v>12</v>
      </c>
      <c r="D1255" s="84">
        <v>24</v>
      </c>
      <c r="E1255" s="85">
        <v>22913.88</v>
      </c>
      <c r="F1255" s="85">
        <v>28566.94</v>
      </c>
      <c r="G1255" s="85">
        <v>5653.06</v>
      </c>
    </row>
    <row r="1256" spans="1:7" x14ac:dyDescent="0.3">
      <c r="A1256" s="84">
        <v>2026</v>
      </c>
      <c r="B1256" s="84" t="s">
        <v>395</v>
      </c>
      <c r="C1256" s="84">
        <v>12</v>
      </c>
      <c r="D1256" s="84">
        <v>25</v>
      </c>
      <c r="E1256" s="85">
        <v>22913.88</v>
      </c>
      <c r="F1256" s="85">
        <v>29207.02</v>
      </c>
      <c r="G1256" s="85">
        <v>6293.14</v>
      </c>
    </row>
    <row r="1257" spans="1:7" x14ac:dyDescent="0.3">
      <c r="A1257" s="84">
        <v>2026</v>
      </c>
      <c r="B1257" s="84" t="s">
        <v>395</v>
      </c>
      <c r="C1257" s="84">
        <v>12</v>
      </c>
      <c r="D1257" s="84">
        <v>26</v>
      </c>
      <c r="E1257" s="85">
        <v>22913.88</v>
      </c>
      <c r="F1257" s="85">
        <v>30586.3</v>
      </c>
      <c r="G1257" s="85">
        <v>7672.42</v>
      </c>
    </row>
    <row r="1258" spans="1:7" x14ac:dyDescent="0.3">
      <c r="A1258" s="84">
        <v>2026</v>
      </c>
      <c r="B1258" s="84" t="s">
        <v>395</v>
      </c>
      <c r="C1258" s="84">
        <v>12</v>
      </c>
      <c r="D1258" s="84">
        <v>27</v>
      </c>
      <c r="E1258" s="85">
        <v>22913.88</v>
      </c>
      <c r="F1258" s="85">
        <v>32295.56</v>
      </c>
      <c r="G1258" s="85">
        <v>9381.68</v>
      </c>
    </row>
    <row r="1259" spans="1:7" x14ac:dyDescent="0.3">
      <c r="A1259" s="84">
        <v>2026</v>
      </c>
      <c r="B1259" s="84" t="s">
        <v>395</v>
      </c>
      <c r="C1259" s="84">
        <v>12</v>
      </c>
      <c r="D1259" s="84">
        <v>28</v>
      </c>
      <c r="E1259" s="85">
        <v>22913.88</v>
      </c>
      <c r="F1259" s="85">
        <v>32936.06</v>
      </c>
      <c r="G1259" s="85">
        <v>10022.18</v>
      </c>
    </row>
    <row r="1260" spans="1:7" x14ac:dyDescent="0.3">
      <c r="A1260" s="84">
        <v>2026</v>
      </c>
      <c r="B1260" s="84" t="s">
        <v>395</v>
      </c>
      <c r="C1260" s="84">
        <v>12</v>
      </c>
      <c r="D1260" s="84">
        <v>29</v>
      </c>
      <c r="E1260" s="85">
        <v>22913.88</v>
      </c>
      <c r="F1260" s="85">
        <v>33575.4</v>
      </c>
      <c r="G1260" s="85">
        <v>10661.52</v>
      </c>
    </row>
    <row r="1261" spans="1:7" x14ac:dyDescent="0.3">
      <c r="A1261" s="84">
        <v>2026</v>
      </c>
      <c r="B1261" s="84" t="s">
        <v>395</v>
      </c>
      <c r="C1261" s="84">
        <v>12</v>
      </c>
      <c r="D1261" s="84">
        <v>30</v>
      </c>
      <c r="E1261" s="85">
        <v>22913.88</v>
      </c>
      <c r="F1261" s="85">
        <v>35323.760000000002</v>
      </c>
      <c r="G1261" s="85">
        <v>12409.88</v>
      </c>
    </row>
    <row r="1262" spans="1:7" x14ac:dyDescent="0.3">
      <c r="A1262" s="84">
        <v>2026</v>
      </c>
      <c r="B1262" s="84" t="s">
        <v>395</v>
      </c>
      <c r="C1262" s="84">
        <v>13</v>
      </c>
      <c r="D1262" s="84">
        <v>1</v>
      </c>
      <c r="E1262" s="85">
        <v>23307.14</v>
      </c>
      <c r="F1262" s="85">
        <v>19966.32</v>
      </c>
      <c r="G1262" s="85">
        <v>-3340.82</v>
      </c>
    </row>
    <row r="1263" spans="1:7" x14ac:dyDescent="0.3">
      <c r="A1263" s="84">
        <v>2026</v>
      </c>
      <c r="B1263" s="84" t="s">
        <v>395</v>
      </c>
      <c r="C1263" s="84">
        <v>13</v>
      </c>
      <c r="D1263" s="84">
        <v>2</v>
      </c>
      <c r="E1263" s="85">
        <v>23307.14</v>
      </c>
      <c r="F1263" s="85">
        <v>20260.740000000002</v>
      </c>
      <c r="G1263" s="85">
        <v>-3046.4</v>
      </c>
    </row>
    <row r="1264" spans="1:7" x14ac:dyDescent="0.3">
      <c r="A1264" s="84">
        <v>2026</v>
      </c>
      <c r="B1264" s="84" t="s">
        <v>395</v>
      </c>
      <c r="C1264" s="84">
        <v>13</v>
      </c>
      <c r="D1264" s="84">
        <v>3</v>
      </c>
      <c r="E1264" s="85">
        <v>23307.14</v>
      </c>
      <c r="F1264" s="85">
        <v>20555.72</v>
      </c>
      <c r="G1264" s="85">
        <v>-2751.42</v>
      </c>
    </row>
    <row r="1265" spans="1:7" x14ac:dyDescent="0.3">
      <c r="A1265" s="84">
        <v>2026</v>
      </c>
      <c r="B1265" s="84" t="s">
        <v>395</v>
      </c>
      <c r="C1265" s="84">
        <v>13</v>
      </c>
      <c r="D1265" s="84">
        <v>4</v>
      </c>
      <c r="E1265" s="85">
        <v>23307.14</v>
      </c>
      <c r="F1265" s="85">
        <v>20849.86</v>
      </c>
      <c r="G1265" s="85">
        <v>-2457.2800000000002</v>
      </c>
    </row>
    <row r="1266" spans="1:7" x14ac:dyDescent="0.3">
      <c r="A1266" s="84">
        <v>2026</v>
      </c>
      <c r="B1266" s="84" t="s">
        <v>395</v>
      </c>
      <c r="C1266" s="84">
        <v>13</v>
      </c>
      <c r="D1266" s="84">
        <v>5</v>
      </c>
      <c r="E1266" s="85">
        <v>23307.14</v>
      </c>
      <c r="F1266" s="85">
        <v>21144.560000000001</v>
      </c>
      <c r="G1266" s="85">
        <v>-2162.58</v>
      </c>
    </row>
    <row r="1267" spans="1:7" x14ac:dyDescent="0.3">
      <c r="A1267" s="84">
        <v>2026</v>
      </c>
      <c r="B1267" s="84" t="s">
        <v>395</v>
      </c>
      <c r="C1267" s="84">
        <v>13</v>
      </c>
      <c r="D1267" s="84">
        <v>6</v>
      </c>
      <c r="E1267" s="85">
        <v>23307.14</v>
      </c>
      <c r="F1267" s="85">
        <v>21341.26</v>
      </c>
      <c r="G1267" s="85">
        <v>-1965.88</v>
      </c>
    </row>
    <row r="1268" spans="1:7" x14ac:dyDescent="0.3">
      <c r="A1268" s="84">
        <v>2026</v>
      </c>
      <c r="B1268" s="84" t="s">
        <v>395</v>
      </c>
      <c r="C1268" s="84">
        <v>13</v>
      </c>
      <c r="D1268" s="84">
        <v>7</v>
      </c>
      <c r="E1268" s="85">
        <v>23307.14</v>
      </c>
      <c r="F1268" s="85">
        <v>21537.96</v>
      </c>
      <c r="G1268" s="85">
        <v>-1769.18</v>
      </c>
    </row>
    <row r="1269" spans="1:7" x14ac:dyDescent="0.3">
      <c r="A1269" s="84">
        <v>2026</v>
      </c>
      <c r="B1269" s="84" t="s">
        <v>395</v>
      </c>
      <c r="C1269" s="84">
        <v>13</v>
      </c>
      <c r="D1269" s="84">
        <v>8</v>
      </c>
      <c r="E1269" s="85">
        <v>23307.14</v>
      </c>
      <c r="F1269" s="85">
        <v>21734.240000000002</v>
      </c>
      <c r="G1269" s="85">
        <v>-1572.9</v>
      </c>
    </row>
    <row r="1270" spans="1:7" x14ac:dyDescent="0.3">
      <c r="A1270" s="84">
        <v>2026</v>
      </c>
      <c r="B1270" s="84" t="s">
        <v>395</v>
      </c>
      <c r="C1270" s="84">
        <v>13</v>
      </c>
      <c r="D1270" s="84">
        <v>9</v>
      </c>
      <c r="E1270" s="85">
        <v>23307.14</v>
      </c>
      <c r="F1270" s="85">
        <v>21931.360000000001</v>
      </c>
      <c r="G1270" s="85">
        <v>-1375.78</v>
      </c>
    </row>
    <row r="1271" spans="1:7" x14ac:dyDescent="0.3">
      <c r="A1271" s="84">
        <v>2026</v>
      </c>
      <c r="B1271" s="84" t="s">
        <v>395</v>
      </c>
      <c r="C1271" s="84">
        <v>13</v>
      </c>
      <c r="D1271" s="84">
        <v>10</v>
      </c>
      <c r="E1271" s="85">
        <v>23307.14</v>
      </c>
      <c r="F1271" s="85">
        <v>22127.78</v>
      </c>
      <c r="G1271" s="85">
        <v>-1179.3599999999999</v>
      </c>
    </row>
    <row r="1272" spans="1:7" x14ac:dyDescent="0.3">
      <c r="A1272" s="84">
        <v>2026</v>
      </c>
      <c r="B1272" s="84" t="s">
        <v>395</v>
      </c>
      <c r="C1272" s="84">
        <v>13</v>
      </c>
      <c r="D1272" s="84">
        <v>11</v>
      </c>
      <c r="E1272" s="85">
        <v>23307.14</v>
      </c>
      <c r="F1272" s="85">
        <v>22520.34</v>
      </c>
      <c r="G1272" s="85">
        <v>-786.8</v>
      </c>
    </row>
    <row r="1273" spans="1:7" x14ac:dyDescent="0.3">
      <c r="A1273" s="84">
        <v>2026</v>
      </c>
      <c r="B1273" s="84" t="s">
        <v>395</v>
      </c>
      <c r="C1273" s="84">
        <v>13</v>
      </c>
      <c r="D1273" s="84">
        <v>12</v>
      </c>
      <c r="E1273" s="85">
        <v>23307.14</v>
      </c>
      <c r="F1273" s="85">
        <v>22913.88</v>
      </c>
      <c r="G1273" s="85">
        <v>-393.26</v>
      </c>
    </row>
    <row r="1274" spans="1:7" x14ac:dyDescent="0.3">
      <c r="A1274" s="84">
        <v>2026</v>
      </c>
      <c r="B1274" s="84" t="s">
        <v>395</v>
      </c>
      <c r="C1274" s="84">
        <v>13</v>
      </c>
      <c r="D1274" s="84">
        <v>13</v>
      </c>
      <c r="E1274" s="85">
        <v>23307.14</v>
      </c>
      <c r="F1274" s="85">
        <v>23307.14</v>
      </c>
      <c r="G1274" s="85">
        <v>0</v>
      </c>
    </row>
    <row r="1275" spans="1:7" x14ac:dyDescent="0.3">
      <c r="A1275" s="84">
        <v>2026</v>
      </c>
      <c r="B1275" s="84" t="s">
        <v>395</v>
      </c>
      <c r="C1275" s="84">
        <v>13</v>
      </c>
      <c r="D1275" s="84">
        <v>14</v>
      </c>
      <c r="E1275" s="85">
        <v>23307.14</v>
      </c>
      <c r="F1275" s="85">
        <v>23700.959999999999</v>
      </c>
      <c r="G1275" s="85">
        <v>393.82</v>
      </c>
    </row>
    <row r="1276" spans="1:7" x14ac:dyDescent="0.3">
      <c r="A1276" s="84">
        <v>2026</v>
      </c>
      <c r="B1276" s="84" t="s">
        <v>395</v>
      </c>
      <c r="C1276" s="84">
        <v>13</v>
      </c>
      <c r="D1276" s="84">
        <v>15</v>
      </c>
      <c r="E1276" s="85">
        <v>23307.14</v>
      </c>
      <c r="F1276" s="85">
        <v>24093.24</v>
      </c>
      <c r="G1276" s="85">
        <v>786.1</v>
      </c>
    </row>
    <row r="1277" spans="1:7" x14ac:dyDescent="0.3">
      <c r="A1277" s="84">
        <v>2026</v>
      </c>
      <c r="B1277" s="84" t="s">
        <v>395</v>
      </c>
      <c r="C1277" s="84">
        <v>13</v>
      </c>
      <c r="D1277" s="84">
        <v>16</v>
      </c>
      <c r="E1277" s="85">
        <v>23307.14</v>
      </c>
      <c r="F1277" s="85">
        <v>24487.200000000001</v>
      </c>
      <c r="G1277" s="85">
        <v>1180.06</v>
      </c>
    </row>
    <row r="1278" spans="1:7" x14ac:dyDescent="0.3">
      <c r="A1278" s="84">
        <v>2026</v>
      </c>
      <c r="B1278" s="84" t="s">
        <v>395</v>
      </c>
      <c r="C1278" s="84">
        <v>13</v>
      </c>
      <c r="D1278" s="84">
        <v>17</v>
      </c>
      <c r="E1278" s="85">
        <v>23307.14</v>
      </c>
      <c r="F1278" s="85">
        <v>24879.94</v>
      </c>
      <c r="G1278" s="85">
        <v>1572.8</v>
      </c>
    </row>
    <row r="1279" spans="1:7" x14ac:dyDescent="0.3">
      <c r="A1279" s="84">
        <v>2026</v>
      </c>
      <c r="B1279" s="84" t="s">
        <v>395</v>
      </c>
      <c r="C1279" s="84">
        <v>13</v>
      </c>
      <c r="D1279" s="84">
        <v>18</v>
      </c>
      <c r="E1279" s="85">
        <v>23307.14</v>
      </c>
      <c r="F1279" s="85">
        <v>25273.02</v>
      </c>
      <c r="G1279" s="85">
        <v>1965.88</v>
      </c>
    </row>
    <row r="1280" spans="1:7" x14ac:dyDescent="0.3">
      <c r="A1280" s="84">
        <v>2026</v>
      </c>
      <c r="B1280" s="84" t="s">
        <v>395</v>
      </c>
      <c r="C1280" s="84">
        <v>13</v>
      </c>
      <c r="D1280" s="84">
        <v>19</v>
      </c>
      <c r="E1280" s="85">
        <v>23307.14</v>
      </c>
      <c r="F1280" s="85">
        <v>25666.14</v>
      </c>
      <c r="G1280" s="85">
        <v>2359</v>
      </c>
    </row>
    <row r="1281" spans="1:7" x14ac:dyDescent="0.3">
      <c r="A1281" s="84">
        <v>2026</v>
      </c>
      <c r="B1281" s="84" t="s">
        <v>395</v>
      </c>
      <c r="C1281" s="84">
        <v>13</v>
      </c>
      <c r="D1281" s="84">
        <v>20</v>
      </c>
      <c r="E1281" s="85">
        <v>23307.14</v>
      </c>
      <c r="F1281" s="85">
        <v>26059.119999999999</v>
      </c>
      <c r="G1281" s="85">
        <v>2751.98</v>
      </c>
    </row>
    <row r="1282" spans="1:7" x14ac:dyDescent="0.3">
      <c r="A1282" s="84">
        <v>2026</v>
      </c>
      <c r="B1282" s="84" t="s">
        <v>395</v>
      </c>
      <c r="C1282" s="84">
        <v>13</v>
      </c>
      <c r="D1282" s="84">
        <v>21</v>
      </c>
      <c r="E1282" s="85">
        <v>23307.14</v>
      </c>
      <c r="F1282" s="85">
        <v>26648.52</v>
      </c>
      <c r="G1282" s="85">
        <v>3341.38</v>
      </c>
    </row>
    <row r="1283" spans="1:7" x14ac:dyDescent="0.3">
      <c r="A1283" s="84">
        <v>2026</v>
      </c>
      <c r="B1283" s="84" t="s">
        <v>395</v>
      </c>
      <c r="C1283" s="84">
        <v>13</v>
      </c>
      <c r="D1283" s="84">
        <v>22</v>
      </c>
      <c r="E1283" s="85">
        <v>23307.14</v>
      </c>
      <c r="F1283" s="85">
        <v>27287.200000000001</v>
      </c>
      <c r="G1283" s="85">
        <v>3980.06</v>
      </c>
    </row>
    <row r="1284" spans="1:7" x14ac:dyDescent="0.3">
      <c r="A1284" s="84">
        <v>2026</v>
      </c>
      <c r="B1284" s="84" t="s">
        <v>395</v>
      </c>
      <c r="C1284" s="84">
        <v>13</v>
      </c>
      <c r="D1284" s="84">
        <v>23</v>
      </c>
      <c r="E1284" s="85">
        <v>23307.14</v>
      </c>
      <c r="F1284" s="85">
        <v>27927.7</v>
      </c>
      <c r="G1284" s="85">
        <v>4620.5600000000004</v>
      </c>
    </row>
    <row r="1285" spans="1:7" x14ac:dyDescent="0.3">
      <c r="A1285" s="84">
        <v>2026</v>
      </c>
      <c r="B1285" s="84" t="s">
        <v>395</v>
      </c>
      <c r="C1285" s="84">
        <v>13</v>
      </c>
      <c r="D1285" s="84">
        <v>24</v>
      </c>
      <c r="E1285" s="85">
        <v>23307.14</v>
      </c>
      <c r="F1285" s="85">
        <v>28566.94</v>
      </c>
      <c r="G1285" s="85">
        <v>5259.8</v>
      </c>
    </row>
    <row r="1286" spans="1:7" x14ac:dyDescent="0.3">
      <c r="A1286" s="84">
        <v>2026</v>
      </c>
      <c r="B1286" s="84" t="s">
        <v>395</v>
      </c>
      <c r="C1286" s="84">
        <v>13</v>
      </c>
      <c r="D1286" s="84">
        <v>25</v>
      </c>
      <c r="E1286" s="85">
        <v>23307.14</v>
      </c>
      <c r="F1286" s="85">
        <v>29207.02</v>
      </c>
      <c r="G1286" s="85">
        <v>5899.88</v>
      </c>
    </row>
    <row r="1287" spans="1:7" x14ac:dyDescent="0.3">
      <c r="A1287" s="84">
        <v>2026</v>
      </c>
      <c r="B1287" s="84" t="s">
        <v>395</v>
      </c>
      <c r="C1287" s="84">
        <v>13</v>
      </c>
      <c r="D1287" s="84">
        <v>26</v>
      </c>
      <c r="E1287" s="85">
        <v>23307.14</v>
      </c>
      <c r="F1287" s="85">
        <v>30586.3</v>
      </c>
      <c r="G1287" s="85">
        <v>7279.16</v>
      </c>
    </row>
    <row r="1288" spans="1:7" x14ac:dyDescent="0.3">
      <c r="A1288" s="84">
        <v>2026</v>
      </c>
      <c r="B1288" s="84" t="s">
        <v>395</v>
      </c>
      <c r="C1288" s="84">
        <v>13</v>
      </c>
      <c r="D1288" s="84">
        <v>27</v>
      </c>
      <c r="E1288" s="85">
        <v>23307.14</v>
      </c>
      <c r="F1288" s="85">
        <v>32295.56</v>
      </c>
      <c r="G1288" s="85">
        <v>8988.42</v>
      </c>
    </row>
    <row r="1289" spans="1:7" x14ac:dyDescent="0.3">
      <c r="A1289" s="84">
        <v>2026</v>
      </c>
      <c r="B1289" s="84" t="s">
        <v>395</v>
      </c>
      <c r="C1289" s="84">
        <v>13</v>
      </c>
      <c r="D1289" s="84">
        <v>28</v>
      </c>
      <c r="E1289" s="85">
        <v>23307.14</v>
      </c>
      <c r="F1289" s="85">
        <v>32936.06</v>
      </c>
      <c r="G1289" s="85">
        <v>9628.92</v>
      </c>
    </row>
    <row r="1290" spans="1:7" x14ac:dyDescent="0.3">
      <c r="A1290" s="84">
        <v>2026</v>
      </c>
      <c r="B1290" s="84" t="s">
        <v>395</v>
      </c>
      <c r="C1290" s="84">
        <v>13</v>
      </c>
      <c r="D1290" s="84">
        <v>29</v>
      </c>
      <c r="E1290" s="85">
        <v>23307.14</v>
      </c>
      <c r="F1290" s="85">
        <v>33575.4</v>
      </c>
      <c r="G1290" s="85">
        <v>10268.26</v>
      </c>
    </row>
    <row r="1291" spans="1:7" x14ac:dyDescent="0.3">
      <c r="A1291" s="84">
        <v>2026</v>
      </c>
      <c r="B1291" s="84" t="s">
        <v>395</v>
      </c>
      <c r="C1291" s="84">
        <v>13</v>
      </c>
      <c r="D1291" s="84">
        <v>30</v>
      </c>
      <c r="E1291" s="85">
        <v>23307.14</v>
      </c>
      <c r="F1291" s="85">
        <v>35323.760000000002</v>
      </c>
      <c r="G1291" s="85">
        <v>12016.62</v>
      </c>
    </row>
    <row r="1292" spans="1:7" x14ac:dyDescent="0.3">
      <c r="A1292" s="84">
        <v>2026</v>
      </c>
      <c r="B1292" s="84" t="s">
        <v>395</v>
      </c>
      <c r="C1292" s="84">
        <v>14</v>
      </c>
      <c r="D1292" s="84">
        <v>1</v>
      </c>
      <c r="E1292" s="85">
        <v>23700.959999999999</v>
      </c>
      <c r="F1292" s="85">
        <v>19966.32</v>
      </c>
      <c r="G1292" s="85">
        <v>-3734.64</v>
      </c>
    </row>
    <row r="1293" spans="1:7" x14ac:dyDescent="0.3">
      <c r="A1293" s="84">
        <v>2026</v>
      </c>
      <c r="B1293" s="84" t="s">
        <v>395</v>
      </c>
      <c r="C1293" s="84">
        <v>14</v>
      </c>
      <c r="D1293" s="84">
        <v>2</v>
      </c>
      <c r="E1293" s="85">
        <v>23700.959999999999</v>
      </c>
      <c r="F1293" s="85">
        <v>20260.740000000002</v>
      </c>
      <c r="G1293" s="85">
        <v>-3440.22</v>
      </c>
    </row>
    <row r="1294" spans="1:7" x14ac:dyDescent="0.3">
      <c r="A1294" s="84">
        <v>2026</v>
      </c>
      <c r="B1294" s="84" t="s">
        <v>395</v>
      </c>
      <c r="C1294" s="84">
        <v>14</v>
      </c>
      <c r="D1294" s="84">
        <v>3</v>
      </c>
      <c r="E1294" s="85">
        <v>23700.959999999999</v>
      </c>
      <c r="F1294" s="85">
        <v>20555.72</v>
      </c>
      <c r="G1294" s="85">
        <v>-3145.24</v>
      </c>
    </row>
    <row r="1295" spans="1:7" x14ac:dyDescent="0.3">
      <c r="A1295" s="84">
        <v>2026</v>
      </c>
      <c r="B1295" s="84" t="s">
        <v>395</v>
      </c>
      <c r="C1295" s="84">
        <v>14</v>
      </c>
      <c r="D1295" s="84">
        <v>4</v>
      </c>
      <c r="E1295" s="85">
        <v>23700.959999999999</v>
      </c>
      <c r="F1295" s="85">
        <v>20849.86</v>
      </c>
      <c r="G1295" s="85">
        <v>-2851.1</v>
      </c>
    </row>
    <row r="1296" spans="1:7" x14ac:dyDescent="0.3">
      <c r="A1296" s="84">
        <v>2026</v>
      </c>
      <c r="B1296" s="84" t="s">
        <v>395</v>
      </c>
      <c r="C1296" s="84">
        <v>14</v>
      </c>
      <c r="D1296" s="84">
        <v>5</v>
      </c>
      <c r="E1296" s="85">
        <v>23700.959999999999</v>
      </c>
      <c r="F1296" s="85">
        <v>21144.560000000001</v>
      </c>
      <c r="G1296" s="85">
        <v>-2556.4</v>
      </c>
    </row>
    <row r="1297" spans="1:7" x14ac:dyDescent="0.3">
      <c r="A1297" s="84">
        <v>2026</v>
      </c>
      <c r="B1297" s="84" t="s">
        <v>395</v>
      </c>
      <c r="C1297" s="84">
        <v>14</v>
      </c>
      <c r="D1297" s="84">
        <v>6</v>
      </c>
      <c r="E1297" s="85">
        <v>23700.959999999999</v>
      </c>
      <c r="F1297" s="85">
        <v>21341.26</v>
      </c>
      <c r="G1297" s="85">
        <v>-2359.6999999999998</v>
      </c>
    </row>
    <row r="1298" spans="1:7" x14ac:dyDescent="0.3">
      <c r="A1298" s="84">
        <v>2026</v>
      </c>
      <c r="B1298" s="84" t="s">
        <v>395</v>
      </c>
      <c r="C1298" s="84">
        <v>14</v>
      </c>
      <c r="D1298" s="84">
        <v>7</v>
      </c>
      <c r="E1298" s="85">
        <v>23700.959999999999</v>
      </c>
      <c r="F1298" s="85">
        <v>21537.96</v>
      </c>
      <c r="G1298" s="85">
        <v>-2163</v>
      </c>
    </row>
    <row r="1299" spans="1:7" x14ac:dyDescent="0.3">
      <c r="A1299" s="84">
        <v>2026</v>
      </c>
      <c r="B1299" s="84" t="s">
        <v>395</v>
      </c>
      <c r="C1299" s="84">
        <v>14</v>
      </c>
      <c r="D1299" s="84">
        <v>8</v>
      </c>
      <c r="E1299" s="85">
        <v>23700.959999999999</v>
      </c>
      <c r="F1299" s="85">
        <v>21734.240000000002</v>
      </c>
      <c r="G1299" s="85">
        <v>-1966.72</v>
      </c>
    </row>
    <row r="1300" spans="1:7" x14ac:dyDescent="0.3">
      <c r="A1300" s="84">
        <v>2026</v>
      </c>
      <c r="B1300" s="84" t="s">
        <v>395</v>
      </c>
      <c r="C1300" s="84">
        <v>14</v>
      </c>
      <c r="D1300" s="84">
        <v>9</v>
      </c>
      <c r="E1300" s="85">
        <v>23700.959999999999</v>
      </c>
      <c r="F1300" s="85">
        <v>21931.360000000001</v>
      </c>
      <c r="G1300" s="85">
        <v>-1769.6</v>
      </c>
    </row>
    <row r="1301" spans="1:7" x14ac:dyDescent="0.3">
      <c r="A1301" s="84">
        <v>2026</v>
      </c>
      <c r="B1301" s="84" t="s">
        <v>395</v>
      </c>
      <c r="C1301" s="84">
        <v>14</v>
      </c>
      <c r="D1301" s="84">
        <v>10</v>
      </c>
      <c r="E1301" s="85">
        <v>23700.959999999999</v>
      </c>
      <c r="F1301" s="85">
        <v>22127.78</v>
      </c>
      <c r="G1301" s="85">
        <v>-1573.18</v>
      </c>
    </row>
    <row r="1302" spans="1:7" x14ac:dyDescent="0.3">
      <c r="A1302" s="84">
        <v>2026</v>
      </c>
      <c r="B1302" s="84" t="s">
        <v>395</v>
      </c>
      <c r="C1302" s="84">
        <v>14</v>
      </c>
      <c r="D1302" s="84">
        <v>11</v>
      </c>
      <c r="E1302" s="85">
        <v>23700.959999999999</v>
      </c>
      <c r="F1302" s="85">
        <v>22520.34</v>
      </c>
      <c r="G1302" s="85">
        <v>-1180.6199999999999</v>
      </c>
    </row>
    <row r="1303" spans="1:7" x14ac:dyDescent="0.3">
      <c r="A1303" s="84">
        <v>2026</v>
      </c>
      <c r="B1303" s="84" t="s">
        <v>395</v>
      </c>
      <c r="C1303" s="84">
        <v>14</v>
      </c>
      <c r="D1303" s="84">
        <v>12</v>
      </c>
      <c r="E1303" s="85">
        <v>23700.959999999999</v>
      </c>
      <c r="F1303" s="85">
        <v>22913.88</v>
      </c>
      <c r="G1303" s="85">
        <v>-787.08</v>
      </c>
    </row>
    <row r="1304" spans="1:7" x14ac:dyDescent="0.3">
      <c r="A1304" s="84">
        <v>2026</v>
      </c>
      <c r="B1304" s="84" t="s">
        <v>395</v>
      </c>
      <c r="C1304" s="84">
        <v>14</v>
      </c>
      <c r="D1304" s="84">
        <v>13</v>
      </c>
      <c r="E1304" s="85">
        <v>23700.959999999999</v>
      </c>
      <c r="F1304" s="85">
        <v>23307.14</v>
      </c>
      <c r="G1304" s="85">
        <v>-393.82</v>
      </c>
    </row>
    <row r="1305" spans="1:7" x14ac:dyDescent="0.3">
      <c r="A1305" s="84">
        <v>2026</v>
      </c>
      <c r="B1305" s="84" t="s">
        <v>395</v>
      </c>
      <c r="C1305" s="84">
        <v>14</v>
      </c>
      <c r="D1305" s="84">
        <v>14</v>
      </c>
      <c r="E1305" s="85">
        <v>23700.959999999999</v>
      </c>
      <c r="F1305" s="85">
        <v>23700.959999999999</v>
      </c>
      <c r="G1305" s="85">
        <v>0</v>
      </c>
    </row>
    <row r="1306" spans="1:7" x14ac:dyDescent="0.3">
      <c r="A1306" s="84">
        <v>2026</v>
      </c>
      <c r="B1306" s="84" t="s">
        <v>395</v>
      </c>
      <c r="C1306" s="84">
        <v>14</v>
      </c>
      <c r="D1306" s="84">
        <v>15</v>
      </c>
      <c r="E1306" s="85">
        <v>23700.959999999999</v>
      </c>
      <c r="F1306" s="85">
        <v>24093.24</v>
      </c>
      <c r="G1306" s="85">
        <v>392.28</v>
      </c>
    </row>
    <row r="1307" spans="1:7" x14ac:dyDescent="0.3">
      <c r="A1307" s="84">
        <v>2026</v>
      </c>
      <c r="B1307" s="84" t="s">
        <v>395</v>
      </c>
      <c r="C1307" s="84">
        <v>14</v>
      </c>
      <c r="D1307" s="84">
        <v>16</v>
      </c>
      <c r="E1307" s="85">
        <v>23700.959999999999</v>
      </c>
      <c r="F1307" s="85">
        <v>24487.200000000001</v>
      </c>
      <c r="G1307" s="85">
        <v>786.24</v>
      </c>
    </row>
    <row r="1308" spans="1:7" x14ac:dyDescent="0.3">
      <c r="A1308" s="84">
        <v>2026</v>
      </c>
      <c r="B1308" s="84" t="s">
        <v>395</v>
      </c>
      <c r="C1308" s="84">
        <v>14</v>
      </c>
      <c r="D1308" s="84">
        <v>17</v>
      </c>
      <c r="E1308" s="85">
        <v>23700.959999999999</v>
      </c>
      <c r="F1308" s="85">
        <v>24879.94</v>
      </c>
      <c r="G1308" s="85">
        <v>1178.98</v>
      </c>
    </row>
    <row r="1309" spans="1:7" x14ac:dyDescent="0.3">
      <c r="A1309" s="84">
        <v>2026</v>
      </c>
      <c r="B1309" s="84" t="s">
        <v>395</v>
      </c>
      <c r="C1309" s="84">
        <v>14</v>
      </c>
      <c r="D1309" s="84">
        <v>18</v>
      </c>
      <c r="E1309" s="85">
        <v>23700.959999999999</v>
      </c>
      <c r="F1309" s="85">
        <v>25273.02</v>
      </c>
      <c r="G1309" s="85">
        <v>1572.06</v>
      </c>
    </row>
    <row r="1310" spans="1:7" x14ac:dyDescent="0.3">
      <c r="A1310" s="84">
        <v>2026</v>
      </c>
      <c r="B1310" s="84" t="s">
        <v>395</v>
      </c>
      <c r="C1310" s="84">
        <v>14</v>
      </c>
      <c r="D1310" s="84">
        <v>19</v>
      </c>
      <c r="E1310" s="85">
        <v>23700.959999999999</v>
      </c>
      <c r="F1310" s="85">
        <v>25666.14</v>
      </c>
      <c r="G1310" s="85">
        <v>1965.18</v>
      </c>
    </row>
    <row r="1311" spans="1:7" x14ac:dyDescent="0.3">
      <c r="A1311" s="84">
        <v>2026</v>
      </c>
      <c r="B1311" s="84" t="s">
        <v>395</v>
      </c>
      <c r="C1311" s="84">
        <v>14</v>
      </c>
      <c r="D1311" s="84">
        <v>20</v>
      </c>
      <c r="E1311" s="85">
        <v>23700.959999999999</v>
      </c>
      <c r="F1311" s="85">
        <v>26059.119999999999</v>
      </c>
      <c r="G1311" s="85">
        <v>2358.16</v>
      </c>
    </row>
    <row r="1312" spans="1:7" x14ac:dyDescent="0.3">
      <c r="A1312" s="84">
        <v>2026</v>
      </c>
      <c r="B1312" s="84" t="s">
        <v>395</v>
      </c>
      <c r="C1312" s="84">
        <v>14</v>
      </c>
      <c r="D1312" s="84">
        <v>21</v>
      </c>
      <c r="E1312" s="85">
        <v>23700.959999999999</v>
      </c>
      <c r="F1312" s="85">
        <v>26648.52</v>
      </c>
      <c r="G1312" s="85">
        <v>2947.56</v>
      </c>
    </row>
    <row r="1313" spans="1:7" x14ac:dyDescent="0.3">
      <c r="A1313" s="84">
        <v>2026</v>
      </c>
      <c r="B1313" s="84" t="s">
        <v>395</v>
      </c>
      <c r="C1313" s="84">
        <v>14</v>
      </c>
      <c r="D1313" s="84">
        <v>22</v>
      </c>
      <c r="E1313" s="85">
        <v>23700.959999999999</v>
      </c>
      <c r="F1313" s="85">
        <v>27287.200000000001</v>
      </c>
      <c r="G1313" s="85">
        <v>3586.24</v>
      </c>
    </row>
    <row r="1314" spans="1:7" x14ac:dyDescent="0.3">
      <c r="A1314" s="84">
        <v>2026</v>
      </c>
      <c r="B1314" s="84" t="s">
        <v>395</v>
      </c>
      <c r="C1314" s="84">
        <v>14</v>
      </c>
      <c r="D1314" s="84">
        <v>23</v>
      </c>
      <c r="E1314" s="85">
        <v>23700.959999999999</v>
      </c>
      <c r="F1314" s="85">
        <v>27927.7</v>
      </c>
      <c r="G1314" s="85">
        <v>4226.74</v>
      </c>
    </row>
    <row r="1315" spans="1:7" x14ac:dyDescent="0.3">
      <c r="A1315" s="84">
        <v>2026</v>
      </c>
      <c r="B1315" s="84" t="s">
        <v>395</v>
      </c>
      <c r="C1315" s="84">
        <v>14</v>
      </c>
      <c r="D1315" s="84">
        <v>24</v>
      </c>
      <c r="E1315" s="85">
        <v>23700.959999999999</v>
      </c>
      <c r="F1315" s="85">
        <v>28566.94</v>
      </c>
      <c r="G1315" s="85">
        <v>4865.9799999999996</v>
      </c>
    </row>
    <row r="1316" spans="1:7" x14ac:dyDescent="0.3">
      <c r="A1316" s="84">
        <v>2026</v>
      </c>
      <c r="B1316" s="84" t="s">
        <v>395</v>
      </c>
      <c r="C1316" s="84">
        <v>14</v>
      </c>
      <c r="D1316" s="84">
        <v>25</v>
      </c>
      <c r="E1316" s="85">
        <v>23700.959999999999</v>
      </c>
      <c r="F1316" s="85">
        <v>29207.02</v>
      </c>
      <c r="G1316" s="85">
        <v>5506.06</v>
      </c>
    </row>
    <row r="1317" spans="1:7" x14ac:dyDescent="0.3">
      <c r="A1317" s="84">
        <v>2026</v>
      </c>
      <c r="B1317" s="84" t="s">
        <v>395</v>
      </c>
      <c r="C1317" s="84">
        <v>14</v>
      </c>
      <c r="D1317" s="84">
        <v>26</v>
      </c>
      <c r="E1317" s="85">
        <v>23700.959999999999</v>
      </c>
      <c r="F1317" s="85">
        <v>30586.3</v>
      </c>
      <c r="G1317" s="85">
        <v>6885.34</v>
      </c>
    </row>
    <row r="1318" spans="1:7" x14ac:dyDescent="0.3">
      <c r="A1318" s="84">
        <v>2026</v>
      </c>
      <c r="B1318" s="84" t="s">
        <v>395</v>
      </c>
      <c r="C1318" s="84">
        <v>14</v>
      </c>
      <c r="D1318" s="84">
        <v>27</v>
      </c>
      <c r="E1318" s="85">
        <v>23700.959999999999</v>
      </c>
      <c r="F1318" s="85">
        <v>32295.56</v>
      </c>
      <c r="G1318" s="85">
        <v>8594.6</v>
      </c>
    </row>
    <row r="1319" spans="1:7" x14ac:dyDescent="0.3">
      <c r="A1319" s="84">
        <v>2026</v>
      </c>
      <c r="B1319" s="84" t="s">
        <v>395</v>
      </c>
      <c r="C1319" s="84">
        <v>14</v>
      </c>
      <c r="D1319" s="84">
        <v>28</v>
      </c>
      <c r="E1319" s="85">
        <v>23700.959999999999</v>
      </c>
      <c r="F1319" s="85">
        <v>32936.06</v>
      </c>
      <c r="G1319" s="85">
        <v>9235.1</v>
      </c>
    </row>
    <row r="1320" spans="1:7" x14ac:dyDescent="0.3">
      <c r="A1320" s="84">
        <v>2026</v>
      </c>
      <c r="B1320" s="84" t="s">
        <v>395</v>
      </c>
      <c r="C1320" s="84">
        <v>14</v>
      </c>
      <c r="D1320" s="84">
        <v>29</v>
      </c>
      <c r="E1320" s="85">
        <v>23700.959999999999</v>
      </c>
      <c r="F1320" s="85">
        <v>33575.4</v>
      </c>
      <c r="G1320" s="85">
        <v>9874.44</v>
      </c>
    </row>
    <row r="1321" spans="1:7" x14ac:dyDescent="0.3">
      <c r="A1321" s="84">
        <v>2026</v>
      </c>
      <c r="B1321" s="84" t="s">
        <v>395</v>
      </c>
      <c r="C1321" s="84">
        <v>14</v>
      </c>
      <c r="D1321" s="84">
        <v>30</v>
      </c>
      <c r="E1321" s="85">
        <v>23700.959999999999</v>
      </c>
      <c r="F1321" s="85">
        <v>35323.760000000002</v>
      </c>
      <c r="G1321" s="85">
        <v>11622.8</v>
      </c>
    </row>
    <row r="1322" spans="1:7" x14ac:dyDescent="0.3">
      <c r="A1322" s="84">
        <v>2026</v>
      </c>
      <c r="B1322" s="84" t="s">
        <v>395</v>
      </c>
      <c r="C1322" s="84">
        <v>15</v>
      </c>
      <c r="D1322" s="84">
        <v>1</v>
      </c>
      <c r="E1322" s="85">
        <v>24093.24</v>
      </c>
      <c r="F1322" s="85">
        <v>19966.32</v>
      </c>
      <c r="G1322" s="85">
        <v>-4126.92</v>
      </c>
    </row>
    <row r="1323" spans="1:7" x14ac:dyDescent="0.3">
      <c r="A1323" s="84">
        <v>2026</v>
      </c>
      <c r="B1323" s="84" t="s">
        <v>395</v>
      </c>
      <c r="C1323" s="84">
        <v>15</v>
      </c>
      <c r="D1323" s="84">
        <v>2</v>
      </c>
      <c r="E1323" s="85">
        <v>24093.24</v>
      </c>
      <c r="F1323" s="85">
        <v>20260.740000000002</v>
      </c>
      <c r="G1323" s="85">
        <v>-3832.5</v>
      </c>
    </row>
    <row r="1324" spans="1:7" x14ac:dyDescent="0.3">
      <c r="A1324" s="84">
        <v>2026</v>
      </c>
      <c r="B1324" s="84" t="s">
        <v>395</v>
      </c>
      <c r="C1324" s="84">
        <v>15</v>
      </c>
      <c r="D1324" s="84">
        <v>3</v>
      </c>
      <c r="E1324" s="85">
        <v>24093.24</v>
      </c>
      <c r="F1324" s="85">
        <v>20555.72</v>
      </c>
      <c r="G1324" s="85">
        <v>-3537.52</v>
      </c>
    </row>
    <row r="1325" spans="1:7" x14ac:dyDescent="0.3">
      <c r="A1325" s="84">
        <v>2026</v>
      </c>
      <c r="B1325" s="84" t="s">
        <v>395</v>
      </c>
      <c r="C1325" s="84">
        <v>15</v>
      </c>
      <c r="D1325" s="84">
        <v>4</v>
      </c>
      <c r="E1325" s="85">
        <v>24093.24</v>
      </c>
      <c r="F1325" s="85">
        <v>20849.86</v>
      </c>
      <c r="G1325" s="85">
        <v>-3243.38</v>
      </c>
    </row>
    <row r="1326" spans="1:7" x14ac:dyDescent="0.3">
      <c r="A1326" s="84">
        <v>2026</v>
      </c>
      <c r="B1326" s="84" t="s">
        <v>395</v>
      </c>
      <c r="C1326" s="84">
        <v>15</v>
      </c>
      <c r="D1326" s="84">
        <v>5</v>
      </c>
      <c r="E1326" s="85">
        <v>24093.24</v>
      </c>
      <c r="F1326" s="85">
        <v>21144.560000000001</v>
      </c>
      <c r="G1326" s="85">
        <v>-2948.68</v>
      </c>
    </row>
    <row r="1327" spans="1:7" x14ac:dyDescent="0.3">
      <c r="A1327" s="84">
        <v>2026</v>
      </c>
      <c r="B1327" s="84" t="s">
        <v>395</v>
      </c>
      <c r="C1327" s="84">
        <v>15</v>
      </c>
      <c r="D1327" s="84">
        <v>6</v>
      </c>
      <c r="E1327" s="85">
        <v>24093.24</v>
      </c>
      <c r="F1327" s="85">
        <v>21341.26</v>
      </c>
      <c r="G1327" s="85">
        <v>-2751.98</v>
      </c>
    </row>
    <row r="1328" spans="1:7" x14ac:dyDescent="0.3">
      <c r="A1328" s="84">
        <v>2026</v>
      </c>
      <c r="B1328" s="84" t="s">
        <v>395</v>
      </c>
      <c r="C1328" s="84">
        <v>15</v>
      </c>
      <c r="D1328" s="84">
        <v>7</v>
      </c>
      <c r="E1328" s="85">
        <v>24093.24</v>
      </c>
      <c r="F1328" s="85">
        <v>21537.96</v>
      </c>
      <c r="G1328" s="85">
        <v>-2555.2800000000002</v>
      </c>
    </row>
    <row r="1329" spans="1:7" x14ac:dyDescent="0.3">
      <c r="A1329" s="84">
        <v>2026</v>
      </c>
      <c r="B1329" s="84" t="s">
        <v>395</v>
      </c>
      <c r="C1329" s="84">
        <v>15</v>
      </c>
      <c r="D1329" s="84">
        <v>8</v>
      </c>
      <c r="E1329" s="85">
        <v>24093.24</v>
      </c>
      <c r="F1329" s="85">
        <v>21734.240000000002</v>
      </c>
      <c r="G1329" s="85">
        <v>-2359</v>
      </c>
    </row>
    <row r="1330" spans="1:7" x14ac:dyDescent="0.3">
      <c r="A1330" s="84">
        <v>2026</v>
      </c>
      <c r="B1330" s="84" t="s">
        <v>395</v>
      </c>
      <c r="C1330" s="84">
        <v>15</v>
      </c>
      <c r="D1330" s="84">
        <v>9</v>
      </c>
      <c r="E1330" s="85">
        <v>24093.24</v>
      </c>
      <c r="F1330" s="85">
        <v>21931.360000000001</v>
      </c>
      <c r="G1330" s="85">
        <v>-2161.88</v>
      </c>
    </row>
    <row r="1331" spans="1:7" x14ac:dyDescent="0.3">
      <c r="A1331" s="84">
        <v>2026</v>
      </c>
      <c r="B1331" s="84" t="s">
        <v>395</v>
      </c>
      <c r="C1331" s="84">
        <v>15</v>
      </c>
      <c r="D1331" s="84">
        <v>10</v>
      </c>
      <c r="E1331" s="85">
        <v>24093.24</v>
      </c>
      <c r="F1331" s="85">
        <v>22127.78</v>
      </c>
      <c r="G1331" s="85">
        <v>-1965.46</v>
      </c>
    </row>
    <row r="1332" spans="1:7" x14ac:dyDescent="0.3">
      <c r="A1332" s="84">
        <v>2026</v>
      </c>
      <c r="B1332" s="84" t="s">
        <v>395</v>
      </c>
      <c r="C1332" s="84">
        <v>15</v>
      </c>
      <c r="D1332" s="84">
        <v>11</v>
      </c>
      <c r="E1332" s="85">
        <v>24093.24</v>
      </c>
      <c r="F1332" s="85">
        <v>22520.34</v>
      </c>
      <c r="G1332" s="85">
        <v>-1572.9</v>
      </c>
    </row>
    <row r="1333" spans="1:7" x14ac:dyDescent="0.3">
      <c r="A1333" s="84">
        <v>2026</v>
      </c>
      <c r="B1333" s="84" t="s">
        <v>395</v>
      </c>
      <c r="C1333" s="84">
        <v>15</v>
      </c>
      <c r="D1333" s="84">
        <v>12</v>
      </c>
      <c r="E1333" s="85">
        <v>24093.24</v>
      </c>
      <c r="F1333" s="85">
        <v>22913.88</v>
      </c>
      <c r="G1333" s="85">
        <v>-1179.3599999999999</v>
      </c>
    </row>
    <row r="1334" spans="1:7" x14ac:dyDescent="0.3">
      <c r="A1334" s="84">
        <v>2026</v>
      </c>
      <c r="B1334" s="84" t="s">
        <v>395</v>
      </c>
      <c r="C1334" s="84">
        <v>15</v>
      </c>
      <c r="D1334" s="84">
        <v>13</v>
      </c>
      <c r="E1334" s="85">
        <v>24093.24</v>
      </c>
      <c r="F1334" s="85">
        <v>23307.14</v>
      </c>
      <c r="G1334" s="85">
        <v>-786.1</v>
      </c>
    </row>
    <row r="1335" spans="1:7" x14ac:dyDescent="0.3">
      <c r="A1335" s="84">
        <v>2026</v>
      </c>
      <c r="B1335" s="84" t="s">
        <v>395</v>
      </c>
      <c r="C1335" s="84">
        <v>15</v>
      </c>
      <c r="D1335" s="84">
        <v>14</v>
      </c>
      <c r="E1335" s="85">
        <v>24093.24</v>
      </c>
      <c r="F1335" s="85">
        <v>23700.959999999999</v>
      </c>
      <c r="G1335" s="85">
        <v>-392.28</v>
      </c>
    </row>
    <row r="1336" spans="1:7" x14ac:dyDescent="0.3">
      <c r="A1336" s="84">
        <v>2026</v>
      </c>
      <c r="B1336" s="84" t="s">
        <v>395</v>
      </c>
      <c r="C1336" s="84">
        <v>15</v>
      </c>
      <c r="D1336" s="84">
        <v>15</v>
      </c>
      <c r="E1336" s="85">
        <v>24093.24</v>
      </c>
      <c r="F1336" s="85">
        <v>24093.24</v>
      </c>
      <c r="G1336" s="85">
        <v>0</v>
      </c>
    </row>
    <row r="1337" spans="1:7" x14ac:dyDescent="0.3">
      <c r="A1337" s="84">
        <v>2026</v>
      </c>
      <c r="B1337" s="84" t="s">
        <v>395</v>
      </c>
      <c r="C1337" s="84">
        <v>15</v>
      </c>
      <c r="D1337" s="84">
        <v>16</v>
      </c>
      <c r="E1337" s="85">
        <v>24093.24</v>
      </c>
      <c r="F1337" s="85">
        <v>24487.200000000001</v>
      </c>
      <c r="G1337" s="85">
        <v>393.96</v>
      </c>
    </row>
    <row r="1338" spans="1:7" x14ac:dyDescent="0.3">
      <c r="A1338" s="84">
        <v>2026</v>
      </c>
      <c r="B1338" s="84" t="s">
        <v>395</v>
      </c>
      <c r="C1338" s="84">
        <v>15</v>
      </c>
      <c r="D1338" s="84">
        <v>17</v>
      </c>
      <c r="E1338" s="85">
        <v>24093.24</v>
      </c>
      <c r="F1338" s="85">
        <v>24879.94</v>
      </c>
      <c r="G1338" s="85">
        <v>786.7</v>
      </c>
    </row>
    <row r="1339" spans="1:7" x14ac:dyDescent="0.3">
      <c r="A1339" s="84">
        <v>2026</v>
      </c>
      <c r="B1339" s="84" t="s">
        <v>395</v>
      </c>
      <c r="C1339" s="84">
        <v>15</v>
      </c>
      <c r="D1339" s="84">
        <v>18</v>
      </c>
      <c r="E1339" s="85">
        <v>24093.24</v>
      </c>
      <c r="F1339" s="85">
        <v>25273.02</v>
      </c>
      <c r="G1339" s="85">
        <v>1179.78</v>
      </c>
    </row>
    <row r="1340" spans="1:7" x14ac:dyDescent="0.3">
      <c r="A1340" s="84">
        <v>2026</v>
      </c>
      <c r="B1340" s="84" t="s">
        <v>395</v>
      </c>
      <c r="C1340" s="84">
        <v>15</v>
      </c>
      <c r="D1340" s="84">
        <v>19</v>
      </c>
      <c r="E1340" s="85">
        <v>24093.24</v>
      </c>
      <c r="F1340" s="85">
        <v>25666.14</v>
      </c>
      <c r="G1340" s="85">
        <v>1572.9</v>
      </c>
    </row>
    <row r="1341" spans="1:7" x14ac:dyDescent="0.3">
      <c r="A1341" s="84">
        <v>2026</v>
      </c>
      <c r="B1341" s="84" t="s">
        <v>395</v>
      </c>
      <c r="C1341" s="84">
        <v>15</v>
      </c>
      <c r="D1341" s="84">
        <v>20</v>
      </c>
      <c r="E1341" s="85">
        <v>24093.24</v>
      </c>
      <c r="F1341" s="85">
        <v>26059.119999999999</v>
      </c>
      <c r="G1341" s="85">
        <v>1965.88</v>
      </c>
    </row>
    <row r="1342" spans="1:7" x14ac:dyDescent="0.3">
      <c r="A1342" s="84">
        <v>2026</v>
      </c>
      <c r="B1342" s="84" t="s">
        <v>395</v>
      </c>
      <c r="C1342" s="84">
        <v>15</v>
      </c>
      <c r="D1342" s="84">
        <v>21</v>
      </c>
      <c r="E1342" s="85">
        <v>24093.24</v>
      </c>
      <c r="F1342" s="85">
        <v>26648.52</v>
      </c>
      <c r="G1342" s="85">
        <v>2555.2800000000002</v>
      </c>
    </row>
    <row r="1343" spans="1:7" x14ac:dyDescent="0.3">
      <c r="A1343" s="84">
        <v>2026</v>
      </c>
      <c r="B1343" s="84" t="s">
        <v>395</v>
      </c>
      <c r="C1343" s="84">
        <v>15</v>
      </c>
      <c r="D1343" s="84">
        <v>22</v>
      </c>
      <c r="E1343" s="85">
        <v>24093.24</v>
      </c>
      <c r="F1343" s="85">
        <v>27287.200000000001</v>
      </c>
      <c r="G1343" s="85">
        <v>3193.96</v>
      </c>
    </row>
    <row r="1344" spans="1:7" x14ac:dyDescent="0.3">
      <c r="A1344" s="84">
        <v>2026</v>
      </c>
      <c r="B1344" s="84" t="s">
        <v>395</v>
      </c>
      <c r="C1344" s="84">
        <v>15</v>
      </c>
      <c r="D1344" s="84">
        <v>23</v>
      </c>
      <c r="E1344" s="85">
        <v>24093.24</v>
      </c>
      <c r="F1344" s="85">
        <v>27927.7</v>
      </c>
      <c r="G1344" s="85">
        <v>3834.46</v>
      </c>
    </row>
    <row r="1345" spans="1:7" x14ac:dyDescent="0.3">
      <c r="A1345" s="84">
        <v>2026</v>
      </c>
      <c r="B1345" s="84" t="s">
        <v>395</v>
      </c>
      <c r="C1345" s="84">
        <v>15</v>
      </c>
      <c r="D1345" s="84">
        <v>24</v>
      </c>
      <c r="E1345" s="85">
        <v>24093.24</v>
      </c>
      <c r="F1345" s="85">
        <v>28566.94</v>
      </c>
      <c r="G1345" s="85">
        <v>4473.7</v>
      </c>
    </row>
    <row r="1346" spans="1:7" x14ac:dyDescent="0.3">
      <c r="A1346" s="84">
        <v>2026</v>
      </c>
      <c r="B1346" s="84" t="s">
        <v>395</v>
      </c>
      <c r="C1346" s="84">
        <v>15</v>
      </c>
      <c r="D1346" s="84">
        <v>25</v>
      </c>
      <c r="E1346" s="85">
        <v>24093.24</v>
      </c>
      <c r="F1346" s="85">
        <v>29207.02</v>
      </c>
      <c r="G1346" s="85">
        <v>5113.78</v>
      </c>
    </row>
    <row r="1347" spans="1:7" x14ac:dyDescent="0.3">
      <c r="A1347" s="84">
        <v>2026</v>
      </c>
      <c r="B1347" s="84" t="s">
        <v>395</v>
      </c>
      <c r="C1347" s="84">
        <v>15</v>
      </c>
      <c r="D1347" s="84">
        <v>26</v>
      </c>
      <c r="E1347" s="85">
        <v>24093.24</v>
      </c>
      <c r="F1347" s="85">
        <v>30586.3</v>
      </c>
      <c r="G1347" s="85">
        <v>6493.06</v>
      </c>
    </row>
    <row r="1348" spans="1:7" x14ac:dyDescent="0.3">
      <c r="A1348" s="84">
        <v>2026</v>
      </c>
      <c r="B1348" s="84" t="s">
        <v>395</v>
      </c>
      <c r="C1348" s="84">
        <v>15</v>
      </c>
      <c r="D1348" s="84">
        <v>27</v>
      </c>
      <c r="E1348" s="85">
        <v>24093.24</v>
      </c>
      <c r="F1348" s="85">
        <v>32295.56</v>
      </c>
      <c r="G1348" s="85">
        <v>8202.32</v>
      </c>
    </row>
    <row r="1349" spans="1:7" x14ac:dyDescent="0.3">
      <c r="A1349" s="84">
        <v>2026</v>
      </c>
      <c r="B1349" s="84" t="s">
        <v>395</v>
      </c>
      <c r="C1349" s="84">
        <v>15</v>
      </c>
      <c r="D1349" s="84">
        <v>28</v>
      </c>
      <c r="E1349" s="85">
        <v>24093.24</v>
      </c>
      <c r="F1349" s="85">
        <v>32936.06</v>
      </c>
      <c r="G1349" s="85">
        <v>8842.82</v>
      </c>
    </row>
    <row r="1350" spans="1:7" x14ac:dyDescent="0.3">
      <c r="A1350" s="84">
        <v>2026</v>
      </c>
      <c r="B1350" s="84" t="s">
        <v>395</v>
      </c>
      <c r="C1350" s="84">
        <v>15</v>
      </c>
      <c r="D1350" s="84">
        <v>29</v>
      </c>
      <c r="E1350" s="85">
        <v>24093.24</v>
      </c>
      <c r="F1350" s="85">
        <v>33575.4</v>
      </c>
      <c r="G1350" s="85">
        <v>9482.16</v>
      </c>
    </row>
    <row r="1351" spans="1:7" x14ac:dyDescent="0.3">
      <c r="A1351" s="84">
        <v>2026</v>
      </c>
      <c r="B1351" s="84" t="s">
        <v>395</v>
      </c>
      <c r="C1351" s="84">
        <v>15</v>
      </c>
      <c r="D1351" s="84">
        <v>30</v>
      </c>
      <c r="E1351" s="85">
        <v>24093.24</v>
      </c>
      <c r="F1351" s="85">
        <v>35323.760000000002</v>
      </c>
      <c r="G1351" s="85">
        <v>11230.52</v>
      </c>
    </row>
    <row r="1352" spans="1:7" x14ac:dyDescent="0.3">
      <c r="A1352" s="84">
        <v>2026</v>
      </c>
      <c r="B1352" s="84" t="s">
        <v>395</v>
      </c>
      <c r="C1352" s="84">
        <v>16</v>
      </c>
      <c r="D1352" s="84">
        <v>1</v>
      </c>
      <c r="E1352" s="85">
        <v>24487.200000000001</v>
      </c>
      <c r="F1352" s="85">
        <v>19966.32</v>
      </c>
      <c r="G1352" s="85">
        <v>-4520.88</v>
      </c>
    </row>
    <row r="1353" spans="1:7" x14ac:dyDescent="0.3">
      <c r="A1353" s="84">
        <v>2026</v>
      </c>
      <c r="B1353" s="84" t="s">
        <v>395</v>
      </c>
      <c r="C1353" s="84">
        <v>16</v>
      </c>
      <c r="D1353" s="84">
        <v>2</v>
      </c>
      <c r="E1353" s="85">
        <v>24487.200000000001</v>
      </c>
      <c r="F1353" s="85">
        <v>20260.740000000002</v>
      </c>
      <c r="G1353" s="85">
        <v>-4226.46</v>
      </c>
    </row>
    <row r="1354" spans="1:7" x14ac:dyDescent="0.3">
      <c r="A1354" s="84">
        <v>2026</v>
      </c>
      <c r="B1354" s="84" t="s">
        <v>395</v>
      </c>
      <c r="C1354" s="84">
        <v>16</v>
      </c>
      <c r="D1354" s="84">
        <v>3</v>
      </c>
      <c r="E1354" s="85">
        <v>24487.200000000001</v>
      </c>
      <c r="F1354" s="85">
        <v>20555.72</v>
      </c>
      <c r="G1354" s="85">
        <v>-3931.48</v>
      </c>
    </row>
    <row r="1355" spans="1:7" x14ac:dyDescent="0.3">
      <c r="A1355" s="84">
        <v>2026</v>
      </c>
      <c r="B1355" s="84" t="s">
        <v>395</v>
      </c>
      <c r="C1355" s="84">
        <v>16</v>
      </c>
      <c r="D1355" s="84">
        <v>4</v>
      </c>
      <c r="E1355" s="85">
        <v>24487.200000000001</v>
      </c>
      <c r="F1355" s="85">
        <v>20849.86</v>
      </c>
      <c r="G1355" s="85">
        <v>-3637.34</v>
      </c>
    </row>
    <row r="1356" spans="1:7" x14ac:dyDescent="0.3">
      <c r="A1356" s="84">
        <v>2026</v>
      </c>
      <c r="B1356" s="84" t="s">
        <v>395</v>
      </c>
      <c r="C1356" s="84">
        <v>16</v>
      </c>
      <c r="D1356" s="84">
        <v>5</v>
      </c>
      <c r="E1356" s="85">
        <v>24487.200000000001</v>
      </c>
      <c r="F1356" s="85">
        <v>21144.560000000001</v>
      </c>
      <c r="G1356" s="85">
        <v>-3342.64</v>
      </c>
    </row>
    <row r="1357" spans="1:7" x14ac:dyDescent="0.3">
      <c r="A1357" s="84">
        <v>2026</v>
      </c>
      <c r="B1357" s="84" t="s">
        <v>395</v>
      </c>
      <c r="C1357" s="84">
        <v>16</v>
      </c>
      <c r="D1357" s="84">
        <v>6</v>
      </c>
      <c r="E1357" s="85">
        <v>24487.200000000001</v>
      </c>
      <c r="F1357" s="85">
        <v>21341.26</v>
      </c>
      <c r="G1357" s="85">
        <v>-3145.94</v>
      </c>
    </row>
    <row r="1358" spans="1:7" x14ac:dyDescent="0.3">
      <c r="A1358" s="84">
        <v>2026</v>
      </c>
      <c r="B1358" s="84" t="s">
        <v>395</v>
      </c>
      <c r="C1358" s="84">
        <v>16</v>
      </c>
      <c r="D1358" s="84">
        <v>7</v>
      </c>
      <c r="E1358" s="85">
        <v>24487.200000000001</v>
      </c>
      <c r="F1358" s="85">
        <v>21537.96</v>
      </c>
      <c r="G1358" s="85">
        <v>-2949.24</v>
      </c>
    </row>
    <row r="1359" spans="1:7" x14ac:dyDescent="0.3">
      <c r="A1359" s="84">
        <v>2026</v>
      </c>
      <c r="B1359" s="84" t="s">
        <v>395</v>
      </c>
      <c r="C1359" s="84">
        <v>16</v>
      </c>
      <c r="D1359" s="84">
        <v>8</v>
      </c>
      <c r="E1359" s="85">
        <v>24487.200000000001</v>
      </c>
      <c r="F1359" s="85">
        <v>21734.240000000002</v>
      </c>
      <c r="G1359" s="85">
        <v>-2752.96</v>
      </c>
    </row>
    <row r="1360" spans="1:7" x14ac:dyDescent="0.3">
      <c r="A1360" s="84">
        <v>2026</v>
      </c>
      <c r="B1360" s="84" t="s">
        <v>395</v>
      </c>
      <c r="C1360" s="84">
        <v>16</v>
      </c>
      <c r="D1360" s="84">
        <v>9</v>
      </c>
      <c r="E1360" s="85">
        <v>24487.200000000001</v>
      </c>
      <c r="F1360" s="85">
        <v>21931.360000000001</v>
      </c>
      <c r="G1360" s="85">
        <v>-2555.84</v>
      </c>
    </row>
    <row r="1361" spans="1:7" x14ac:dyDescent="0.3">
      <c r="A1361" s="84">
        <v>2026</v>
      </c>
      <c r="B1361" s="84" t="s">
        <v>395</v>
      </c>
      <c r="C1361" s="84">
        <v>16</v>
      </c>
      <c r="D1361" s="84">
        <v>10</v>
      </c>
      <c r="E1361" s="85">
        <v>24487.200000000001</v>
      </c>
      <c r="F1361" s="85">
        <v>22127.78</v>
      </c>
      <c r="G1361" s="85">
        <v>-2359.42</v>
      </c>
    </row>
    <row r="1362" spans="1:7" x14ac:dyDescent="0.3">
      <c r="A1362" s="84">
        <v>2026</v>
      </c>
      <c r="B1362" s="84" t="s">
        <v>395</v>
      </c>
      <c r="C1362" s="84">
        <v>16</v>
      </c>
      <c r="D1362" s="84">
        <v>11</v>
      </c>
      <c r="E1362" s="85">
        <v>24487.200000000001</v>
      </c>
      <c r="F1362" s="85">
        <v>22520.34</v>
      </c>
      <c r="G1362" s="85">
        <v>-1966.86</v>
      </c>
    </row>
    <row r="1363" spans="1:7" x14ac:dyDescent="0.3">
      <c r="A1363" s="84">
        <v>2026</v>
      </c>
      <c r="B1363" s="84" t="s">
        <v>395</v>
      </c>
      <c r="C1363" s="84">
        <v>16</v>
      </c>
      <c r="D1363" s="84">
        <v>12</v>
      </c>
      <c r="E1363" s="85">
        <v>24487.200000000001</v>
      </c>
      <c r="F1363" s="85">
        <v>22913.88</v>
      </c>
      <c r="G1363" s="85">
        <v>-1573.32</v>
      </c>
    </row>
    <row r="1364" spans="1:7" x14ac:dyDescent="0.3">
      <c r="A1364" s="84">
        <v>2026</v>
      </c>
      <c r="B1364" s="84" t="s">
        <v>395</v>
      </c>
      <c r="C1364" s="84">
        <v>16</v>
      </c>
      <c r="D1364" s="84">
        <v>13</v>
      </c>
      <c r="E1364" s="85">
        <v>24487.200000000001</v>
      </c>
      <c r="F1364" s="85">
        <v>23307.14</v>
      </c>
      <c r="G1364" s="85">
        <v>-1180.06</v>
      </c>
    </row>
    <row r="1365" spans="1:7" x14ac:dyDescent="0.3">
      <c r="A1365" s="84">
        <v>2026</v>
      </c>
      <c r="B1365" s="84" t="s">
        <v>395</v>
      </c>
      <c r="C1365" s="84">
        <v>16</v>
      </c>
      <c r="D1365" s="84">
        <v>14</v>
      </c>
      <c r="E1365" s="85">
        <v>24487.200000000001</v>
      </c>
      <c r="F1365" s="85">
        <v>23700.959999999999</v>
      </c>
      <c r="G1365" s="85">
        <v>-786.24</v>
      </c>
    </row>
    <row r="1366" spans="1:7" x14ac:dyDescent="0.3">
      <c r="A1366" s="84">
        <v>2026</v>
      </c>
      <c r="B1366" s="84" t="s">
        <v>395</v>
      </c>
      <c r="C1366" s="84">
        <v>16</v>
      </c>
      <c r="D1366" s="84">
        <v>15</v>
      </c>
      <c r="E1366" s="85">
        <v>24487.200000000001</v>
      </c>
      <c r="F1366" s="85">
        <v>24093.24</v>
      </c>
      <c r="G1366" s="85">
        <v>-393.96</v>
      </c>
    </row>
    <row r="1367" spans="1:7" x14ac:dyDescent="0.3">
      <c r="A1367" s="84">
        <v>2026</v>
      </c>
      <c r="B1367" s="84" t="s">
        <v>395</v>
      </c>
      <c r="C1367" s="84">
        <v>16</v>
      </c>
      <c r="D1367" s="84">
        <v>16</v>
      </c>
      <c r="E1367" s="85">
        <v>24487.200000000001</v>
      </c>
      <c r="F1367" s="85">
        <v>24487.200000000001</v>
      </c>
      <c r="G1367" s="85">
        <v>0</v>
      </c>
    </row>
    <row r="1368" spans="1:7" x14ac:dyDescent="0.3">
      <c r="A1368" s="84">
        <v>2026</v>
      </c>
      <c r="B1368" s="84" t="s">
        <v>395</v>
      </c>
      <c r="C1368" s="84">
        <v>16</v>
      </c>
      <c r="D1368" s="84">
        <v>17</v>
      </c>
      <c r="E1368" s="85">
        <v>24487.200000000001</v>
      </c>
      <c r="F1368" s="85">
        <v>24879.94</v>
      </c>
      <c r="G1368" s="85">
        <v>392.74</v>
      </c>
    </row>
    <row r="1369" spans="1:7" x14ac:dyDescent="0.3">
      <c r="A1369" s="84">
        <v>2026</v>
      </c>
      <c r="B1369" s="84" t="s">
        <v>395</v>
      </c>
      <c r="C1369" s="84">
        <v>16</v>
      </c>
      <c r="D1369" s="84">
        <v>18</v>
      </c>
      <c r="E1369" s="85">
        <v>24487.200000000001</v>
      </c>
      <c r="F1369" s="85">
        <v>25273.02</v>
      </c>
      <c r="G1369" s="85">
        <v>785.82</v>
      </c>
    </row>
    <row r="1370" spans="1:7" x14ac:dyDescent="0.3">
      <c r="A1370" s="84">
        <v>2026</v>
      </c>
      <c r="B1370" s="84" t="s">
        <v>395</v>
      </c>
      <c r="C1370" s="84">
        <v>16</v>
      </c>
      <c r="D1370" s="84">
        <v>19</v>
      </c>
      <c r="E1370" s="85">
        <v>24487.200000000001</v>
      </c>
      <c r="F1370" s="85">
        <v>25666.14</v>
      </c>
      <c r="G1370" s="85">
        <v>1178.94</v>
      </c>
    </row>
    <row r="1371" spans="1:7" x14ac:dyDescent="0.3">
      <c r="A1371" s="84">
        <v>2026</v>
      </c>
      <c r="B1371" s="84" t="s">
        <v>395</v>
      </c>
      <c r="C1371" s="84">
        <v>16</v>
      </c>
      <c r="D1371" s="84">
        <v>20</v>
      </c>
      <c r="E1371" s="85">
        <v>24487.200000000001</v>
      </c>
      <c r="F1371" s="85">
        <v>26059.119999999999</v>
      </c>
      <c r="G1371" s="85">
        <v>1571.92</v>
      </c>
    </row>
    <row r="1372" spans="1:7" x14ac:dyDescent="0.3">
      <c r="A1372" s="84">
        <v>2026</v>
      </c>
      <c r="B1372" s="84" t="s">
        <v>395</v>
      </c>
      <c r="C1372" s="84">
        <v>16</v>
      </c>
      <c r="D1372" s="84">
        <v>21</v>
      </c>
      <c r="E1372" s="85">
        <v>24487.200000000001</v>
      </c>
      <c r="F1372" s="85">
        <v>26648.52</v>
      </c>
      <c r="G1372" s="85">
        <v>2161.3200000000002</v>
      </c>
    </row>
    <row r="1373" spans="1:7" x14ac:dyDescent="0.3">
      <c r="A1373" s="84">
        <v>2026</v>
      </c>
      <c r="B1373" s="84" t="s">
        <v>395</v>
      </c>
      <c r="C1373" s="84">
        <v>16</v>
      </c>
      <c r="D1373" s="84">
        <v>22</v>
      </c>
      <c r="E1373" s="85">
        <v>24487.200000000001</v>
      </c>
      <c r="F1373" s="85">
        <v>27287.200000000001</v>
      </c>
      <c r="G1373" s="85">
        <v>2800</v>
      </c>
    </row>
    <row r="1374" spans="1:7" x14ac:dyDescent="0.3">
      <c r="A1374" s="84">
        <v>2026</v>
      </c>
      <c r="B1374" s="84" t="s">
        <v>395</v>
      </c>
      <c r="C1374" s="84">
        <v>16</v>
      </c>
      <c r="D1374" s="84">
        <v>23</v>
      </c>
      <c r="E1374" s="85">
        <v>24487.200000000001</v>
      </c>
      <c r="F1374" s="85">
        <v>27927.7</v>
      </c>
      <c r="G1374" s="85">
        <v>3440.5</v>
      </c>
    </row>
    <row r="1375" spans="1:7" x14ac:dyDescent="0.3">
      <c r="A1375" s="84">
        <v>2026</v>
      </c>
      <c r="B1375" s="84" t="s">
        <v>395</v>
      </c>
      <c r="C1375" s="84">
        <v>16</v>
      </c>
      <c r="D1375" s="84">
        <v>24</v>
      </c>
      <c r="E1375" s="85">
        <v>24487.200000000001</v>
      </c>
      <c r="F1375" s="85">
        <v>28566.94</v>
      </c>
      <c r="G1375" s="85">
        <v>4079.74</v>
      </c>
    </row>
    <row r="1376" spans="1:7" x14ac:dyDescent="0.3">
      <c r="A1376" s="84">
        <v>2026</v>
      </c>
      <c r="B1376" s="84" t="s">
        <v>395</v>
      </c>
      <c r="C1376" s="84">
        <v>16</v>
      </c>
      <c r="D1376" s="84">
        <v>25</v>
      </c>
      <c r="E1376" s="85">
        <v>24487.200000000001</v>
      </c>
      <c r="F1376" s="85">
        <v>29207.02</v>
      </c>
      <c r="G1376" s="85">
        <v>4719.82</v>
      </c>
    </row>
    <row r="1377" spans="1:7" x14ac:dyDescent="0.3">
      <c r="A1377" s="84">
        <v>2026</v>
      </c>
      <c r="B1377" s="84" t="s">
        <v>395</v>
      </c>
      <c r="C1377" s="84">
        <v>16</v>
      </c>
      <c r="D1377" s="84">
        <v>26</v>
      </c>
      <c r="E1377" s="85">
        <v>24487.200000000001</v>
      </c>
      <c r="F1377" s="85">
        <v>30586.3</v>
      </c>
      <c r="G1377" s="85">
        <v>6099.1</v>
      </c>
    </row>
    <row r="1378" spans="1:7" x14ac:dyDescent="0.3">
      <c r="A1378" s="84">
        <v>2026</v>
      </c>
      <c r="B1378" s="84" t="s">
        <v>395</v>
      </c>
      <c r="C1378" s="84">
        <v>16</v>
      </c>
      <c r="D1378" s="84">
        <v>27</v>
      </c>
      <c r="E1378" s="85">
        <v>24487.200000000001</v>
      </c>
      <c r="F1378" s="85">
        <v>32295.56</v>
      </c>
      <c r="G1378" s="85">
        <v>7808.36</v>
      </c>
    </row>
    <row r="1379" spans="1:7" x14ac:dyDescent="0.3">
      <c r="A1379" s="84">
        <v>2026</v>
      </c>
      <c r="B1379" s="84" t="s">
        <v>395</v>
      </c>
      <c r="C1379" s="84">
        <v>16</v>
      </c>
      <c r="D1379" s="84">
        <v>28</v>
      </c>
      <c r="E1379" s="85">
        <v>24487.200000000001</v>
      </c>
      <c r="F1379" s="85">
        <v>32936.06</v>
      </c>
      <c r="G1379" s="85">
        <v>8448.86</v>
      </c>
    </row>
    <row r="1380" spans="1:7" x14ac:dyDescent="0.3">
      <c r="A1380" s="84">
        <v>2026</v>
      </c>
      <c r="B1380" s="84" t="s">
        <v>395</v>
      </c>
      <c r="C1380" s="84">
        <v>16</v>
      </c>
      <c r="D1380" s="84">
        <v>29</v>
      </c>
      <c r="E1380" s="85">
        <v>24487.200000000001</v>
      </c>
      <c r="F1380" s="85">
        <v>33575.4</v>
      </c>
      <c r="G1380" s="85">
        <v>9088.2000000000007</v>
      </c>
    </row>
    <row r="1381" spans="1:7" x14ac:dyDescent="0.3">
      <c r="A1381" s="84">
        <v>2026</v>
      </c>
      <c r="B1381" s="84" t="s">
        <v>395</v>
      </c>
      <c r="C1381" s="84">
        <v>16</v>
      </c>
      <c r="D1381" s="84">
        <v>30</v>
      </c>
      <c r="E1381" s="85">
        <v>24487.200000000001</v>
      </c>
      <c r="F1381" s="85">
        <v>35323.760000000002</v>
      </c>
      <c r="G1381" s="85">
        <v>10836.56</v>
      </c>
    </row>
    <row r="1382" spans="1:7" x14ac:dyDescent="0.3">
      <c r="A1382" s="84">
        <v>2026</v>
      </c>
      <c r="B1382" s="84" t="s">
        <v>395</v>
      </c>
      <c r="C1382" s="84">
        <v>17</v>
      </c>
      <c r="D1382" s="84">
        <v>1</v>
      </c>
      <c r="E1382" s="85">
        <v>24879.94</v>
      </c>
      <c r="F1382" s="85">
        <v>19966.32</v>
      </c>
      <c r="G1382" s="85">
        <v>-4913.62</v>
      </c>
    </row>
    <row r="1383" spans="1:7" x14ac:dyDescent="0.3">
      <c r="A1383" s="84">
        <v>2026</v>
      </c>
      <c r="B1383" s="84" t="s">
        <v>395</v>
      </c>
      <c r="C1383" s="84">
        <v>17</v>
      </c>
      <c r="D1383" s="84">
        <v>2</v>
      </c>
      <c r="E1383" s="85">
        <v>24879.94</v>
      </c>
      <c r="F1383" s="85">
        <v>20260.740000000002</v>
      </c>
      <c r="G1383" s="85">
        <v>-4619.2</v>
      </c>
    </row>
    <row r="1384" spans="1:7" x14ac:dyDescent="0.3">
      <c r="A1384" s="84">
        <v>2026</v>
      </c>
      <c r="B1384" s="84" t="s">
        <v>395</v>
      </c>
      <c r="C1384" s="84">
        <v>17</v>
      </c>
      <c r="D1384" s="84">
        <v>3</v>
      </c>
      <c r="E1384" s="85">
        <v>24879.94</v>
      </c>
      <c r="F1384" s="85">
        <v>20555.72</v>
      </c>
      <c r="G1384" s="85">
        <v>-4324.22</v>
      </c>
    </row>
    <row r="1385" spans="1:7" x14ac:dyDescent="0.3">
      <c r="A1385" s="84">
        <v>2026</v>
      </c>
      <c r="B1385" s="84" t="s">
        <v>395</v>
      </c>
      <c r="C1385" s="84">
        <v>17</v>
      </c>
      <c r="D1385" s="84">
        <v>4</v>
      </c>
      <c r="E1385" s="85">
        <v>24879.94</v>
      </c>
      <c r="F1385" s="85">
        <v>20849.86</v>
      </c>
      <c r="G1385" s="85">
        <v>-4030.08</v>
      </c>
    </row>
    <row r="1386" spans="1:7" x14ac:dyDescent="0.3">
      <c r="A1386" s="84">
        <v>2026</v>
      </c>
      <c r="B1386" s="84" t="s">
        <v>395</v>
      </c>
      <c r="C1386" s="84">
        <v>17</v>
      </c>
      <c r="D1386" s="84">
        <v>5</v>
      </c>
      <c r="E1386" s="85">
        <v>24879.94</v>
      </c>
      <c r="F1386" s="85">
        <v>21144.560000000001</v>
      </c>
      <c r="G1386" s="85">
        <v>-3735.38</v>
      </c>
    </row>
    <row r="1387" spans="1:7" x14ac:dyDescent="0.3">
      <c r="A1387" s="84">
        <v>2026</v>
      </c>
      <c r="B1387" s="84" t="s">
        <v>395</v>
      </c>
      <c r="C1387" s="84">
        <v>17</v>
      </c>
      <c r="D1387" s="84">
        <v>6</v>
      </c>
      <c r="E1387" s="85">
        <v>24879.94</v>
      </c>
      <c r="F1387" s="85">
        <v>21341.26</v>
      </c>
      <c r="G1387" s="85">
        <v>-3538.68</v>
      </c>
    </row>
    <row r="1388" spans="1:7" x14ac:dyDescent="0.3">
      <c r="A1388" s="84">
        <v>2026</v>
      </c>
      <c r="B1388" s="84" t="s">
        <v>395</v>
      </c>
      <c r="C1388" s="84">
        <v>17</v>
      </c>
      <c r="D1388" s="84">
        <v>7</v>
      </c>
      <c r="E1388" s="85">
        <v>24879.94</v>
      </c>
      <c r="F1388" s="85">
        <v>21537.96</v>
      </c>
      <c r="G1388" s="85">
        <v>-3341.98</v>
      </c>
    </row>
    <row r="1389" spans="1:7" x14ac:dyDescent="0.3">
      <c r="A1389" s="84">
        <v>2026</v>
      </c>
      <c r="B1389" s="84" t="s">
        <v>395</v>
      </c>
      <c r="C1389" s="84">
        <v>17</v>
      </c>
      <c r="D1389" s="84">
        <v>8</v>
      </c>
      <c r="E1389" s="85">
        <v>24879.94</v>
      </c>
      <c r="F1389" s="85">
        <v>21734.240000000002</v>
      </c>
      <c r="G1389" s="85">
        <v>-3145.7</v>
      </c>
    </row>
    <row r="1390" spans="1:7" x14ac:dyDescent="0.3">
      <c r="A1390" s="84">
        <v>2026</v>
      </c>
      <c r="B1390" s="84" t="s">
        <v>395</v>
      </c>
      <c r="C1390" s="84">
        <v>17</v>
      </c>
      <c r="D1390" s="84">
        <v>9</v>
      </c>
      <c r="E1390" s="85">
        <v>24879.94</v>
      </c>
      <c r="F1390" s="85">
        <v>21931.360000000001</v>
      </c>
      <c r="G1390" s="85">
        <v>-2948.58</v>
      </c>
    </row>
    <row r="1391" spans="1:7" x14ac:dyDescent="0.3">
      <c r="A1391" s="84">
        <v>2026</v>
      </c>
      <c r="B1391" s="84" t="s">
        <v>395</v>
      </c>
      <c r="C1391" s="84">
        <v>17</v>
      </c>
      <c r="D1391" s="84">
        <v>10</v>
      </c>
      <c r="E1391" s="85">
        <v>24879.94</v>
      </c>
      <c r="F1391" s="85">
        <v>22127.78</v>
      </c>
      <c r="G1391" s="85">
        <v>-2752.16</v>
      </c>
    </row>
    <row r="1392" spans="1:7" x14ac:dyDescent="0.3">
      <c r="A1392" s="84">
        <v>2026</v>
      </c>
      <c r="B1392" s="84" t="s">
        <v>395</v>
      </c>
      <c r="C1392" s="84">
        <v>17</v>
      </c>
      <c r="D1392" s="84">
        <v>11</v>
      </c>
      <c r="E1392" s="85">
        <v>24879.94</v>
      </c>
      <c r="F1392" s="85">
        <v>22520.34</v>
      </c>
      <c r="G1392" s="85">
        <v>-2359.6</v>
      </c>
    </row>
    <row r="1393" spans="1:7" x14ac:dyDescent="0.3">
      <c r="A1393" s="84">
        <v>2026</v>
      </c>
      <c r="B1393" s="84" t="s">
        <v>395</v>
      </c>
      <c r="C1393" s="84">
        <v>17</v>
      </c>
      <c r="D1393" s="84">
        <v>12</v>
      </c>
      <c r="E1393" s="85">
        <v>24879.94</v>
      </c>
      <c r="F1393" s="85">
        <v>22913.88</v>
      </c>
      <c r="G1393" s="85">
        <v>-1966.06</v>
      </c>
    </row>
    <row r="1394" spans="1:7" x14ac:dyDescent="0.3">
      <c r="A1394" s="84">
        <v>2026</v>
      </c>
      <c r="B1394" s="84" t="s">
        <v>395</v>
      </c>
      <c r="C1394" s="84">
        <v>17</v>
      </c>
      <c r="D1394" s="84">
        <v>13</v>
      </c>
      <c r="E1394" s="85">
        <v>24879.94</v>
      </c>
      <c r="F1394" s="85">
        <v>23307.14</v>
      </c>
      <c r="G1394" s="85">
        <v>-1572.8</v>
      </c>
    </row>
    <row r="1395" spans="1:7" x14ac:dyDescent="0.3">
      <c r="A1395" s="84">
        <v>2026</v>
      </c>
      <c r="B1395" s="84" t="s">
        <v>395</v>
      </c>
      <c r="C1395" s="84">
        <v>17</v>
      </c>
      <c r="D1395" s="84">
        <v>14</v>
      </c>
      <c r="E1395" s="85">
        <v>24879.94</v>
      </c>
      <c r="F1395" s="85">
        <v>23700.959999999999</v>
      </c>
      <c r="G1395" s="85">
        <v>-1178.98</v>
      </c>
    </row>
    <row r="1396" spans="1:7" x14ac:dyDescent="0.3">
      <c r="A1396" s="84">
        <v>2026</v>
      </c>
      <c r="B1396" s="84" t="s">
        <v>395</v>
      </c>
      <c r="C1396" s="84">
        <v>17</v>
      </c>
      <c r="D1396" s="84">
        <v>15</v>
      </c>
      <c r="E1396" s="85">
        <v>24879.94</v>
      </c>
      <c r="F1396" s="85">
        <v>24093.24</v>
      </c>
      <c r="G1396" s="85">
        <v>-786.7</v>
      </c>
    </row>
    <row r="1397" spans="1:7" x14ac:dyDescent="0.3">
      <c r="A1397" s="84">
        <v>2026</v>
      </c>
      <c r="B1397" s="84" t="s">
        <v>395</v>
      </c>
      <c r="C1397" s="84">
        <v>17</v>
      </c>
      <c r="D1397" s="84">
        <v>16</v>
      </c>
      <c r="E1397" s="85">
        <v>24879.94</v>
      </c>
      <c r="F1397" s="85">
        <v>24487.200000000001</v>
      </c>
      <c r="G1397" s="85">
        <v>-392.74</v>
      </c>
    </row>
    <row r="1398" spans="1:7" x14ac:dyDescent="0.3">
      <c r="A1398" s="84">
        <v>2026</v>
      </c>
      <c r="B1398" s="84" t="s">
        <v>395</v>
      </c>
      <c r="C1398" s="84">
        <v>17</v>
      </c>
      <c r="D1398" s="84">
        <v>17</v>
      </c>
      <c r="E1398" s="85">
        <v>24879.94</v>
      </c>
      <c r="F1398" s="85">
        <v>24879.94</v>
      </c>
      <c r="G1398" s="85">
        <v>0</v>
      </c>
    </row>
    <row r="1399" spans="1:7" x14ac:dyDescent="0.3">
      <c r="A1399" s="84">
        <v>2026</v>
      </c>
      <c r="B1399" s="84" t="s">
        <v>395</v>
      </c>
      <c r="C1399" s="84">
        <v>17</v>
      </c>
      <c r="D1399" s="84">
        <v>18</v>
      </c>
      <c r="E1399" s="85">
        <v>24879.94</v>
      </c>
      <c r="F1399" s="85">
        <v>25273.02</v>
      </c>
      <c r="G1399" s="85">
        <v>393.08</v>
      </c>
    </row>
    <row r="1400" spans="1:7" x14ac:dyDescent="0.3">
      <c r="A1400" s="84">
        <v>2026</v>
      </c>
      <c r="B1400" s="84" t="s">
        <v>395</v>
      </c>
      <c r="C1400" s="84">
        <v>17</v>
      </c>
      <c r="D1400" s="84">
        <v>19</v>
      </c>
      <c r="E1400" s="85">
        <v>24879.94</v>
      </c>
      <c r="F1400" s="85">
        <v>25666.14</v>
      </c>
      <c r="G1400" s="85">
        <v>786.2</v>
      </c>
    </row>
    <row r="1401" spans="1:7" x14ac:dyDescent="0.3">
      <c r="A1401" s="84">
        <v>2026</v>
      </c>
      <c r="B1401" s="84" t="s">
        <v>395</v>
      </c>
      <c r="C1401" s="84">
        <v>17</v>
      </c>
      <c r="D1401" s="84">
        <v>20</v>
      </c>
      <c r="E1401" s="85">
        <v>24879.94</v>
      </c>
      <c r="F1401" s="85">
        <v>26059.119999999999</v>
      </c>
      <c r="G1401" s="85">
        <v>1179.18</v>
      </c>
    </row>
    <row r="1402" spans="1:7" x14ac:dyDescent="0.3">
      <c r="A1402" s="84">
        <v>2026</v>
      </c>
      <c r="B1402" s="84" t="s">
        <v>395</v>
      </c>
      <c r="C1402" s="84">
        <v>17</v>
      </c>
      <c r="D1402" s="84">
        <v>21</v>
      </c>
      <c r="E1402" s="85">
        <v>24879.94</v>
      </c>
      <c r="F1402" s="85">
        <v>26648.52</v>
      </c>
      <c r="G1402" s="85">
        <v>1768.58</v>
      </c>
    </row>
    <row r="1403" spans="1:7" x14ac:dyDescent="0.3">
      <c r="A1403" s="84">
        <v>2026</v>
      </c>
      <c r="B1403" s="84" t="s">
        <v>395</v>
      </c>
      <c r="C1403" s="84">
        <v>17</v>
      </c>
      <c r="D1403" s="84">
        <v>22</v>
      </c>
      <c r="E1403" s="85">
        <v>24879.94</v>
      </c>
      <c r="F1403" s="85">
        <v>27287.200000000001</v>
      </c>
      <c r="G1403" s="85">
        <v>2407.2600000000002</v>
      </c>
    </row>
    <row r="1404" spans="1:7" x14ac:dyDescent="0.3">
      <c r="A1404" s="84">
        <v>2026</v>
      </c>
      <c r="B1404" s="84" t="s">
        <v>395</v>
      </c>
      <c r="C1404" s="84">
        <v>17</v>
      </c>
      <c r="D1404" s="84">
        <v>23</v>
      </c>
      <c r="E1404" s="85">
        <v>24879.94</v>
      </c>
      <c r="F1404" s="85">
        <v>27927.7</v>
      </c>
      <c r="G1404" s="85">
        <v>3047.76</v>
      </c>
    </row>
    <row r="1405" spans="1:7" x14ac:dyDescent="0.3">
      <c r="A1405" s="84">
        <v>2026</v>
      </c>
      <c r="B1405" s="84" t="s">
        <v>395</v>
      </c>
      <c r="C1405" s="84">
        <v>17</v>
      </c>
      <c r="D1405" s="84">
        <v>24</v>
      </c>
      <c r="E1405" s="85">
        <v>24879.94</v>
      </c>
      <c r="F1405" s="85">
        <v>28566.94</v>
      </c>
      <c r="G1405" s="85">
        <v>3687</v>
      </c>
    </row>
    <row r="1406" spans="1:7" x14ac:dyDescent="0.3">
      <c r="A1406" s="84">
        <v>2026</v>
      </c>
      <c r="B1406" s="84" t="s">
        <v>395</v>
      </c>
      <c r="C1406" s="84">
        <v>17</v>
      </c>
      <c r="D1406" s="84">
        <v>25</v>
      </c>
      <c r="E1406" s="85">
        <v>24879.94</v>
      </c>
      <c r="F1406" s="85">
        <v>29207.02</v>
      </c>
      <c r="G1406" s="85">
        <v>4327.08</v>
      </c>
    </row>
    <row r="1407" spans="1:7" x14ac:dyDescent="0.3">
      <c r="A1407" s="84">
        <v>2026</v>
      </c>
      <c r="B1407" s="84" t="s">
        <v>395</v>
      </c>
      <c r="C1407" s="84">
        <v>17</v>
      </c>
      <c r="D1407" s="84">
        <v>26</v>
      </c>
      <c r="E1407" s="85">
        <v>24879.94</v>
      </c>
      <c r="F1407" s="85">
        <v>30586.3</v>
      </c>
      <c r="G1407" s="85">
        <v>5706.36</v>
      </c>
    </row>
    <row r="1408" spans="1:7" x14ac:dyDescent="0.3">
      <c r="A1408" s="84">
        <v>2026</v>
      </c>
      <c r="B1408" s="84" t="s">
        <v>395</v>
      </c>
      <c r="C1408" s="84">
        <v>17</v>
      </c>
      <c r="D1408" s="84">
        <v>27</v>
      </c>
      <c r="E1408" s="85">
        <v>24879.94</v>
      </c>
      <c r="F1408" s="85">
        <v>32295.56</v>
      </c>
      <c r="G1408" s="85">
        <v>7415.62</v>
      </c>
    </row>
    <row r="1409" spans="1:7" x14ac:dyDescent="0.3">
      <c r="A1409" s="84">
        <v>2026</v>
      </c>
      <c r="B1409" s="84" t="s">
        <v>395</v>
      </c>
      <c r="C1409" s="84">
        <v>17</v>
      </c>
      <c r="D1409" s="84">
        <v>28</v>
      </c>
      <c r="E1409" s="85">
        <v>24879.94</v>
      </c>
      <c r="F1409" s="85">
        <v>32936.06</v>
      </c>
      <c r="G1409" s="85">
        <v>8056.12</v>
      </c>
    </row>
    <row r="1410" spans="1:7" x14ac:dyDescent="0.3">
      <c r="A1410" s="84">
        <v>2026</v>
      </c>
      <c r="B1410" s="84" t="s">
        <v>395</v>
      </c>
      <c r="C1410" s="84">
        <v>17</v>
      </c>
      <c r="D1410" s="84">
        <v>29</v>
      </c>
      <c r="E1410" s="85">
        <v>24879.94</v>
      </c>
      <c r="F1410" s="85">
        <v>33575.4</v>
      </c>
      <c r="G1410" s="85">
        <v>8695.4599999999991</v>
      </c>
    </row>
    <row r="1411" spans="1:7" x14ac:dyDescent="0.3">
      <c r="A1411" s="84">
        <v>2026</v>
      </c>
      <c r="B1411" s="84" t="s">
        <v>395</v>
      </c>
      <c r="C1411" s="84">
        <v>17</v>
      </c>
      <c r="D1411" s="84">
        <v>30</v>
      </c>
      <c r="E1411" s="85">
        <v>24879.94</v>
      </c>
      <c r="F1411" s="85">
        <v>35323.760000000002</v>
      </c>
      <c r="G1411" s="85">
        <v>10443.82</v>
      </c>
    </row>
    <row r="1412" spans="1:7" x14ac:dyDescent="0.3">
      <c r="A1412" s="84">
        <v>2026</v>
      </c>
      <c r="B1412" s="84" t="s">
        <v>395</v>
      </c>
      <c r="C1412" s="84">
        <v>18</v>
      </c>
      <c r="D1412" s="84">
        <v>1</v>
      </c>
      <c r="E1412" s="85">
        <v>25273.02</v>
      </c>
      <c r="F1412" s="85">
        <v>19966.32</v>
      </c>
      <c r="G1412" s="85">
        <v>-5306.7</v>
      </c>
    </row>
    <row r="1413" spans="1:7" x14ac:dyDescent="0.3">
      <c r="A1413" s="84">
        <v>2026</v>
      </c>
      <c r="B1413" s="84" t="s">
        <v>395</v>
      </c>
      <c r="C1413" s="84">
        <v>18</v>
      </c>
      <c r="D1413" s="84">
        <v>2</v>
      </c>
      <c r="E1413" s="85">
        <v>25273.02</v>
      </c>
      <c r="F1413" s="85">
        <v>20260.740000000002</v>
      </c>
      <c r="G1413" s="85">
        <v>-5012.28</v>
      </c>
    </row>
    <row r="1414" spans="1:7" x14ac:dyDescent="0.3">
      <c r="A1414" s="84">
        <v>2026</v>
      </c>
      <c r="B1414" s="84" t="s">
        <v>395</v>
      </c>
      <c r="C1414" s="84">
        <v>18</v>
      </c>
      <c r="D1414" s="84">
        <v>3</v>
      </c>
      <c r="E1414" s="85">
        <v>25273.02</v>
      </c>
      <c r="F1414" s="85">
        <v>20555.72</v>
      </c>
      <c r="G1414" s="85">
        <v>-4717.3</v>
      </c>
    </row>
    <row r="1415" spans="1:7" x14ac:dyDescent="0.3">
      <c r="A1415" s="84">
        <v>2026</v>
      </c>
      <c r="B1415" s="84" t="s">
        <v>395</v>
      </c>
      <c r="C1415" s="84">
        <v>18</v>
      </c>
      <c r="D1415" s="84">
        <v>4</v>
      </c>
      <c r="E1415" s="85">
        <v>25273.02</v>
      </c>
      <c r="F1415" s="85">
        <v>20849.86</v>
      </c>
      <c r="G1415" s="85">
        <v>-4423.16</v>
      </c>
    </row>
    <row r="1416" spans="1:7" x14ac:dyDescent="0.3">
      <c r="A1416" s="84">
        <v>2026</v>
      </c>
      <c r="B1416" s="84" t="s">
        <v>395</v>
      </c>
      <c r="C1416" s="84">
        <v>18</v>
      </c>
      <c r="D1416" s="84">
        <v>5</v>
      </c>
      <c r="E1416" s="85">
        <v>25273.02</v>
      </c>
      <c r="F1416" s="85">
        <v>21144.560000000001</v>
      </c>
      <c r="G1416" s="85">
        <v>-4128.46</v>
      </c>
    </row>
    <row r="1417" spans="1:7" x14ac:dyDescent="0.3">
      <c r="A1417" s="84">
        <v>2026</v>
      </c>
      <c r="B1417" s="84" t="s">
        <v>395</v>
      </c>
      <c r="C1417" s="84">
        <v>18</v>
      </c>
      <c r="D1417" s="84">
        <v>6</v>
      </c>
      <c r="E1417" s="85">
        <v>25273.02</v>
      </c>
      <c r="F1417" s="85">
        <v>21341.26</v>
      </c>
      <c r="G1417" s="85">
        <v>-3931.76</v>
      </c>
    </row>
    <row r="1418" spans="1:7" x14ac:dyDescent="0.3">
      <c r="A1418" s="84">
        <v>2026</v>
      </c>
      <c r="B1418" s="84" t="s">
        <v>395</v>
      </c>
      <c r="C1418" s="84">
        <v>18</v>
      </c>
      <c r="D1418" s="84">
        <v>7</v>
      </c>
      <c r="E1418" s="85">
        <v>25273.02</v>
      </c>
      <c r="F1418" s="85">
        <v>21537.96</v>
      </c>
      <c r="G1418" s="85">
        <v>-3735.06</v>
      </c>
    </row>
    <row r="1419" spans="1:7" x14ac:dyDescent="0.3">
      <c r="A1419" s="84">
        <v>2026</v>
      </c>
      <c r="B1419" s="84" t="s">
        <v>395</v>
      </c>
      <c r="C1419" s="84">
        <v>18</v>
      </c>
      <c r="D1419" s="84">
        <v>8</v>
      </c>
      <c r="E1419" s="85">
        <v>25273.02</v>
      </c>
      <c r="F1419" s="85">
        <v>21734.240000000002</v>
      </c>
      <c r="G1419" s="85">
        <v>-3538.78</v>
      </c>
    </row>
    <row r="1420" spans="1:7" x14ac:dyDescent="0.3">
      <c r="A1420" s="84">
        <v>2026</v>
      </c>
      <c r="B1420" s="84" t="s">
        <v>395</v>
      </c>
      <c r="C1420" s="84">
        <v>18</v>
      </c>
      <c r="D1420" s="84">
        <v>9</v>
      </c>
      <c r="E1420" s="85">
        <v>25273.02</v>
      </c>
      <c r="F1420" s="85">
        <v>21931.360000000001</v>
      </c>
      <c r="G1420" s="85">
        <v>-3341.66</v>
      </c>
    </row>
    <row r="1421" spans="1:7" x14ac:dyDescent="0.3">
      <c r="A1421" s="84">
        <v>2026</v>
      </c>
      <c r="B1421" s="84" t="s">
        <v>395</v>
      </c>
      <c r="C1421" s="84">
        <v>18</v>
      </c>
      <c r="D1421" s="84">
        <v>10</v>
      </c>
      <c r="E1421" s="85">
        <v>25273.02</v>
      </c>
      <c r="F1421" s="85">
        <v>22127.78</v>
      </c>
      <c r="G1421" s="85">
        <v>-3145.24</v>
      </c>
    </row>
    <row r="1422" spans="1:7" x14ac:dyDescent="0.3">
      <c r="A1422" s="84">
        <v>2026</v>
      </c>
      <c r="B1422" s="84" t="s">
        <v>395</v>
      </c>
      <c r="C1422" s="84">
        <v>18</v>
      </c>
      <c r="D1422" s="84">
        <v>11</v>
      </c>
      <c r="E1422" s="85">
        <v>25273.02</v>
      </c>
      <c r="F1422" s="85">
        <v>22520.34</v>
      </c>
      <c r="G1422" s="85">
        <v>-2752.68</v>
      </c>
    </row>
    <row r="1423" spans="1:7" x14ac:dyDescent="0.3">
      <c r="A1423" s="84">
        <v>2026</v>
      </c>
      <c r="B1423" s="84" t="s">
        <v>395</v>
      </c>
      <c r="C1423" s="84">
        <v>18</v>
      </c>
      <c r="D1423" s="84">
        <v>12</v>
      </c>
      <c r="E1423" s="85">
        <v>25273.02</v>
      </c>
      <c r="F1423" s="85">
        <v>22913.88</v>
      </c>
      <c r="G1423" s="85">
        <v>-2359.14</v>
      </c>
    </row>
    <row r="1424" spans="1:7" x14ac:dyDescent="0.3">
      <c r="A1424" s="84">
        <v>2026</v>
      </c>
      <c r="B1424" s="84" t="s">
        <v>395</v>
      </c>
      <c r="C1424" s="84">
        <v>18</v>
      </c>
      <c r="D1424" s="84">
        <v>13</v>
      </c>
      <c r="E1424" s="85">
        <v>25273.02</v>
      </c>
      <c r="F1424" s="85">
        <v>23307.14</v>
      </c>
      <c r="G1424" s="85">
        <v>-1965.88</v>
      </c>
    </row>
    <row r="1425" spans="1:7" x14ac:dyDescent="0.3">
      <c r="A1425" s="84">
        <v>2026</v>
      </c>
      <c r="B1425" s="84" t="s">
        <v>395</v>
      </c>
      <c r="C1425" s="84">
        <v>18</v>
      </c>
      <c r="D1425" s="84">
        <v>14</v>
      </c>
      <c r="E1425" s="85">
        <v>25273.02</v>
      </c>
      <c r="F1425" s="85">
        <v>23700.959999999999</v>
      </c>
      <c r="G1425" s="85">
        <v>-1572.06</v>
      </c>
    </row>
    <row r="1426" spans="1:7" x14ac:dyDescent="0.3">
      <c r="A1426" s="84">
        <v>2026</v>
      </c>
      <c r="B1426" s="84" t="s">
        <v>395</v>
      </c>
      <c r="C1426" s="84">
        <v>18</v>
      </c>
      <c r="D1426" s="84">
        <v>15</v>
      </c>
      <c r="E1426" s="85">
        <v>25273.02</v>
      </c>
      <c r="F1426" s="85">
        <v>24093.24</v>
      </c>
      <c r="G1426" s="85">
        <v>-1179.78</v>
      </c>
    </row>
    <row r="1427" spans="1:7" x14ac:dyDescent="0.3">
      <c r="A1427" s="84">
        <v>2026</v>
      </c>
      <c r="B1427" s="84" t="s">
        <v>395</v>
      </c>
      <c r="C1427" s="84">
        <v>18</v>
      </c>
      <c r="D1427" s="84">
        <v>16</v>
      </c>
      <c r="E1427" s="85">
        <v>25273.02</v>
      </c>
      <c r="F1427" s="85">
        <v>24487.200000000001</v>
      </c>
      <c r="G1427" s="85">
        <v>-785.82</v>
      </c>
    </row>
    <row r="1428" spans="1:7" x14ac:dyDescent="0.3">
      <c r="A1428" s="84">
        <v>2026</v>
      </c>
      <c r="B1428" s="84" t="s">
        <v>395</v>
      </c>
      <c r="C1428" s="84">
        <v>18</v>
      </c>
      <c r="D1428" s="84">
        <v>17</v>
      </c>
      <c r="E1428" s="85">
        <v>25273.02</v>
      </c>
      <c r="F1428" s="85">
        <v>24879.94</v>
      </c>
      <c r="G1428" s="85">
        <v>-393.08</v>
      </c>
    </row>
    <row r="1429" spans="1:7" x14ac:dyDescent="0.3">
      <c r="A1429" s="84">
        <v>2026</v>
      </c>
      <c r="B1429" s="84" t="s">
        <v>395</v>
      </c>
      <c r="C1429" s="84">
        <v>18</v>
      </c>
      <c r="D1429" s="84">
        <v>18</v>
      </c>
      <c r="E1429" s="85">
        <v>25273.02</v>
      </c>
      <c r="F1429" s="85">
        <v>25273.02</v>
      </c>
      <c r="G1429" s="85">
        <v>0</v>
      </c>
    </row>
    <row r="1430" spans="1:7" x14ac:dyDescent="0.3">
      <c r="A1430" s="84">
        <v>2026</v>
      </c>
      <c r="B1430" s="84" t="s">
        <v>395</v>
      </c>
      <c r="C1430" s="84">
        <v>18</v>
      </c>
      <c r="D1430" s="84">
        <v>19</v>
      </c>
      <c r="E1430" s="85">
        <v>25273.02</v>
      </c>
      <c r="F1430" s="85">
        <v>25666.14</v>
      </c>
      <c r="G1430" s="85">
        <v>393.12</v>
      </c>
    </row>
    <row r="1431" spans="1:7" x14ac:dyDescent="0.3">
      <c r="A1431" s="84">
        <v>2026</v>
      </c>
      <c r="B1431" s="84" t="s">
        <v>395</v>
      </c>
      <c r="C1431" s="84">
        <v>18</v>
      </c>
      <c r="D1431" s="84">
        <v>20</v>
      </c>
      <c r="E1431" s="85">
        <v>25273.02</v>
      </c>
      <c r="F1431" s="85">
        <v>26059.119999999999</v>
      </c>
      <c r="G1431" s="85">
        <v>786.1</v>
      </c>
    </row>
    <row r="1432" spans="1:7" x14ac:dyDescent="0.3">
      <c r="A1432" s="84">
        <v>2026</v>
      </c>
      <c r="B1432" s="84" t="s">
        <v>395</v>
      </c>
      <c r="C1432" s="84">
        <v>18</v>
      </c>
      <c r="D1432" s="84">
        <v>21</v>
      </c>
      <c r="E1432" s="85">
        <v>25273.02</v>
      </c>
      <c r="F1432" s="85">
        <v>26648.52</v>
      </c>
      <c r="G1432" s="85">
        <v>1375.5</v>
      </c>
    </row>
    <row r="1433" spans="1:7" x14ac:dyDescent="0.3">
      <c r="A1433" s="84">
        <v>2026</v>
      </c>
      <c r="B1433" s="84" t="s">
        <v>395</v>
      </c>
      <c r="C1433" s="84">
        <v>18</v>
      </c>
      <c r="D1433" s="84">
        <v>22</v>
      </c>
      <c r="E1433" s="85">
        <v>25273.02</v>
      </c>
      <c r="F1433" s="85">
        <v>27287.200000000001</v>
      </c>
      <c r="G1433" s="85">
        <v>2014.18</v>
      </c>
    </row>
    <row r="1434" spans="1:7" x14ac:dyDescent="0.3">
      <c r="A1434" s="84">
        <v>2026</v>
      </c>
      <c r="B1434" s="84" t="s">
        <v>395</v>
      </c>
      <c r="C1434" s="84">
        <v>18</v>
      </c>
      <c r="D1434" s="84">
        <v>23</v>
      </c>
      <c r="E1434" s="85">
        <v>25273.02</v>
      </c>
      <c r="F1434" s="85">
        <v>27927.7</v>
      </c>
      <c r="G1434" s="85">
        <v>2654.68</v>
      </c>
    </row>
    <row r="1435" spans="1:7" x14ac:dyDescent="0.3">
      <c r="A1435" s="84">
        <v>2026</v>
      </c>
      <c r="B1435" s="84" t="s">
        <v>395</v>
      </c>
      <c r="C1435" s="84">
        <v>18</v>
      </c>
      <c r="D1435" s="84">
        <v>24</v>
      </c>
      <c r="E1435" s="85">
        <v>25273.02</v>
      </c>
      <c r="F1435" s="85">
        <v>28566.94</v>
      </c>
      <c r="G1435" s="85">
        <v>3293.92</v>
      </c>
    </row>
    <row r="1436" spans="1:7" x14ac:dyDescent="0.3">
      <c r="A1436" s="84">
        <v>2026</v>
      </c>
      <c r="B1436" s="84" t="s">
        <v>395</v>
      </c>
      <c r="C1436" s="84">
        <v>18</v>
      </c>
      <c r="D1436" s="84">
        <v>25</v>
      </c>
      <c r="E1436" s="85">
        <v>25273.02</v>
      </c>
      <c r="F1436" s="85">
        <v>29207.02</v>
      </c>
      <c r="G1436" s="85">
        <v>3934</v>
      </c>
    </row>
    <row r="1437" spans="1:7" x14ac:dyDescent="0.3">
      <c r="A1437" s="84">
        <v>2026</v>
      </c>
      <c r="B1437" s="84" t="s">
        <v>395</v>
      </c>
      <c r="C1437" s="84">
        <v>18</v>
      </c>
      <c r="D1437" s="84">
        <v>26</v>
      </c>
      <c r="E1437" s="85">
        <v>25273.02</v>
      </c>
      <c r="F1437" s="85">
        <v>30586.3</v>
      </c>
      <c r="G1437" s="85">
        <v>5313.28</v>
      </c>
    </row>
    <row r="1438" spans="1:7" x14ac:dyDescent="0.3">
      <c r="A1438" s="84">
        <v>2026</v>
      </c>
      <c r="B1438" s="84" t="s">
        <v>395</v>
      </c>
      <c r="C1438" s="84">
        <v>18</v>
      </c>
      <c r="D1438" s="84">
        <v>27</v>
      </c>
      <c r="E1438" s="85">
        <v>25273.02</v>
      </c>
      <c r="F1438" s="85">
        <v>32295.56</v>
      </c>
      <c r="G1438" s="85">
        <v>7022.54</v>
      </c>
    </row>
    <row r="1439" spans="1:7" x14ac:dyDescent="0.3">
      <c r="A1439" s="84">
        <v>2026</v>
      </c>
      <c r="B1439" s="84" t="s">
        <v>395</v>
      </c>
      <c r="C1439" s="84">
        <v>18</v>
      </c>
      <c r="D1439" s="84">
        <v>28</v>
      </c>
      <c r="E1439" s="85">
        <v>25273.02</v>
      </c>
      <c r="F1439" s="85">
        <v>32936.06</v>
      </c>
      <c r="G1439" s="85">
        <v>7663.04</v>
      </c>
    </row>
    <row r="1440" spans="1:7" x14ac:dyDescent="0.3">
      <c r="A1440" s="84">
        <v>2026</v>
      </c>
      <c r="B1440" s="84" t="s">
        <v>395</v>
      </c>
      <c r="C1440" s="84">
        <v>18</v>
      </c>
      <c r="D1440" s="84">
        <v>29</v>
      </c>
      <c r="E1440" s="85">
        <v>25273.02</v>
      </c>
      <c r="F1440" s="85">
        <v>33575.4</v>
      </c>
      <c r="G1440" s="85">
        <v>8302.3799999999992</v>
      </c>
    </row>
    <row r="1441" spans="1:7" x14ac:dyDescent="0.3">
      <c r="A1441" s="84">
        <v>2026</v>
      </c>
      <c r="B1441" s="84" t="s">
        <v>395</v>
      </c>
      <c r="C1441" s="84">
        <v>18</v>
      </c>
      <c r="D1441" s="84">
        <v>30</v>
      </c>
      <c r="E1441" s="85">
        <v>25273.02</v>
      </c>
      <c r="F1441" s="85">
        <v>35323.760000000002</v>
      </c>
      <c r="G1441" s="85">
        <v>10050.74</v>
      </c>
    </row>
    <row r="1442" spans="1:7" x14ac:dyDescent="0.3">
      <c r="A1442" s="84">
        <v>2026</v>
      </c>
      <c r="B1442" s="84" t="s">
        <v>395</v>
      </c>
      <c r="C1442" s="84">
        <v>19</v>
      </c>
      <c r="D1442" s="84">
        <v>1</v>
      </c>
      <c r="E1442" s="85">
        <v>25666.14</v>
      </c>
      <c r="F1442" s="85">
        <v>19966.32</v>
      </c>
      <c r="G1442" s="85">
        <v>-5699.82</v>
      </c>
    </row>
    <row r="1443" spans="1:7" x14ac:dyDescent="0.3">
      <c r="A1443" s="84">
        <v>2026</v>
      </c>
      <c r="B1443" s="84" t="s">
        <v>395</v>
      </c>
      <c r="C1443" s="84">
        <v>19</v>
      </c>
      <c r="D1443" s="84">
        <v>2</v>
      </c>
      <c r="E1443" s="85">
        <v>25666.14</v>
      </c>
      <c r="F1443" s="85">
        <v>20260.740000000002</v>
      </c>
      <c r="G1443" s="85">
        <v>-5405.4</v>
      </c>
    </row>
    <row r="1444" spans="1:7" x14ac:dyDescent="0.3">
      <c r="A1444" s="84">
        <v>2026</v>
      </c>
      <c r="B1444" s="84" t="s">
        <v>395</v>
      </c>
      <c r="C1444" s="84">
        <v>19</v>
      </c>
      <c r="D1444" s="84">
        <v>3</v>
      </c>
      <c r="E1444" s="85">
        <v>25666.14</v>
      </c>
      <c r="F1444" s="85">
        <v>20555.72</v>
      </c>
      <c r="G1444" s="85">
        <v>-5110.42</v>
      </c>
    </row>
    <row r="1445" spans="1:7" x14ac:dyDescent="0.3">
      <c r="A1445" s="84">
        <v>2026</v>
      </c>
      <c r="B1445" s="84" t="s">
        <v>395</v>
      </c>
      <c r="C1445" s="84">
        <v>19</v>
      </c>
      <c r="D1445" s="84">
        <v>4</v>
      </c>
      <c r="E1445" s="85">
        <v>25666.14</v>
      </c>
      <c r="F1445" s="85">
        <v>20849.86</v>
      </c>
      <c r="G1445" s="85">
        <v>-4816.28</v>
      </c>
    </row>
    <row r="1446" spans="1:7" x14ac:dyDescent="0.3">
      <c r="A1446" s="84">
        <v>2026</v>
      </c>
      <c r="B1446" s="84" t="s">
        <v>395</v>
      </c>
      <c r="C1446" s="84">
        <v>19</v>
      </c>
      <c r="D1446" s="84">
        <v>5</v>
      </c>
      <c r="E1446" s="85">
        <v>25666.14</v>
      </c>
      <c r="F1446" s="85">
        <v>21144.560000000001</v>
      </c>
      <c r="G1446" s="85">
        <v>-4521.58</v>
      </c>
    </row>
    <row r="1447" spans="1:7" x14ac:dyDescent="0.3">
      <c r="A1447" s="84">
        <v>2026</v>
      </c>
      <c r="B1447" s="84" t="s">
        <v>395</v>
      </c>
      <c r="C1447" s="84">
        <v>19</v>
      </c>
      <c r="D1447" s="84">
        <v>6</v>
      </c>
      <c r="E1447" s="85">
        <v>25666.14</v>
      </c>
      <c r="F1447" s="85">
        <v>21341.26</v>
      </c>
      <c r="G1447" s="85">
        <v>-4324.88</v>
      </c>
    </row>
    <row r="1448" spans="1:7" x14ac:dyDescent="0.3">
      <c r="A1448" s="84">
        <v>2026</v>
      </c>
      <c r="B1448" s="84" t="s">
        <v>395</v>
      </c>
      <c r="C1448" s="84">
        <v>19</v>
      </c>
      <c r="D1448" s="84">
        <v>7</v>
      </c>
      <c r="E1448" s="85">
        <v>25666.14</v>
      </c>
      <c r="F1448" s="85">
        <v>21537.96</v>
      </c>
      <c r="G1448" s="85">
        <v>-4128.18</v>
      </c>
    </row>
    <row r="1449" spans="1:7" x14ac:dyDescent="0.3">
      <c r="A1449" s="84">
        <v>2026</v>
      </c>
      <c r="B1449" s="84" t="s">
        <v>395</v>
      </c>
      <c r="C1449" s="84">
        <v>19</v>
      </c>
      <c r="D1449" s="84">
        <v>8</v>
      </c>
      <c r="E1449" s="85">
        <v>25666.14</v>
      </c>
      <c r="F1449" s="85">
        <v>21734.240000000002</v>
      </c>
      <c r="G1449" s="85">
        <v>-3931.9</v>
      </c>
    </row>
    <row r="1450" spans="1:7" x14ac:dyDescent="0.3">
      <c r="A1450" s="84">
        <v>2026</v>
      </c>
      <c r="B1450" s="84" t="s">
        <v>395</v>
      </c>
      <c r="C1450" s="84">
        <v>19</v>
      </c>
      <c r="D1450" s="84">
        <v>9</v>
      </c>
      <c r="E1450" s="85">
        <v>25666.14</v>
      </c>
      <c r="F1450" s="85">
        <v>21931.360000000001</v>
      </c>
      <c r="G1450" s="85">
        <v>-3734.78</v>
      </c>
    </row>
    <row r="1451" spans="1:7" x14ac:dyDescent="0.3">
      <c r="A1451" s="84">
        <v>2026</v>
      </c>
      <c r="B1451" s="84" t="s">
        <v>395</v>
      </c>
      <c r="C1451" s="84">
        <v>19</v>
      </c>
      <c r="D1451" s="84">
        <v>10</v>
      </c>
      <c r="E1451" s="85">
        <v>25666.14</v>
      </c>
      <c r="F1451" s="85">
        <v>22127.78</v>
      </c>
      <c r="G1451" s="85">
        <v>-3538.36</v>
      </c>
    </row>
    <row r="1452" spans="1:7" x14ac:dyDescent="0.3">
      <c r="A1452" s="84">
        <v>2026</v>
      </c>
      <c r="B1452" s="84" t="s">
        <v>395</v>
      </c>
      <c r="C1452" s="84">
        <v>19</v>
      </c>
      <c r="D1452" s="84">
        <v>11</v>
      </c>
      <c r="E1452" s="85">
        <v>25666.14</v>
      </c>
      <c r="F1452" s="85">
        <v>22520.34</v>
      </c>
      <c r="G1452" s="85">
        <v>-3145.8</v>
      </c>
    </row>
    <row r="1453" spans="1:7" x14ac:dyDescent="0.3">
      <c r="A1453" s="84">
        <v>2026</v>
      </c>
      <c r="B1453" s="84" t="s">
        <v>395</v>
      </c>
      <c r="C1453" s="84">
        <v>19</v>
      </c>
      <c r="D1453" s="84">
        <v>12</v>
      </c>
      <c r="E1453" s="85">
        <v>25666.14</v>
      </c>
      <c r="F1453" s="85">
        <v>22913.88</v>
      </c>
      <c r="G1453" s="85">
        <v>-2752.26</v>
      </c>
    </row>
    <row r="1454" spans="1:7" x14ac:dyDescent="0.3">
      <c r="A1454" s="84">
        <v>2026</v>
      </c>
      <c r="B1454" s="84" t="s">
        <v>395</v>
      </c>
      <c r="C1454" s="84">
        <v>19</v>
      </c>
      <c r="D1454" s="84">
        <v>13</v>
      </c>
      <c r="E1454" s="85">
        <v>25666.14</v>
      </c>
      <c r="F1454" s="85">
        <v>23307.14</v>
      </c>
      <c r="G1454" s="85">
        <v>-2359</v>
      </c>
    </row>
    <row r="1455" spans="1:7" x14ac:dyDescent="0.3">
      <c r="A1455" s="84">
        <v>2026</v>
      </c>
      <c r="B1455" s="84" t="s">
        <v>395</v>
      </c>
      <c r="C1455" s="84">
        <v>19</v>
      </c>
      <c r="D1455" s="84">
        <v>14</v>
      </c>
      <c r="E1455" s="85">
        <v>25666.14</v>
      </c>
      <c r="F1455" s="85">
        <v>23700.959999999999</v>
      </c>
      <c r="G1455" s="85">
        <v>-1965.18</v>
      </c>
    </row>
    <row r="1456" spans="1:7" x14ac:dyDescent="0.3">
      <c r="A1456" s="84">
        <v>2026</v>
      </c>
      <c r="B1456" s="84" t="s">
        <v>395</v>
      </c>
      <c r="C1456" s="84">
        <v>19</v>
      </c>
      <c r="D1456" s="84">
        <v>15</v>
      </c>
      <c r="E1456" s="85">
        <v>25666.14</v>
      </c>
      <c r="F1456" s="85">
        <v>24093.24</v>
      </c>
      <c r="G1456" s="85">
        <v>-1572.9</v>
      </c>
    </row>
    <row r="1457" spans="1:7" x14ac:dyDescent="0.3">
      <c r="A1457" s="84">
        <v>2026</v>
      </c>
      <c r="B1457" s="84" t="s">
        <v>395</v>
      </c>
      <c r="C1457" s="84">
        <v>19</v>
      </c>
      <c r="D1457" s="84">
        <v>16</v>
      </c>
      <c r="E1457" s="85">
        <v>25666.14</v>
      </c>
      <c r="F1457" s="85">
        <v>24487.200000000001</v>
      </c>
      <c r="G1457" s="85">
        <v>-1178.94</v>
      </c>
    </row>
    <row r="1458" spans="1:7" x14ac:dyDescent="0.3">
      <c r="A1458" s="84">
        <v>2026</v>
      </c>
      <c r="B1458" s="84" t="s">
        <v>395</v>
      </c>
      <c r="C1458" s="84">
        <v>19</v>
      </c>
      <c r="D1458" s="84">
        <v>17</v>
      </c>
      <c r="E1458" s="85">
        <v>25666.14</v>
      </c>
      <c r="F1458" s="85">
        <v>24879.94</v>
      </c>
      <c r="G1458" s="85">
        <v>-786.2</v>
      </c>
    </row>
    <row r="1459" spans="1:7" x14ac:dyDescent="0.3">
      <c r="A1459" s="84">
        <v>2026</v>
      </c>
      <c r="B1459" s="84" t="s">
        <v>395</v>
      </c>
      <c r="C1459" s="84">
        <v>19</v>
      </c>
      <c r="D1459" s="84">
        <v>18</v>
      </c>
      <c r="E1459" s="85">
        <v>25666.14</v>
      </c>
      <c r="F1459" s="85">
        <v>25273.02</v>
      </c>
      <c r="G1459" s="85">
        <v>-393.12</v>
      </c>
    </row>
    <row r="1460" spans="1:7" x14ac:dyDescent="0.3">
      <c r="A1460" s="84">
        <v>2026</v>
      </c>
      <c r="B1460" s="84" t="s">
        <v>395</v>
      </c>
      <c r="C1460" s="84">
        <v>19</v>
      </c>
      <c r="D1460" s="84">
        <v>19</v>
      </c>
      <c r="E1460" s="85">
        <v>25666.14</v>
      </c>
      <c r="F1460" s="85">
        <v>25666.14</v>
      </c>
      <c r="G1460" s="85">
        <v>0</v>
      </c>
    </row>
    <row r="1461" spans="1:7" x14ac:dyDescent="0.3">
      <c r="A1461" s="84">
        <v>2026</v>
      </c>
      <c r="B1461" s="84" t="s">
        <v>395</v>
      </c>
      <c r="C1461" s="84">
        <v>19</v>
      </c>
      <c r="D1461" s="84">
        <v>20</v>
      </c>
      <c r="E1461" s="85">
        <v>25666.14</v>
      </c>
      <c r="F1461" s="85">
        <v>26059.119999999999</v>
      </c>
      <c r="G1461" s="85">
        <v>392.98</v>
      </c>
    </row>
    <row r="1462" spans="1:7" x14ac:dyDescent="0.3">
      <c r="A1462" s="84">
        <v>2026</v>
      </c>
      <c r="B1462" s="84" t="s">
        <v>395</v>
      </c>
      <c r="C1462" s="84">
        <v>19</v>
      </c>
      <c r="D1462" s="84">
        <v>21</v>
      </c>
      <c r="E1462" s="85">
        <v>25666.14</v>
      </c>
      <c r="F1462" s="85">
        <v>26648.52</v>
      </c>
      <c r="G1462" s="85">
        <v>982.38</v>
      </c>
    </row>
    <row r="1463" spans="1:7" x14ac:dyDescent="0.3">
      <c r="A1463" s="84">
        <v>2026</v>
      </c>
      <c r="B1463" s="84" t="s">
        <v>395</v>
      </c>
      <c r="C1463" s="84">
        <v>19</v>
      </c>
      <c r="D1463" s="84">
        <v>22</v>
      </c>
      <c r="E1463" s="85">
        <v>25666.14</v>
      </c>
      <c r="F1463" s="85">
        <v>27287.200000000001</v>
      </c>
      <c r="G1463" s="85">
        <v>1621.06</v>
      </c>
    </row>
    <row r="1464" spans="1:7" x14ac:dyDescent="0.3">
      <c r="A1464" s="84">
        <v>2026</v>
      </c>
      <c r="B1464" s="84" t="s">
        <v>395</v>
      </c>
      <c r="C1464" s="84">
        <v>19</v>
      </c>
      <c r="D1464" s="84">
        <v>23</v>
      </c>
      <c r="E1464" s="85">
        <v>25666.14</v>
      </c>
      <c r="F1464" s="85">
        <v>27927.7</v>
      </c>
      <c r="G1464" s="85">
        <v>2261.56</v>
      </c>
    </row>
    <row r="1465" spans="1:7" x14ac:dyDescent="0.3">
      <c r="A1465" s="84">
        <v>2026</v>
      </c>
      <c r="B1465" s="84" t="s">
        <v>395</v>
      </c>
      <c r="C1465" s="84">
        <v>19</v>
      </c>
      <c r="D1465" s="84">
        <v>24</v>
      </c>
      <c r="E1465" s="85">
        <v>25666.14</v>
      </c>
      <c r="F1465" s="85">
        <v>28566.94</v>
      </c>
      <c r="G1465" s="85">
        <v>2900.8</v>
      </c>
    </row>
    <row r="1466" spans="1:7" x14ac:dyDescent="0.3">
      <c r="A1466" s="84">
        <v>2026</v>
      </c>
      <c r="B1466" s="84" t="s">
        <v>395</v>
      </c>
      <c r="C1466" s="84">
        <v>19</v>
      </c>
      <c r="D1466" s="84">
        <v>25</v>
      </c>
      <c r="E1466" s="85">
        <v>25666.14</v>
      </c>
      <c r="F1466" s="85">
        <v>29207.02</v>
      </c>
      <c r="G1466" s="85">
        <v>3540.88</v>
      </c>
    </row>
    <row r="1467" spans="1:7" x14ac:dyDescent="0.3">
      <c r="A1467" s="84">
        <v>2026</v>
      </c>
      <c r="B1467" s="84" t="s">
        <v>395</v>
      </c>
      <c r="C1467" s="84">
        <v>19</v>
      </c>
      <c r="D1467" s="84">
        <v>26</v>
      </c>
      <c r="E1467" s="85">
        <v>25666.14</v>
      </c>
      <c r="F1467" s="85">
        <v>30586.3</v>
      </c>
      <c r="G1467" s="85">
        <v>4920.16</v>
      </c>
    </row>
    <row r="1468" spans="1:7" x14ac:dyDescent="0.3">
      <c r="A1468" s="84">
        <v>2026</v>
      </c>
      <c r="B1468" s="84" t="s">
        <v>395</v>
      </c>
      <c r="C1468" s="84">
        <v>19</v>
      </c>
      <c r="D1468" s="84">
        <v>27</v>
      </c>
      <c r="E1468" s="85">
        <v>25666.14</v>
      </c>
      <c r="F1468" s="85">
        <v>32295.56</v>
      </c>
      <c r="G1468" s="85">
        <v>6629.42</v>
      </c>
    </row>
    <row r="1469" spans="1:7" x14ac:dyDescent="0.3">
      <c r="A1469" s="84">
        <v>2026</v>
      </c>
      <c r="B1469" s="84" t="s">
        <v>395</v>
      </c>
      <c r="C1469" s="84">
        <v>19</v>
      </c>
      <c r="D1469" s="84">
        <v>28</v>
      </c>
      <c r="E1469" s="85">
        <v>25666.14</v>
      </c>
      <c r="F1469" s="85">
        <v>32936.06</v>
      </c>
      <c r="G1469" s="85">
        <v>7269.92</v>
      </c>
    </row>
    <row r="1470" spans="1:7" x14ac:dyDescent="0.3">
      <c r="A1470" s="84">
        <v>2026</v>
      </c>
      <c r="B1470" s="84" t="s">
        <v>395</v>
      </c>
      <c r="C1470" s="84">
        <v>19</v>
      </c>
      <c r="D1470" s="84">
        <v>29</v>
      </c>
      <c r="E1470" s="85">
        <v>25666.14</v>
      </c>
      <c r="F1470" s="85">
        <v>33575.4</v>
      </c>
      <c r="G1470" s="85">
        <v>7909.26</v>
      </c>
    </row>
    <row r="1471" spans="1:7" x14ac:dyDescent="0.3">
      <c r="A1471" s="84">
        <v>2026</v>
      </c>
      <c r="B1471" s="84" t="s">
        <v>395</v>
      </c>
      <c r="C1471" s="84">
        <v>19</v>
      </c>
      <c r="D1471" s="84">
        <v>30</v>
      </c>
      <c r="E1471" s="85">
        <v>25666.14</v>
      </c>
      <c r="F1471" s="85">
        <v>35323.760000000002</v>
      </c>
      <c r="G1471" s="85">
        <v>9657.6200000000008</v>
      </c>
    </row>
    <row r="1472" spans="1:7" x14ac:dyDescent="0.3">
      <c r="A1472" s="84">
        <v>2026</v>
      </c>
      <c r="B1472" s="84" t="s">
        <v>395</v>
      </c>
      <c r="C1472" s="84">
        <v>20</v>
      </c>
      <c r="D1472" s="84">
        <v>1</v>
      </c>
      <c r="E1472" s="85">
        <v>26059.119999999999</v>
      </c>
      <c r="F1472" s="85">
        <v>19966.32</v>
      </c>
      <c r="G1472" s="85">
        <v>-6092.8</v>
      </c>
    </row>
    <row r="1473" spans="1:7" x14ac:dyDescent="0.3">
      <c r="A1473" s="84">
        <v>2026</v>
      </c>
      <c r="B1473" s="84" t="s">
        <v>395</v>
      </c>
      <c r="C1473" s="84">
        <v>20</v>
      </c>
      <c r="D1473" s="84">
        <v>2</v>
      </c>
      <c r="E1473" s="85">
        <v>26059.119999999999</v>
      </c>
      <c r="F1473" s="85">
        <v>20260.740000000002</v>
      </c>
      <c r="G1473" s="85">
        <v>-5798.38</v>
      </c>
    </row>
    <row r="1474" spans="1:7" x14ac:dyDescent="0.3">
      <c r="A1474" s="84">
        <v>2026</v>
      </c>
      <c r="B1474" s="84" t="s">
        <v>395</v>
      </c>
      <c r="C1474" s="84">
        <v>20</v>
      </c>
      <c r="D1474" s="84">
        <v>3</v>
      </c>
      <c r="E1474" s="85">
        <v>26059.119999999999</v>
      </c>
      <c r="F1474" s="85">
        <v>20555.72</v>
      </c>
      <c r="G1474" s="85">
        <v>-5503.4</v>
      </c>
    </row>
    <row r="1475" spans="1:7" x14ac:dyDescent="0.3">
      <c r="A1475" s="84">
        <v>2026</v>
      </c>
      <c r="B1475" s="84" t="s">
        <v>395</v>
      </c>
      <c r="C1475" s="84">
        <v>20</v>
      </c>
      <c r="D1475" s="84">
        <v>4</v>
      </c>
      <c r="E1475" s="85">
        <v>26059.119999999999</v>
      </c>
      <c r="F1475" s="85">
        <v>20849.86</v>
      </c>
      <c r="G1475" s="85">
        <v>-5209.26</v>
      </c>
    </row>
    <row r="1476" spans="1:7" x14ac:dyDescent="0.3">
      <c r="A1476" s="84">
        <v>2026</v>
      </c>
      <c r="B1476" s="84" t="s">
        <v>395</v>
      </c>
      <c r="C1476" s="84">
        <v>20</v>
      </c>
      <c r="D1476" s="84">
        <v>5</v>
      </c>
      <c r="E1476" s="85">
        <v>26059.119999999999</v>
      </c>
      <c r="F1476" s="85">
        <v>21144.560000000001</v>
      </c>
      <c r="G1476" s="85">
        <v>-4914.5600000000004</v>
      </c>
    </row>
    <row r="1477" spans="1:7" x14ac:dyDescent="0.3">
      <c r="A1477" s="84">
        <v>2026</v>
      </c>
      <c r="B1477" s="84" t="s">
        <v>395</v>
      </c>
      <c r="C1477" s="84">
        <v>20</v>
      </c>
      <c r="D1477" s="84">
        <v>6</v>
      </c>
      <c r="E1477" s="85">
        <v>26059.119999999999</v>
      </c>
      <c r="F1477" s="85">
        <v>21341.26</v>
      </c>
      <c r="G1477" s="85">
        <v>-4717.8599999999997</v>
      </c>
    </row>
    <row r="1478" spans="1:7" x14ac:dyDescent="0.3">
      <c r="A1478" s="84">
        <v>2026</v>
      </c>
      <c r="B1478" s="84" t="s">
        <v>395</v>
      </c>
      <c r="C1478" s="84">
        <v>20</v>
      </c>
      <c r="D1478" s="84">
        <v>7</v>
      </c>
      <c r="E1478" s="85">
        <v>26059.119999999999</v>
      </c>
      <c r="F1478" s="85">
        <v>21537.96</v>
      </c>
      <c r="G1478" s="85">
        <v>-4521.16</v>
      </c>
    </row>
    <row r="1479" spans="1:7" x14ac:dyDescent="0.3">
      <c r="A1479" s="84">
        <v>2026</v>
      </c>
      <c r="B1479" s="84" t="s">
        <v>395</v>
      </c>
      <c r="C1479" s="84">
        <v>20</v>
      </c>
      <c r="D1479" s="84">
        <v>8</v>
      </c>
      <c r="E1479" s="85">
        <v>26059.119999999999</v>
      </c>
      <c r="F1479" s="85">
        <v>21734.240000000002</v>
      </c>
      <c r="G1479" s="85">
        <v>-4324.88</v>
      </c>
    </row>
    <row r="1480" spans="1:7" x14ac:dyDescent="0.3">
      <c r="A1480" s="84">
        <v>2026</v>
      </c>
      <c r="B1480" s="84" t="s">
        <v>395</v>
      </c>
      <c r="C1480" s="84">
        <v>20</v>
      </c>
      <c r="D1480" s="84">
        <v>9</v>
      </c>
      <c r="E1480" s="85">
        <v>26059.119999999999</v>
      </c>
      <c r="F1480" s="85">
        <v>21931.360000000001</v>
      </c>
      <c r="G1480" s="85">
        <v>-4127.76</v>
      </c>
    </row>
    <row r="1481" spans="1:7" x14ac:dyDescent="0.3">
      <c r="A1481" s="84">
        <v>2026</v>
      </c>
      <c r="B1481" s="84" t="s">
        <v>395</v>
      </c>
      <c r="C1481" s="84">
        <v>20</v>
      </c>
      <c r="D1481" s="84">
        <v>10</v>
      </c>
      <c r="E1481" s="85">
        <v>26059.119999999999</v>
      </c>
      <c r="F1481" s="85">
        <v>22127.78</v>
      </c>
      <c r="G1481" s="85">
        <v>-3931.34</v>
      </c>
    </row>
    <row r="1482" spans="1:7" x14ac:dyDescent="0.3">
      <c r="A1482" s="84">
        <v>2026</v>
      </c>
      <c r="B1482" s="84" t="s">
        <v>395</v>
      </c>
      <c r="C1482" s="84">
        <v>20</v>
      </c>
      <c r="D1482" s="84">
        <v>11</v>
      </c>
      <c r="E1482" s="85">
        <v>26059.119999999999</v>
      </c>
      <c r="F1482" s="85">
        <v>22520.34</v>
      </c>
      <c r="G1482" s="85">
        <v>-3538.78</v>
      </c>
    </row>
    <row r="1483" spans="1:7" x14ac:dyDescent="0.3">
      <c r="A1483" s="84">
        <v>2026</v>
      </c>
      <c r="B1483" s="84" t="s">
        <v>395</v>
      </c>
      <c r="C1483" s="84">
        <v>20</v>
      </c>
      <c r="D1483" s="84">
        <v>12</v>
      </c>
      <c r="E1483" s="85">
        <v>26059.119999999999</v>
      </c>
      <c r="F1483" s="85">
        <v>22913.88</v>
      </c>
      <c r="G1483" s="85">
        <v>-3145.24</v>
      </c>
    </row>
    <row r="1484" spans="1:7" x14ac:dyDescent="0.3">
      <c r="A1484" s="84">
        <v>2026</v>
      </c>
      <c r="B1484" s="84" t="s">
        <v>395</v>
      </c>
      <c r="C1484" s="84">
        <v>20</v>
      </c>
      <c r="D1484" s="84">
        <v>13</v>
      </c>
      <c r="E1484" s="85">
        <v>26059.119999999999</v>
      </c>
      <c r="F1484" s="85">
        <v>23307.14</v>
      </c>
      <c r="G1484" s="85">
        <v>-2751.98</v>
      </c>
    </row>
    <row r="1485" spans="1:7" x14ac:dyDescent="0.3">
      <c r="A1485" s="84">
        <v>2026</v>
      </c>
      <c r="B1485" s="84" t="s">
        <v>395</v>
      </c>
      <c r="C1485" s="84">
        <v>20</v>
      </c>
      <c r="D1485" s="84">
        <v>14</v>
      </c>
      <c r="E1485" s="85">
        <v>26059.119999999999</v>
      </c>
      <c r="F1485" s="85">
        <v>23700.959999999999</v>
      </c>
      <c r="G1485" s="85">
        <v>-2358.16</v>
      </c>
    </row>
    <row r="1486" spans="1:7" x14ac:dyDescent="0.3">
      <c r="A1486" s="84">
        <v>2026</v>
      </c>
      <c r="B1486" s="84" t="s">
        <v>395</v>
      </c>
      <c r="C1486" s="84">
        <v>20</v>
      </c>
      <c r="D1486" s="84">
        <v>15</v>
      </c>
      <c r="E1486" s="85">
        <v>26059.119999999999</v>
      </c>
      <c r="F1486" s="85">
        <v>24093.24</v>
      </c>
      <c r="G1486" s="85">
        <v>-1965.88</v>
      </c>
    </row>
    <row r="1487" spans="1:7" x14ac:dyDescent="0.3">
      <c r="A1487" s="84">
        <v>2026</v>
      </c>
      <c r="B1487" s="84" t="s">
        <v>395</v>
      </c>
      <c r="C1487" s="84">
        <v>20</v>
      </c>
      <c r="D1487" s="84">
        <v>16</v>
      </c>
      <c r="E1487" s="85">
        <v>26059.119999999999</v>
      </c>
      <c r="F1487" s="85">
        <v>24487.200000000001</v>
      </c>
      <c r="G1487" s="85">
        <v>-1571.92</v>
      </c>
    </row>
    <row r="1488" spans="1:7" x14ac:dyDescent="0.3">
      <c r="A1488" s="84">
        <v>2026</v>
      </c>
      <c r="B1488" s="84" t="s">
        <v>395</v>
      </c>
      <c r="C1488" s="84">
        <v>20</v>
      </c>
      <c r="D1488" s="84">
        <v>17</v>
      </c>
      <c r="E1488" s="85">
        <v>26059.119999999999</v>
      </c>
      <c r="F1488" s="85">
        <v>24879.94</v>
      </c>
      <c r="G1488" s="85">
        <v>-1179.18</v>
      </c>
    </row>
    <row r="1489" spans="1:7" x14ac:dyDescent="0.3">
      <c r="A1489" s="84">
        <v>2026</v>
      </c>
      <c r="B1489" s="84" t="s">
        <v>395</v>
      </c>
      <c r="C1489" s="84">
        <v>20</v>
      </c>
      <c r="D1489" s="84">
        <v>18</v>
      </c>
      <c r="E1489" s="85">
        <v>26059.119999999999</v>
      </c>
      <c r="F1489" s="85">
        <v>25273.02</v>
      </c>
      <c r="G1489" s="85">
        <v>-786.1</v>
      </c>
    </row>
    <row r="1490" spans="1:7" x14ac:dyDescent="0.3">
      <c r="A1490" s="84">
        <v>2026</v>
      </c>
      <c r="B1490" s="84" t="s">
        <v>395</v>
      </c>
      <c r="C1490" s="84">
        <v>20</v>
      </c>
      <c r="D1490" s="84">
        <v>19</v>
      </c>
      <c r="E1490" s="85">
        <v>26059.119999999999</v>
      </c>
      <c r="F1490" s="85">
        <v>25666.14</v>
      </c>
      <c r="G1490" s="85">
        <v>-392.98</v>
      </c>
    </row>
    <row r="1491" spans="1:7" x14ac:dyDescent="0.3">
      <c r="A1491" s="84">
        <v>2026</v>
      </c>
      <c r="B1491" s="84" t="s">
        <v>395</v>
      </c>
      <c r="C1491" s="84">
        <v>20</v>
      </c>
      <c r="D1491" s="84">
        <v>20</v>
      </c>
      <c r="E1491" s="85">
        <v>26059.119999999999</v>
      </c>
      <c r="F1491" s="85">
        <v>26059.119999999999</v>
      </c>
      <c r="G1491" s="85">
        <v>0</v>
      </c>
    </row>
    <row r="1492" spans="1:7" x14ac:dyDescent="0.3">
      <c r="A1492" s="84">
        <v>2026</v>
      </c>
      <c r="B1492" s="84" t="s">
        <v>395</v>
      </c>
      <c r="C1492" s="84">
        <v>20</v>
      </c>
      <c r="D1492" s="84">
        <v>21</v>
      </c>
      <c r="E1492" s="85">
        <v>26059.119999999999</v>
      </c>
      <c r="F1492" s="85">
        <v>26648.52</v>
      </c>
      <c r="G1492" s="85">
        <v>589.4</v>
      </c>
    </row>
    <row r="1493" spans="1:7" x14ac:dyDescent="0.3">
      <c r="A1493" s="84">
        <v>2026</v>
      </c>
      <c r="B1493" s="84" t="s">
        <v>395</v>
      </c>
      <c r="C1493" s="84">
        <v>20</v>
      </c>
      <c r="D1493" s="84">
        <v>22</v>
      </c>
      <c r="E1493" s="85">
        <v>26059.119999999999</v>
      </c>
      <c r="F1493" s="85">
        <v>27287.200000000001</v>
      </c>
      <c r="G1493" s="85">
        <v>1228.08</v>
      </c>
    </row>
    <row r="1494" spans="1:7" x14ac:dyDescent="0.3">
      <c r="A1494" s="84">
        <v>2026</v>
      </c>
      <c r="B1494" s="84" t="s">
        <v>395</v>
      </c>
      <c r="C1494" s="84">
        <v>20</v>
      </c>
      <c r="D1494" s="84">
        <v>23</v>
      </c>
      <c r="E1494" s="85">
        <v>26059.119999999999</v>
      </c>
      <c r="F1494" s="85">
        <v>27927.7</v>
      </c>
      <c r="G1494" s="85">
        <v>1868.58</v>
      </c>
    </row>
    <row r="1495" spans="1:7" x14ac:dyDescent="0.3">
      <c r="A1495" s="84">
        <v>2026</v>
      </c>
      <c r="B1495" s="84" t="s">
        <v>395</v>
      </c>
      <c r="C1495" s="84">
        <v>20</v>
      </c>
      <c r="D1495" s="84">
        <v>24</v>
      </c>
      <c r="E1495" s="85">
        <v>26059.119999999999</v>
      </c>
      <c r="F1495" s="85">
        <v>28566.94</v>
      </c>
      <c r="G1495" s="85">
        <v>2507.8200000000002</v>
      </c>
    </row>
    <row r="1496" spans="1:7" x14ac:dyDescent="0.3">
      <c r="A1496" s="84">
        <v>2026</v>
      </c>
      <c r="B1496" s="84" t="s">
        <v>395</v>
      </c>
      <c r="C1496" s="84">
        <v>20</v>
      </c>
      <c r="D1496" s="84">
        <v>25</v>
      </c>
      <c r="E1496" s="85">
        <v>26059.119999999999</v>
      </c>
      <c r="F1496" s="85">
        <v>29207.02</v>
      </c>
      <c r="G1496" s="85">
        <v>3147.9</v>
      </c>
    </row>
    <row r="1497" spans="1:7" x14ac:dyDescent="0.3">
      <c r="A1497" s="84">
        <v>2026</v>
      </c>
      <c r="B1497" s="84" t="s">
        <v>395</v>
      </c>
      <c r="C1497" s="84">
        <v>20</v>
      </c>
      <c r="D1497" s="84">
        <v>26</v>
      </c>
      <c r="E1497" s="85">
        <v>26059.119999999999</v>
      </c>
      <c r="F1497" s="85">
        <v>30586.3</v>
      </c>
      <c r="G1497" s="85">
        <v>4527.18</v>
      </c>
    </row>
    <row r="1498" spans="1:7" x14ac:dyDescent="0.3">
      <c r="A1498" s="84">
        <v>2026</v>
      </c>
      <c r="B1498" s="84" t="s">
        <v>395</v>
      </c>
      <c r="C1498" s="84">
        <v>20</v>
      </c>
      <c r="D1498" s="84">
        <v>27</v>
      </c>
      <c r="E1498" s="85">
        <v>26059.119999999999</v>
      </c>
      <c r="F1498" s="85">
        <v>32295.56</v>
      </c>
      <c r="G1498" s="85">
        <v>6236.44</v>
      </c>
    </row>
    <row r="1499" spans="1:7" x14ac:dyDescent="0.3">
      <c r="A1499" s="84">
        <v>2026</v>
      </c>
      <c r="B1499" s="84" t="s">
        <v>395</v>
      </c>
      <c r="C1499" s="84">
        <v>20</v>
      </c>
      <c r="D1499" s="84">
        <v>28</v>
      </c>
      <c r="E1499" s="85">
        <v>26059.119999999999</v>
      </c>
      <c r="F1499" s="85">
        <v>32936.06</v>
      </c>
      <c r="G1499" s="85">
        <v>6876.94</v>
      </c>
    </row>
    <row r="1500" spans="1:7" x14ac:dyDescent="0.3">
      <c r="A1500" s="84">
        <v>2026</v>
      </c>
      <c r="B1500" s="84" t="s">
        <v>395</v>
      </c>
      <c r="C1500" s="84">
        <v>20</v>
      </c>
      <c r="D1500" s="84">
        <v>29</v>
      </c>
      <c r="E1500" s="85">
        <v>26059.119999999999</v>
      </c>
      <c r="F1500" s="85">
        <v>33575.4</v>
      </c>
      <c r="G1500" s="85">
        <v>7516.28</v>
      </c>
    </row>
    <row r="1501" spans="1:7" x14ac:dyDescent="0.3">
      <c r="A1501" s="84">
        <v>2026</v>
      </c>
      <c r="B1501" s="84" t="s">
        <v>395</v>
      </c>
      <c r="C1501" s="84">
        <v>20</v>
      </c>
      <c r="D1501" s="84">
        <v>30</v>
      </c>
      <c r="E1501" s="85">
        <v>26059.119999999999</v>
      </c>
      <c r="F1501" s="85">
        <v>35323.760000000002</v>
      </c>
      <c r="G1501" s="85">
        <v>9264.64</v>
      </c>
    </row>
    <row r="1502" spans="1:7" x14ac:dyDescent="0.3">
      <c r="A1502" s="84">
        <v>2026</v>
      </c>
      <c r="B1502" s="84" t="s">
        <v>395</v>
      </c>
      <c r="C1502" s="84">
        <v>21</v>
      </c>
      <c r="D1502" s="84">
        <v>1</v>
      </c>
      <c r="E1502" s="85">
        <v>26648.52</v>
      </c>
      <c r="F1502" s="85">
        <v>19966.32</v>
      </c>
      <c r="G1502" s="85">
        <v>-6682.2</v>
      </c>
    </row>
    <row r="1503" spans="1:7" x14ac:dyDescent="0.3">
      <c r="A1503" s="84">
        <v>2026</v>
      </c>
      <c r="B1503" s="84" t="s">
        <v>395</v>
      </c>
      <c r="C1503" s="84">
        <v>21</v>
      </c>
      <c r="D1503" s="84">
        <v>2</v>
      </c>
      <c r="E1503" s="85">
        <v>26648.52</v>
      </c>
      <c r="F1503" s="85">
        <v>20260.740000000002</v>
      </c>
      <c r="G1503" s="85">
        <v>-6387.78</v>
      </c>
    </row>
    <row r="1504" spans="1:7" x14ac:dyDescent="0.3">
      <c r="A1504" s="84">
        <v>2026</v>
      </c>
      <c r="B1504" s="84" t="s">
        <v>395</v>
      </c>
      <c r="C1504" s="84">
        <v>21</v>
      </c>
      <c r="D1504" s="84">
        <v>3</v>
      </c>
      <c r="E1504" s="85">
        <v>26648.52</v>
      </c>
      <c r="F1504" s="85">
        <v>20555.72</v>
      </c>
      <c r="G1504" s="85">
        <v>-6092.8</v>
      </c>
    </row>
    <row r="1505" spans="1:7" x14ac:dyDescent="0.3">
      <c r="A1505" s="84">
        <v>2026</v>
      </c>
      <c r="B1505" s="84" t="s">
        <v>395</v>
      </c>
      <c r="C1505" s="84">
        <v>21</v>
      </c>
      <c r="D1505" s="84">
        <v>4</v>
      </c>
      <c r="E1505" s="85">
        <v>26648.52</v>
      </c>
      <c r="F1505" s="85">
        <v>20849.86</v>
      </c>
      <c r="G1505" s="85">
        <v>-5798.66</v>
      </c>
    </row>
    <row r="1506" spans="1:7" x14ac:dyDescent="0.3">
      <c r="A1506" s="84">
        <v>2026</v>
      </c>
      <c r="B1506" s="84" t="s">
        <v>395</v>
      </c>
      <c r="C1506" s="84">
        <v>21</v>
      </c>
      <c r="D1506" s="84">
        <v>5</v>
      </c>
      <c r="E1506" s="85">
        <v>26648.52</v>
      </c>
      <c r="F1506" s="85">
        <v>21144.560000000001</v>
      </c>
      <c r="G1506" s="85">
        <v>-5503.96</v>
      </c>
    </row>
    <row r="1507" spans="1:7" x14ac:dyDescent="0.3">
      <c r="A1507" s="84">
        <v>2026</v>
      </c>
      <c r="B1507" s="84" t="s">
        <v>395</v>
      </c>
      <c r="C1507" s="84">
        <v>21</v>
      </c>
      <c r="D1507" s="84">
        <v>6</v>
      </c>
      <c r="E1507" s="85">
        <v>26648.52</v>
      </c>
      <c r="F1507" s="85">
        <v>21341.26</v>
      </c>
      <c r="G1507" s="85">
        <v>-5307.26</v>
      </c>
    </row>
    <row r="1508" spans="1:7" x14ac:dyDescent="0.3">
      <c r="A1508" s="84">
        <v>2026</v>
      </c>
      <c r="B1508" s="84" t="s">
        <v>395</v>
      </c>
      <c r="C1508" s="84">
        <v>21</v>
      </c>
      <c r="D1508" s="84">
        <v>7</v>
      </c>
      <c r="E1508" s="85">
        <v>26648.52</v>
      </c>
      <c r="F1508" s="85">
        <v>21537.96</v>
      </c>
      <c r="G1508" s="85">
        <v>-5110.5600000000004</v>
      </c>
    </row>
    <row r="1509" spans="1:7" x14ac:dyDescent="0.3">
      <c r="A1509" s="84">
        <v>2026</v>
      </c>
      <c r="B1509" s="84" t="s">
        <v>395</v>
      </c>
      <c r="C1509" s="84">
        <v>21</v>
      </c>
      <c r="D1509" s="84">
        <v>8</v>
      </c>
      <c r="E1509" s="85">
        <v>26648.52</v>
      </c>
      <c r="F1509" s="85">
        <v>21734.240000000002</v>
      </c>
      <c r="G1509" s="85">
        <v>-4914.28</v>
      </c>
    </row>
    <row r="1510" spans="1:7" x14ac:dyDescent="0.3">
      <c r="A1510" s="84">
        <v>2026</v>
      </c>
      <c r="B1510" s="84" t="s">
        <v>395</v>
      </c>
      <c r="C1510" s="84">
        <v>21</v>
      </c>
      <c r="D1510" s="84">
        <v>9</v>
      </c>
      <c r="E1510" s="85">
        <v>26648.52</v>
      </c>
      <c r="F1510" s="85">
        <v>21931.360000000001</v>
      </c>
      <c r="G1510" s="85">
        <v>-4717.16</v>
      </c>
    </row>
    <row r="1511" spans="1:7" x14ac:dyDescent="0.3">
      <c r="A1511" s="84">
        <v>2026</v>
      </c>
      <c r="B1511" s="84" t="s">
        <v>395</v>
      </c>
      <c r="C1511" s="84">
        <v>21</v>
      </c>
      <c r="D1511" s="84">
        <v>10</v>
      </c>
      <c r="E1511" s="85">
        <v>26648.52</v>
      </c>
      <c r="F1511" s="85">
        <v>22127.78</v>
      </c>
      <c r="G1511" s="85">
        <v>-4520.74</v>
      </c>
    </row>
    <row r="1512" spans="1:7" x14ac:dyDescent="0.3">
      <c r="A1512" s="84">
        <v>2026</v>
      </c>
      <c r="B1512" s="84" t="s">
        <v>395</v>
      </c>
      <c r="C1512" s="84">
        <v>21</v>
      </c>
      <c r="D1512" s="84">
        <v>11</v>
      </c>
      <c r="E1512" s="85">
        <v>26648.52</v>
      </c>
      <c r="F1512" s="85">
        <v>22520.34</v>
      </c>
      <c r="G1512" s="85">
        <v>-4128.18</v>
      </c>
    </row>
    <row r="1513" spans="1:7" x14ac:dyDescent="0.3">
      <c r="A1513" s="84">
        <v>2026</v>
      </c>
      <c r="B1513" s="84" t="s">
        <v>395</v>
      </c>
      <c r="C1513" s="84">
        <v>21</v>
      </c>
      <c r="D1513" s="84">
        <v>12</v>
      </c>
      <c r="E1513" s="85">
        <v>26648.52</v>
      </c>
      <c r="F1513" s="85">
        <v>22913.88</v>
      </c>
      <c r="G1513" s="85">
        <v>-3734.64</v>
      </c>
    </row>
    <row r="1514" spans="1:7" x14ac:dyDescent="0.3">
      <c r="A1514" s="84">
        <v>2026</v>
      </c>
      <c r="B1514" s="84" t="s">
        <v>395</v>
      </c>
      <c r="C1514" s="84">
        <v>21</v>
      </c>
      <c r="D1514" s="84">
        <v>13</v>
      </c>
      <c r="E1514" s="85">
        <v>26648.52</v>
      </c>
      <c r="F1514" s="85">
        <v>23307.14</v>
      </c>
      <c r="G1514" s="85">
        <v>-3341.38</v>
      </c>
    </row>
    <row r="1515" spans="1:7" x14ac:dyDescent="0.3">
      <c r="A1515" s="84">
        <v>2026</v>
      </c>
      <c r="B1515" s="84" t="s">
        <v>395</v>
      </c>
      <c r="C1515" s="84">
        <v>21</v>
      </c>
      <c r="D1515" s="84">
        <v>14</v>
      </c>
      <c r="E1515" s="85">
        <v>26648.52</v>
      </c>
      <c r="F1515" s="85">
        <v>23700.959999999999</v>
      </c>
      <c r="G1515" s="85">
        <v>-2947.56</v>
      </c>
    </row>
    <row r="1516" spans="1:7" x14ac:dyDescent="0.3">
      <c r="A1516" s="84">
        <v>2026</v>
      </c>
      <c r="B1516" s="84" t="s">
        <v>395</v>
      </c>
      <c r="C1516" s="84">
        <v>21</v>
      </c>
      <c r="D1516" s="84">
        <v>15</v>
      </c>
      <c r="E1516" s="85">
        <v>26648.52</v>
      </c>
      <c r="F1516" s="85">
        <v>24093.24</v>
      </c>
      <c r="G1516" s="85">
        <v>-2555.2800000000002</v>
      </c>
    </row>
    <row r="1517" spans="1:7" x14ac:dyDescent="0.3">
      <c r="A1517" s="84">
        <v>2026</v>
      </c>
      <c r="B1517" s="84" t="s">
        <v>395</v>
      </c>
      <c r="C1517" s="84">
        <v>21</v>
      </c>
      <c r="D1517" s="84">
        <v>16</v>
      </c>
      <c r="E1517" s="85">
        <v>26648.52</v>
      </c>
      <c r="F1517" s="85">
        <v>24487.200000000001</v>
      </c>
      <c r="G1517" s="85">
        <v>-2161.3200000000002</v>
      </c>
    </row>
    <row r="1518" spans="1:7" x14ac:dyDescent="0.3">
      <c r="A1518" s="84">
        <v>2026</v>
      </c>
      <c r="B1518" s="84" t="s">
        <v>395</v>
      </c>
      <c r="C1518" s="84">
        <v>21</v>
      </c>
      <c r="D1518" s="84">
        <v>17</v>
      </c>
      <c r="E1518" s="85">
        <v>26648.52</v>
      </c>
      <c r="F1518" s="85">
        <v>24879.94</v>
      </c>
      <c r="G1518" s="85">
        <v>-1768.58</v>
      </c>
    </row>
    <row r="1519" spans="1:7" x14ac:dyDescent="0.3">
      <c r="A1519" s="84">
        <v>2026</v>
      </c>
      <c r="B1519" s="84" t="s">
        <v>395</v>
      </c>
      <c r="C1519" s="84">
        <v>21</v>
      </c>
      <c r="D1519" s="84">
        <v>18</v>
      </c>
      <c r="E1519" s="85">
        <v>26648.52</v>
      </c>
      <c r="F1519" s="85">
        <v>25273.02</v>
      </c>
      <c r="G1519" s="85">
        <v>-1375.5</v>
      </c>
    </row>
    <row r="1520" spans="1:7" x14ac:dyDescent="0.3">
      <c r="A1520" s="84">
        <v>2026</v>
      </c>
      <c r="B1520" s="84" t="s">
        <v>395</v>
      </c>
      <c r="C1520" s="84">
        <v>21</v>
      </c>
      <c r="D1520" s="84">
        <v>19</v>
      </c>
      <c r="E1520" s="85">
        <v>26648.52</v>
      </c>
      <c r="F1520" s="85">
        <v>25666.14</v>
      </c>
      <c r="G1520" s="85">
        <v>-982.38</v>
      </c>
    </row>
    <row r="1521" spans="1:7" x14ac:dyDescent="0.3">
      <c r="A1521" s="84">
        <v>2026</v>
      </c>
      <c r="B1521" s="84" t="s">
        <v>395</v>
      </c>
      <c r="C1521" s="84">
        <v>21</v>
      </c>
      <c r="D1521" s="84">
        <v>20</v>
      </c>
      <c r="E1521" s="85">
        <v>26648.52</v>
      </c>
      <c r="F1521" s="85">
        <v>26059.119999999999</v>
      </c>
      <c r="G1521" s="85">
        <v>-589.4</v>
      </c>
    </row>
    <row r="1522" spans="1:7" x14ac:dyDescent="0.3">
      <c r="A1522" s="84">
        <v>2026</v>
      </c>
      <c r="B1522" s="84" t="s">
        <v>395</v>
      </c>
      <c r="C1522" s="84">
        <v>21</v>
      </c>
      <c r="D1522" s="84">
        <v>21</v>
      </c>
      <c r="E1522" s="85">
        <v>26648.52</v>
      </c>
      <c r="F1522" s="85">
        <v>26648.52</v>
      </c>
      <c r="G1522" s="85">
        <v>0</v>
      </c>
    </row>
    <row r="1523" spans="1:7" x14ac:dyDescent="0.3">
      <c r="A1523" s="84">
        <v>2026</v>
      </c>
      <c r="B1523" s="84" t="s">
        <v>395</v>
      </c>
      <c r="C1523" s="84">
        <v>21</v>
      </c>
      <c r="D1523" s="84">
        <v>22</v>
      </c>
      <c r="E1523" s="85">
        <v>26648.52</v>
      </c>
      <c r="F1523" s="85">
        <v>27287.200000000001</v>
      </c>
      <c r="G1523" s="85">
        <v>638.67999999999995</v>
      </c>
    </row>
    <row r="1524" spans="1:7" x14ac:dyDescent="0.3">
      <c r="A1524" s="84">
        <v>2026</v>
      </c>
      <c r="B1524" s="84" t="s">
        <v>395</v>
      </c>
      <c r="C1524" s="84">
        <v>21</v>
      </c>
      <c r="D1524" s="84">
        <v>23</v>
      </c>
      <c r="E1524" s="85">
        <v>26648.52</v>
      </c>
      <c r="F1524" s="85">
        <v>27927.7</v>
      </c>
      <c r="G1524" s="85">
        <v>1279.18</v>
      </c>
    </row>
    <row r="1525" spans="1:7" x14ac:dyDescent="0.3">
      <c r="A1525" s="84">
        <v>2026</v>
      </c>
      <c r="B1525" s="84" t="s">
        <v>395</v>
      </c>
      <c r="C1525" s="84">
        <v>21</v>
      </c>
      <c r="D1525" s="84">
        <v>24</v>
      </c>
      <c r="E1525" s="85">
        <v>26648.52</v>
      </c>
      <c r="F1525" s="85">
        <v>28566.94</v>
      </c>
      <c r="G1525" s="85">
        <v>1918.42</v>
      </c>
    </row>
    <row r="1526" spans="1:7" x14ac:dyDescent="0.3">
      <c r="A1526" s="84">
        <v>2026</v>
      </c>
      <c r="B1526" s="84" t="s">
        <v>395</v>
      </c>
      <c r="C1526" s="84">
        <v>21</v>
      </c>
      <c r="D1526" s="84">
        <v>25</v>
      </c>
      <c r="E1526" s="85">
        <v>26648.52</v>
      </c>
      <c r="F1526" s="85">
        <v>29207.02</v>
      </c>
      <c r="G1526" s="85">
        <v>2558.5</v>
      </c>
    </row>
    <row r="1527" spans="1:7" x14ac:dyDescent="0.3">
      <c r="A1527" s="84">
        <v>2026</v>
      </c>
      <c r="B1527" s="84" t="s">
        <v>395</v>
      </c>
      <c r="C1527" s="84">
        <v>21</v>
      </c>
      <c r="D1527" s="84">
        <v>26</v>
      </c>
      <c r="E1527" s="85">
        <v>26648.52</v>
      </c>
      <c r="F1527" s="85">
        <v>30586.3</v>
      </c>
      <c r="G1527" s="85">
        <v>3937.78</v>
      </c>
    </row>
    <row r="1528" spans="1:7" x14ac:dyDescent="0.3">
      <c r="A1528" s="84">
        <v>2026</v>
      </c>
      <c r="B1528" s="84" t="s">
        <v>395</v>
      </c>
      <c r="C1528" s="84">
        <v>21</v>
      </c>
      <c r="D1528" s="84">
        <v>27</v>
      </c>
      <c r="E1528" s="85">
        <v>26648.52</v>
      </c>
      <c r="F1528" s="85">
        <v>32295.56</v>
      </c>
      <c r="G1528" s="85">
        <v>5647.04</v>
      </c>
    </row>
    <row r="1529" spans="1:7" x14ac:dyDescent="0.3">
      <c r="A1529" s="84">
        <v>2026</v>
      </c>
      <c r="B1529" s="84" t="s">
        <v>395</v>
      </c>
      <c r="C1529" s="84">
        <v>21</v>
      </c>
      <c r="D1529" s="84">
        <v>28</v>
      </c>
      <c r="E1529" s="85">
        <v>26648.52</v>
      </c>
      <c r="F1529" s="85">
        <v>32936.06</v>
      </c>
      <c r="G1529" s="85">
        <v>6287.54</v>
      </c>
    </row>
    <row r="1530" spans="1:7" x14ac:dyDescent="0.3">
      <c r="A1530" s="84">
        <v>2026</v>
      </c>
      <c r="B1530" s="84" t="s">
        <v>395</v>
      </c>
      <c r="C1530" s="84">
        <v>21</v>
      </c>
      <c r="D1530" s="84">
        <v>29</v>
      </c>
      <c r="E1530" s="85">
        <v>26648.52</v>
      </c>
      <c r="F1530" s="85">
        <v>33575.4</v>
      </c>
      <c r="G1530" s="85">
        <v>6926.88</v>
      </c>
    </row>
    <row r="1531" spans="1:7" x14ac:dyDescent="0.3">
      <c r="A1531" s="84">
        <v>2026</v>
      </c>
      <c r="B1531" s="84" t="s">
        <v>395</v>
      </c>
      <c r="C1531" s="84">
        <v>21</v>
      </c>
      <c r="D1531" s="84">
        <v>30</v>
      </c>
      <c r="E1531" s="85">
        <v>26648.52</v>
      </c>
      <c r="F1531" s="85">
        <v>35323.760000000002</v>
      </c>
      <c r="G1531" s="85">
        <v>8675.24</v>
      </c>
    </row>
    <row r="1532" spans="1:7" x14ac:dyDescent="0.3">
      <c r="A1532" s="84">
        <v>2026</v>
      </c>
      <c r="B1532" s="84" t="s">
        <v>395</v>
      </c>
      <c r="C1532" s="84">
        <v>22</v>
      </c>
      <c r="D1532" s="84">
        <v>1</v>
      </c>
      <c r="E1532" s="85">
        <v>27287.200000000001</v>
      </c>
      <c r="F1532" s="85">
        <v>19966.32</v>
      </c>
      <c r="G1532" s="85">
        <v>-7320.88</v>
      </c>
    </row>
    <row r="1533" spans="1:7" x14ac:dyDescent="0.3">
      <c r="A1533" s="84">
        <v>2026</v>
      </c>
      <c r="B1533" s="84" t="s">
        <v>395</v>
      </c>
      <c r="C1533" s="84">
        <v>22</v>
      </c>
      <c r="D1533" s="84">
        <v>2</v>
      </c>
      <c r="E1533" s="85">
        <v>27287.200000000001</v>
      </c>
      <c r="F1533" s="85">
        <v>20260.740000000002</v>
      </c>
      <c r="G1533" s="85">
        <v>-7026.46</v>
      </c>
    </row>
    <row r="1534" spans="1:7" x14ac:dyDescent="0.3">
      <c r="A1534" s="84">
        <v>2026</v>
      </c>
      <c r="B1534" s="84" t="s">
        <v>395</v>
      </c>
      <c r="C1534" s="84">
        <v>22</v>
      </c>
      <c r="D1534" s="84">
        <v>3</v>
      </c>
      <c r="E1534" s="85">
        <v>27287.200000000001</v>
      </c>
      <c r="F1534" s="85">
        <v>20555.72</v>
      </c>
      <c r="G1534" s="85">
        <v>-6731.48</v>
      </c>
    </row>
    <row r="1535" spans="1:7" x14ac:dyDescent="0.3">
      <c r="A1535" s="84">
        <v>2026</v>
      </c>
      <c r="B1535" s="84" t="s">
        <v>395</v>
      </c>
      <c r="C1535" s="84">
        <v>22</v>
      </c>
      <c r="D1535" s="84">
        <v>4</v>
      </c>
      <c r="E1535" s="85">
        <v>27287.200000000001</v>
      </c>
      <c r="F1535" s="85">
        <v>20849.86</v>
      </c>
      <c r="G1535" s="85">
        <v>-6437.34</v>
      </c>
    </row>
    <row r="1536" spans="1:7" x14ac:dyDescent="0.3">
      <c r="A1536" s="84">
        <v>2026</v>
      </c>
      <c r="B1536" s="84" t="s">
        <v>395</v>
      </c>
      <c r="C1536" s="84">
        <v>22</v>
      </c>
      <c r="D1536" s="84">
        <v>5</v>
      </c>
      <c r="E1536" s="85">
        <v>27287.200000000001</v>
      </c>
      <c r="F1536" s="85">
        <v>21144.560000000001</v>
      </c>
      <c r="G1536" s="85">
        <v>-6142.64</v>
      </c>
    </row>
    <row r="1537" spans="1:7" x14ac:dyDescent="0.3">
      <c r="A1537" s="84">
        <v>2026</v>
      </c>
      <c r="B1537" s="84" t="s">
        <v>395</v>
      </c>
      <c r="C1537" s="84">
        <v>22</v>
      </c>
      <c r="D1537" s="84">
        <v>6</v>
      </c>
      <c r="E1537" s="85">
        <v>27287.200000000001</v>
      </c>
      <c r="F1537" s="85">
        <v>21341.26</v>
      </c>
      <c r="G1537" s="85">
        <v>-5945.94</v>
      </c>
    </row>
    <row r="1538" spans="1:7" x14ac:dyDescent="0.3">
      <c r="A1538" s="84">
        <v>2026</v>
      </c>
      <c r="B1538" s="84" t="s">
        <v>395</v>
      </c>
      <c r="C1538" s="84">
        <v>22</v>
      </c>
      <c r="D1538" s="84">
        <v>7</v>
      </c>
      <c r="E1538" s="85">
        <v>27287.200000000001</v>
      </c>
      <c r="F1538" s="85">
        <v>21537.96</v>
      </c>
      <c r="G1538" s="85">
        <v>-5749.24</v>
      </c>
    </row>
    <row r="1539" spans="1:7" x14ac:dyDescent="0.3">
      <c r="A1539" s="84">
        <v>2026</v>
      </c>
      <c r="B1539" s="84" t="s">
        <v>395</v>
      </c>
      <c r="C1539" s="84">
        <v>22</v>
      </c>
      <c r="D1539" s="84">
        <v>8</v>
      </c>
      <c r="E1539" s="85">
        <v>27287.200000000001</v>
      </c>
      <c r="F1539" s="85">
        <v>21734.240000000002</v>
      </c>
      <c r="G1539" s="85">
        <v>-5552.96</v>
      </c>
    </row>
    <row r="1540" spans="1:7" x14ac:dyDescent="0.3">
      <c r="A1540" s="84">
        <v>2026</v>
      </c>
      <c r="B1540" s="84" t="s">
        <v>395</v>
      </c>
      <c r="C1540" s="84">
        <v>22</v>
      </c>
      <c r="D1540" s="84">
        <v>9</v>
      </c>
      <c r="E1540" s="85">
        <v>27287.200000000001</v>
      </c>
      <c r="F1540" s="85">
        <v>21931.360000000001</v>
      </c>
      <c r="G1540" s="85">
        <v>-5355.84</v>
      </c>
    </row>
    <row r="1541" spans="1:7" x14ac:dyDescent="0.3">
      <c r="A1541" s="84">
        <v>2026</v>
      </c>
      <c r="B1541" s="84" t="s">
        <v>395</v>
      </c>
      <c r="C1541" s="84">
        <v>22</v>
      </c>
      <c r="D1541" s="84">
        <v>10</v>
      </c>
      <c r="E1541" s="85">
        <v>27287.200000000001</v>
      </c>
      <c r="F1541" s="85">
        <v>22127.78</v>
      </c>
      <c r="G1541" s="85">
        <v>-5159.42</v>
      </c>
    </row>
    <row r="1542" spans="1:7" x14ac:dyDescent="0.3">
      <c r="A1542" s="84">
        <v>2026</v>
      </c>
      <c r="B1542" s="84" t="s">
        <v>395</v>
      </c>
      <c r="C1542" s="84">
        <v>22</v>
      </c>
      <c r="D1542" s="84">
        <v>11</v>
      </c>
      <c r="E1542" s="85">
        <v>27287.200000000001</v>
      </c>
      <c r="F1542" s="85">
        <v>22520.34</v>
      </c>
      <c r="G1542" s="85">
        <v>-4766.8599999999997</v>
      </c>
    </row>
    <row r="1543" spans="1:7" x14ac:dyDescent="0.3">
      <c r="A1543" s="84">
        <v>2026</v>
      </c>
      <c r="B1543" s="84" t="s">
        <v>395</v>
      </c>
      <c r="C1543" s="84">
        <v>22</v>
      </c>
      <c r="D1543" s="84">
        <v>12</v>
      </c>
      <c r="E1543" s="85">
        <v>27287.200000000001</v>
      </c>
      <c r="F1543" s="85">
        <v>22913.88</v>
      </c>
      <c r="G1543" s="85">
        <v>-4373.32</v>
      </c>
    </row>
    <row r="1544" spans="1:7" x14ac:dyDescent="0.3">
      <c r="A1544" s="84">
        <v>2026</v>
      </c>
      <c r="B1544" s="84" t="s">
        <v>395</v>
      </c>
      <c r="C1544" s="84">
        <v>22</v>
      </c>
      <c r="D1544" s="84">
        <v>13</v>
      </c>
      <c r="E1544" s="85">
        <v>27287.200000000001</v>
      </c>
      <c r="F1544" s="85">
        <v>23307.14</v>
      </c>
      <c r="G1544" s="85">
        <v>-3980.06</v>
      </c>
    </row>
    <row r="1545" spans="1:7" x14ac:dyDescent="0.3">
      <c r="A1545" s="84">
        <v>2026</v>
      </c>
      <c r="B1545" s="84" t="s">
        <v>395</v>
      </c>
      <c r="C1545" s="84">
        <v>22</v>
      </c>
      <c r="D1545" s="84">
        <v>14</v>
      </c>
      <c r="E1545" s="85">
        <v>27287.200000000001</v>
      </c>
      <c r="F1545" s="85">
        <v>23700.959999999999</v>
      </c>
      <c r="G1545" s="85">
        <v>-3586.24</v>
      </c>
    </row>
    <row r="1546" spans="1:7" x14ac:dyDescent="0.3">
      <c r="A1546" s="84">
        <v>2026</v>
      </c>
      <c r="B1546" s="84" t="s">
        <v>395</v>
      </c>
      <c r="C1546" s="84">
        <v>22</v>
      </c>
      <c r="D1546" s="84">
        <v>15</v>
      </c>
      <c r="E1546" s="85">
        <v>27287.200000000001</v>
      </c>
      <c r="F1546" s="85">
        <v>24093.24</v>
      </c>
      <c r="G1546" s="85">
        <v>-3193.96</v>
      </c>
    </row>
    <row r="1547" spans="1:7" x14ac:dyDescent="0.3">
      <c r="A1547" s="84">
        <v>2026</v>
      </c>
      <c r="B1547" s="84" t="s">
        <v>395</v>
      </c>
      <c r="C1547" s="84">
        <v>22</v>
      </c>
      <c r="D1547" s="84">
        <v>16</v>
      </c>
      <c r="E1547" s="85">
        <v>27287.200000000001</v>
      </c>
      <c r="F1547" s="85">
        <v>24487.200000000001</v>
      </c>
      <c r="G1547" s="85">
        <v>-2800</v>
      </c>
    </row>
    <row r="1548" spans="1:7" x14ac:dyDescent="0.3">
      <c r="A1548" s="84">
        <v>2026</v>
      </c>
      <c r="B1548" s="84" t="s">
        <v>395</v>
      </c>
      <c r="C1548" s="84">
        <v>22</v>
      </c>
      <c r="D1548" s="84">
        <v>17</v>
      </c>
      <c r="E1548" s="85">
        <v>27287.200000000001</v>
      </c>
      <c r="F1548" s="85">
        <v>24879.94</v>
      </c>
      <c r="G1548" s="85">
        <v>-2407.2600000000002</v>
      </c>
    </row>
    <row r="1549" spans="1:7" x14ac:dyDescent="0.3">
      <c r="A1549" s="84">
        <v>2026</v>
      </c>
      <c r="B1549" s="84" t="s">
        <v>395</v>
      </c>
      <c r="C1549" s="84">
        <v>22</v>
      </c>
      <c r="D1549" s="84">
        <v>18</v>
      </c>
      <c r="E1549" s="85">
        <v>27287.200000000001</v>
      </c>
      <c r="F1549" s="85">
        <v>25273.02</v>
      </c>
      <c r="G1549" s="85">
        <v>-2014.18</v>
      </c>
    </row>
    <row r="1550" spans="1:7" x14ac:dyDescent="0.3">
      <c r="A1550" s="84">
        <v>2026</v>
      </c>
      <c r="B1550" s="84" t="s">
        <v>395</v>
      </c>
      <c r="C1550" s="84">
        <v>22</v>
      </c>
      <c r="D1550" s="84">
        <v>19</v>
      </c>
      <c r="E1550" s="85">
        <v>27287.200000000001</v>
      </c>
      <c r="F1550" s="85">
        <v>25666.14</v>
      </c>
      <c r="G1550" s="85">
        <v>-1621.06</v>
      </c>
    </row>
    <row r="1551" spans="1:7" x14ac:dyDescent="0.3">
      <c r="A1551" s="84">
        <v>2026</v>
      </c>
      <c r="B1551" s="84" t="s">
        <v>395</v>
      </c>
      <c r="C1551" s="84">
        <v>22</v>
      </c>
      <c r="D1551" s="84">
        <v>20</v>
      </c>
      <c r="E1551" s="85">
        <v>27287.200000000001</v>
      </c>
      <c r="F1551" s="85">
        <v>26059.119999999999</v>
      </c>
      <c r="G1551" s="85">
        <v>-1228.08</v>
      </c>
    </row>
    <row r="1552" spans="1:7" x14ac:dyDescent="0.3">
      <c r="A1552" s="84">
        <v>2026</v>
      </c>
      <c r="B1552" s="84" t="s">
        <v>395</v>
      </c>
      <c r="C1552" s="84">
        <v>22</v>
      </c>
      <c r="D1552" s="84">
        <v>21</v>
      </c>
      <c r="E1552" s="85">
        <v>27287.200000000001</v>
      </c>
      <c r="F1552" s="85">
        <v>26648.52</v>
      </c>
      <c r="G1552" s="85">
        <v>-638.67999999999995</v>
      </c>
    </row>
    <row r="1553" spans="1:7" x14ac:dyDescent="0.3">
      <c r="A1553" s="84">
        <v>2026</v>
      </c>
      <c r="B1553" s="84" t="s">
        <v>395</v>
      </c>
      <c r="C1553" s="84">
        <v>22</v>
      </c>
      <c r="D1553" s="84">
        <v>22</v>
      </c>
      <c r="E1553" s="85">
        <v>27287.200000000001</v>
      </c>
      <c r="F1553" s="85">
        <v>27287.200000000001</v>
      </c>
      <c r="G1553" s="85">
        <v>0</v>
      </c>
    </row>
    <row r="1554" spans="1:7" x14ac:dyDescent="0.3">
      <c r="A1554" s="84">
        <v>2026</v>
      </c>
      <c r="B1554" s="84" t="s">
        <v>395</v>
      </c>
      <c r="C1554" s="84">
        <v>22</v>
      </c>
      <c r="D1554" s="84">
        <v>23</v>
      </c>
      <c r="E1554" s="85">
        <v>27287.200000000001</v>
      </c>
      <c r="F1554" s="85">
        <v>27927.7</v>
      </c>
      <c r="G1554" s="85">
        <v>640.5</v>
      </c>
    </row>
    <row r="1555" spans="1:7" x14ac:dyDescent="0.3">
      <c r="A1555" s="84">
        <v>2026</v>
      </c>
      <c r="B1555" s="84" t="s">
        <v>395</v>
      </c>
      <c r="C1555" s="84">
        <v>22</v>
      </c>
      <c r="D1555" s="84">
        <v>24</v>
      </c>
      <c r="E1555" s="85">
        <v>27287.200000000001</v>
      </c>
      <c r="F1555" s="85">
        <v>28566.94</v>
      </c>
      <c r="G1555" s="85">
        <v>1279.74</v>
      </c>
    </row>
    <row r="1556" spans="1:7" x14ac:dyDescent="0.3">
      <c r="A1556" s="84">
        <v>2026</v>
      </c>
      <c r="B1556" s="84" t="s">
        <v>395</v>
      </c>
      <c r="C1556" s="84">
        <v>22</v>
      </c>
      <c r="D1556" s="84">
        <v>25</v>
      </c>
      <c r="E1556" s="85">
        <v>27287.200000000001</v>
      </c>
      <c r="F1556" s="85">
        <v>29207.02</v>
      </c>
      <c r="G1556" s="85">
        <v>1919.82</v>
      </c>
    </row>
    <row r="1557" spans="1:7" x14ac:dyDescent="0.3">
      <c r="A1557" s="84">
        <v>2026</v>
      </c>
      <c r="B1557" s="84" t="s">
        <v>395</v>
      </c>
      <c r="C1557" s="84">
        <v>22</v>
      </c>
      <c r="D1557" s="84">
        <v>26</v>
      </c>
      <c r="E1557" s="85">
        <v>27287.200000000001</v>
      </c>
      <c r="F1557" s="85">
        <v>30586.3</v>
      </c>
      <c r="G1557" s="85">
        <v>3299.1</v>
      </c>
    </row>
    <row r="1558" spans="1:7" x14ac:dyDescent="0.3">
      <c r="A1558" s="84">
        <v>2026</v>
      </c>
      <c r="B1558" s="84" t="s">
        <v>395</v>
      </c>
      <c r="C1558" s="84">
        <v>22</v>
      </c>
      <c r="D1558" s="84">
        <v>27</v>
      </c>
      <c r="E1558" s="85">
        <v>27287.200000000001</v>
      </c>
      <c r="F1558" s="85">
        <v>32295.56</v>
      </c>
      <c r="G1558" s="85">
        <v>5008.3599999999997</v>
      </c>
    </row>
    <row r="1559" spans="1:7" x14ac:dyDescent="0.3">
      <c r="A1559" s="84">
        <v>2026</v>
      </c>
      <c r="B1559" s="84" t="s">
        <v>395</v>
      </c>
      <c r="C1559" s="84">
        <v>22</v>
      </c>
      <c r="D1559" s="84">
        <v>28</v>
      </c>
      <c r="E1559" s="85">
        <v>27287.200000000001</v>
      </c>
      <c r="F1559" s="85">
        <v>32936.06</v>
      </c>
      <c r="G1559" s="85">
        <v>5648.86</v>
      </c>
    </row>
    <row r="1560" spans="1:7" x14ac:dyDescent="0.3">
      <c r="A1560" s="84">
        <v>2026</v>
      </c>
      <c r="B1560" s="84" t="s">
        <v>395</v>
      </c>
      <c r="C1560" s="84">
        <v>22</v>
      </c>
      <c r="D1560" s="84">
        <v>29</v>
      </c>
      <c r="E1560" s="85">
        <v>27287.200000000001</v>
      </c>
      <c r="F1560" s="85">
        <v>33575.4</v>
      </c>
      <c r="G1560" s="85">
        <v>6288.2</v>
      </c>
    </row>
    <row r="1561" spans="1:7" x14ac:dyDescent="0.3">
      <c r="A1561" s="84">
        <v>2026</v>
      </c>
      <c r="B1561" s="84" t="s">
        <v>395</v>
      </c>
      <c r="C1561" s="84">
        <v>22</v>
      </c>
      <c r="D1561" s="84">
        <v>30</v>
      </c>
      <c r="E1561" s="85">
        <v>27287.200000000001</v>
      </c>
      <c r="F1561" s="85">
        <v>35323.760000000002</v>
      </c>
      <c r="G1561" s="85">
        <v>8036.56</v>
      </c>
    </row>
    <row r="1562" spans="1:7" x14ac:dyDescent="0.3">
      <c r="A1562" s="84">
        <v>2026</v>
      </c>
      <c r="B1562" s="84" t="s">
        <v>395</v>
      </c>
      <c r="C1562" s="84">
        <v>23</v>
      </c>
      <c r="D1562" s="84">
        <v>1</v>
      </c>
      <c r="E1562" s="85">
        <v>27927.7</v>
      </c>
      <c r="F1562" s="85">
        <v>19966.32</v>
      </c>
      <c r="G1562" s="85">
        <v>-7961.38</v>
      </c>
    </row>
    <row r="1563" spans="1:7" x14ac:dyDescent="0.3">
      <c r="A1563" s="84">
        <v>2026</v>
      </c>
      <c r="B1563" s="84" t="s">
        <v>395</v>
      </c>
      <c r="C1563" s="84">
        <v>23</v>
      </c>
      <c r="D1563" s="84">
        <v>2</v>
      </c>
      <c r="E1563" s="85">
        <v>27927.7</v>
      </c>
      <c r="F1563" s="85">
        <v>20260.740000000002</v>
      </c>
      <c r="G1563" s="85">
        <v>-7666.96</v>
      </c>
    </row>
    <row r="1564" spans="1:7" x14ac:dyDescent="0.3">
      <c r="A1564" s="84">
        <v>2026</v>
      </c>
      <c r="B1564" s="84" t="s">
        <v>395</v>
      </c>
      <c r="C1564" s="84">
        <v>23</v>
      </c>
      <c r="D1564" s="84">
        <v>3</v>
      </c>
      <c r="E1564" s="85">
        <v>27927.7</v>
      </c>
      <c r="F1564" s="85">
        <v>20555.72</v>
      </c>
      <c r="G1564" s="85">
        <v>-7371.98</v>
      </c>
    </row>
    <row r="1565" spans="1:7" x14ac:dyDescent="0.3">
      <c r="A1565" s="84">
        <v>2026</v>
      </c>
      <c r="B1565" s="84" t="s">
        <v>395</v>
      </c>
      <c r="C1565" s="84">
        <v>23</v>
      </c>
      <c r="D1565" s="84">
        <v>4</v>
      </c>
      <c r="E1565" s="85">
        <v>27927.7</v>
      </c>
      <c r="F1565" s="85">
        <v>20849.86</v>
      </c>
      <c r="G1565" s="85">
        <v>-7077.84</v>
      </c>
    </row>
    <row r="1566" spans="1:7" x14ac:dyDescent="0.3">
      <c r="A1566" s="84">
        <v>2026</v>
      </c>
      <c r="B1566" s="84" t="s">
        <v>395</v>
      </c>
      <c r="C1566" s="84">
        <v>23</v>
      </c>
      <c r="D1566" s="84">
        <v>5</v>
      </c>
      <c r="E1566" s="85">
        <v>27927.7</v>
      </c>
      <c r="F1566" s="85">
        <v>21144.560000000001</v>
      </c>
      <c r="G1566" s="85">
        <v>-6783.14</v>
      </c>
    </row>
    <row r="1567" spans="1:7" x14ac:dyDescent="0.3">
      <c r="A1567" s="84">
        <v>2026</v>
      </c>
      <c r="B1567" s="84" t="s">
        <v>395</v>
      </c>
      <c r="C1567" s="84">
        <v>23</v>
      </c>
      <c r="D1567" s="84">
        <v>6</v>
      </c>
      <c r="E1567" s="85">
        <v>27927.7</v>
      </c>
      <c r="F1567" s="85">
        <v>21341.26</v>
      </c>
      <c r="G1567" s="85">
        <v>-6586.44</v>
      </c>
    </row>
    <row r="1568" spans="1:7" x14ac:dyDescent="0.3">
      <c r="A1568" s="84">
        <v>2026</v>
      </c>
      <c r="B1568" s="84" t="s">
        <v>395</v>
      </c>
      <c r="C1568" s="84">
        <v>23</v>
      </c>
      <c r="D1568" s="84">
        <v>7</v>
      </c>
      <c r="E1568" s="85">
        <v>27927.7</v>
      </c>
      <c r="F1568" s="85">
        <v>21537.96</v>
      </c>
      <c r="G1568" s="85">
        <v>-6389.74</v>
      </c>
    </row>
    <row r="1569" spans="1:7" x14ac:dyDescent="0.3">
      <c r="A1569" s="84">
        <v>2026</v>
      </c>
      <c r="B1569" s="84" t="s">
        <v>395</v>
      </c>
      <c r="C1569" s="84">
        <v>23</v>
      </c>
      <c r="D1569" s="84">
        <v>8</v>
      </c>
      <c r="E1569" s="85">
        <v>27927.7</v>
      </c>
      <c r="F1569" s="85">
        <v>21734.240000000002</v>
      </c>
      <c r="G1569" s="85">
        <v>-6193.46</v>
      </c>
    </row>
    <row r="1570" spans="1:7" x14ac:dyDescent="0.3">
      <c r="A1570" s="84">
        <v>2026</v>
      </c>
      <c r="B1570" s="84" t="s">
        <v>395</v>
      </c>
      <c r="C1570" s="84">
        <v>23</v>
      </c>
      <c r="D1570" s="84">
        <v>9</v>
      </c>
      <c r="E1570" s="85">
        <v>27927.7</v>
      </c>
      <c r="F1570" s="85">
        <v>21931.360000000001</v>
      </c>
      <c r="G1570" s="85">
        <v>-5996.34</v>
      </c>
    </row>
    <row r="1571" spans="1:7" x14ac:dyDescent="0.3">
      <c r="A1571" s="84">
        <v>2026</v>
      </c>
      <c r="B1571" s="84" t="s">
        <v>395</v>
      </c>
      <c r="C1571" s="84">
        <v>23</v>
      </c>
      <c r="D1571" s="84">
        <v>10</v>
      </c>
      <c r="E1571" s="85">
        <v>27927.7</v>
      </c>
      <c r="F1571" s="85">
        <v>22127.78</v>
      </c>
      <c r="G1571" s="85">
        <v>-5799.92</v>
      </c>
    </row>
    <row r="1572" spans="1:7" x14ac:dyDescent="0.3">
      <c r="A1572" s="84">
        <v>2026</v>
      </c>
      <c r="B1572" s="84" t="s">
        <v>395</v>
      </c>
      <c r="C1572" s="84">
        <v>23</v>
      </c>
      <c r="D1572" s="84">
        <v>11</v>
      </c>
      <c r="E1572" s="85">
        <v>27927.7</v>
      </c>
      <c r="F1572" s="85">
        <v>22520.34</v>
      </c>
      <c r="G1572" s="85">
        <v>-5407.36</v>
      </c>
    </row>
    <row r="1573" spans="1:7" x14ac:dyDescent="0.3">
      <c r="A1573" s="84">
        <v>2026</v>
      </c>
      <c r="B1573" s="84" t="s">
        <v>395</v>
      </c>
      <c r="C1573" s="84">
        <v>23</v>
      </c>
      <c r="D1573" s="84">
        <v>12</v>
      </c>
      <c r="E1573" s="85">
        <v>27927.7</v>
      </c>
      <c r="F1573" s="85">
        <v>22913.88</v>
      </c>
      <c r="G1573" s="85">
        <v>-5013.82</v>
      </c>
    </row>
    <row r="1574" spans="1:7" x14ac:dyDescent="0.3">
      <c r="A1574" s="84">
        <v>2026</v>
      </c>
      <c r="B1574" s="84" t="s">
        <v>395</v>
      </c>
      <c r="C1574" s="84">
        <v>23</v>
      </c>
      <c r="D1574" s="84">
        <v>13</v>
      </c>
      <c r="E1574" s="85">
        <v>27927.7</v>
      </c>
      <c r="F1574" s="85">
        <v>23307.14</v>
      </c>
      <c r="G1574" s="85">
        <v>-4620.5600000000004</v>
      </c>
    </row>
    <row r="1575" spans="1:7" x14ac:dyDescent="0.3">
      <c r="A1575" s="84">
        <v>2026</v>
      </c>
      <c r="B1575" s="84" t="s">
        <v>395</v>
      </c>
      <c r="C1575" s="84">
        <v>23</v>
      </c>
      <c r="D1575" s="84">
        <v>14</v>
      </c>
      <c r="E1575" s="85">
        <v>27927.7</v>
      </c>
      <c r="F1575" s="85">
        <v>23700.959999999999</v>
      </c>
      <c r="G1575" s="85">
        <v>-4226.74</v>
      </c>
    </row>
    <row r="1576" spans="1:7" x14ac:dyDescent="0.3">
      <c r="A1576" s="84">
        <v>2026</v>
      </c>
      <c r="B1576" s="84" t="s">
        <v>395</v>
      </c>
      <c r="C1576" s="84">
        <v>23</v>
      </c>
      <c r="D1576" s="84">
        <v>15</v>
      </c>
      <c r="E1576" s="85">
        <v>27927.7</v>
      </c>
      <c r="F1576" s="85">
        <v>24093.24</v>
      </c>
      <c r="G1576" s="85">
        <v>-3834.46</v>
      </c>
    </row>
    <row r="1577" spans="1:7" x14ac:dyDescent="0.3">
      <c r="A1577" s="84">
        <v>2026</v>
      </c>
      <c r="B1577" s="84" t="s">
        <v>395</v>
      </c>
      <c r="C1577" s="84">
        <v>23</v>
      </c>
      <c r="D1577" s="84">
        <v>16</v>
      </c>
      <c r="E1577" s="85">
        <v>27927.7</v>
      </c>
      <c r="F1577" s="85">
        <v>24487.200000000001</v>
      </c>
      <c r="G1577" s="85">
        <v>-3440.5</v>
      </c>
    </row>
    <row r="1578" spans="1:7" x14ac:dyDescent="0.3">
      <c r="A1578" s="84">
        <v>2026</v>
      </c>
      <c r="B1578" s="84" t="s">
        <v>395</v>
      </c>
      <c r="C1578" s="84">
        <v>23</v>
      </c>
      <c r="D1578" s="84">
        <v>17</v>
      </c>
      <c r="E1578" s="85">
        <v>27927.7</v>
      </c>
      <c r="F1578" s="85">
        <v>24879.94</v>
      </c>
      <c r="G1578" s="85">
        <v>-3047.76</v>
      </c>
    </row>
    <row r="1579" spans="1:7" x14ac:dyDescent="0.3">
      <c r="A1579" s="84">
        <v>2026</v>
      </c>
      <c r="B1579" s="84" t="s">
        <v>395</v>
      </c>
      <c r="C1579" s="84">
        <v>23</v>
      </c>
      <c r="D1579" s="84">
        <v>18</v>
      </c>
      <c r="E1579" s="85">
        <v>27927.7</v>
      </c>
      <c r="F1579" s="85">
        <v>25273.02</v>
      </c>
      <c r="G1579" s="85">
        <v>-2654.68</v>
      </c>
    </row>
    <row r="1580" spans="1:7" x14ac:dyDescent="0.3">
      <c r="A1580" s="84">
        <v>2026</v>
      </c>
      <c r="B1580" s="84" t="s">
        <v>395</v>
      </c>
      <c r="C1580" s="84">
        <v>23</v>
      </c>
      <c r="D1580" s="84">
        <v>19</v>
      </c>
      <c r="E1580" s="85">
        <v>27927.7</v>
      </c>
      <c r="F1580" s="85">
        <v>25666.14</v>
      </c>
      <c r="G1580" s="85">
        <v>-2261.56</v>
      </c>
    </row>
    <row r="1581" spans="1:7" x14ac:dyDescent="0.3">
      <c r="A1581" s="84">
        <v>2026</v>
      </c>
      <c r="B1581" s="84" t="s">
        <v>395</v>
      </c>
      <c r="C1581" s="84">
        <v>23</v>
      </c>
      <c r="D1581" s="84">
        <v>20</v>
      </c>
      <c r="E1581" s="85">
        <v>27927.7</v>
      </c>
      <c r="F1581" s="85">
        <v>26059.119999999999</v>
      </c>
      <c r="G1581" s="85">
        <v>-1868.58</v>
      </c>
    </row>
    <row r="1582" spans="1:7" x14ac:dyDescent="0.3">
      <c r="A1582" s="84">
        <v>2026</v>
      </c>
      <c r="B1582" s="84" t="s">
        <v>395</v>
      </c>
      <c r="C1582" s="84">
        <v>23</v>
      </c>
      <c r="D1582" s="84">
        <v>21</v>
      </c>
      <c r="E1582" s="85">
        <v>27927.7</v>
      </c>
      <c r="F1582" s="85">
        <v>26648.52</v>
      </c>
      <c r="G1582" s="85">
        <v>-1279.18</v>
      </c>
    </row>
    <row r="1583" spans="1:7" x14ac:dyDescent="0.3">
      <c r="A1583" s="84">
        <v>2026</v>
      </c>
      <c r="B1583" s="84" t="s">
        <v>395</v>
      </c>
      <c r="C1583" s="84">
        <v>23</v>
      </c>
      <c r="D1583" s="84">
        <v>22</v>
      </c>
      <c r="E1583" s="85">
        <v>27927.7</v>
      </c>
      <c r="F1583" s="85">
        <v>27287.200000000001</v>
      </c>
      <c r="G1583" s="85">
        <v>-640.5</v>
      </c>
    </row>
    <row r="1584" spans="1:7" x14ac:dyDescent="0.3">
      <c r="A1584" s="84">
        <v>2026</v>
      </c>
      <c r="B1584" s="84" t="s">
        <v>395</v>
      </c>
      <c r="C1584" s="84">
        <v>23</v>
      </c>
      <c r="D1584" s="84">
        <v>23</v>
      </c>
      <c r="E1584" s="85">
        <v>27927.7</v>
      </c>
      <c r="F1584" s="85">
        <v>27927.7</v>
      </c>
      <c r="G1584" s="85">
        <v>0</v>
      </c>
    </row>
    <row r="1585" spans="1:7" x14ac:dyDescent="0.3">
      <c r="A1585" s="84">
        <v>2026</v>
      </c>
      <c r="B1585" s="84" t="s">
        <v>395</v>
      </c>
      <c r="C1585" s="84">
        <v>23</v>
      </c>
      <c r="D1585" s="84">
        <v>24</v>
      </c>
      <c r="E1585" s="85">
        <v>27927.7</v>
      </c>
      <c r="F1585" s="85">
        <v>28566.94</v>
      </c>
      <c r="G1585" s="85">
        <v>639.24</v>
      </c>
    </row>
    <row r="1586" spans="1:7" x14ac:dyDescent="0.3">
      <c r="A1586" s="84">
        <v>2026</v>
      </c>
      <c r="B1586" s="84" t="s">
        <v>395</v>
      </c>
      <c r="C1586" s="84">
        <v>23</v>
      </c>
      <c r="D1586" s="84">
        <v>25</v>
      </c>
      <c r="E1586" s="85">
        <v>27927.7</v>
      </c>
      <c r="F1586" s="85">
        <v>29207.02</v>
      </c>
      <c r="G1586" s="85">
        <v>1279.32</v>
      </c>
    </row>
    <row r="1587" spans="1:7" x14ac:dyDescent="0.3">
      <c r="A1587" s="84">
        <v>2026</v>
      </c>
      <c r="B1587" s="84" t="s">
        <v>395</v>
      </c>
      <c r="C1587" s="84">
        <v>23</v>
      </c>
      <c r="D1587" s="84">
        <v>26</v>
      </c>
      <c r="E1587" s="85">
        <v>27927.7</v>
      </c>
      <c r="F1587" s="85">
        <v>30586.3</v>
      </c>
      <c r="G1587" s="85">
        <v>2658.6</v>
      </c>
    </row>
    <row r="1588" spans="1:7" x14ac:dyDescent="0.3">
      <c r="A1588" s="84">
        <v>2026</v>
      </c>
      <c r="B1588" s="84" t="s">
        <v>395</v>
      </c>
      <c r="C1588" s="84">
        <v>23</v>
      </c>
      <c r="D1588" s="84">
        <v>27</v>
      </c>
      <c r="E1588" s="85">
        <v>27927.7</v>
      </c>
      <c r="F1588" s="85">
        <v>32295.56</v>
      </c>
      <c r="G1588" s="85">
        <v>4367.8599999999997</v>
      </c>
    </row>
    <row r="1589" spans="1:7" x14ac:dyDescent="0.3">
      <c r="A1589" s="84">
        <v>2026</v>
      </c>
      <c r="B1589" s="84" t="s">
        <v>395</v>
      </c>
      <c r="C1589" s="84">
        <v>23</v>
      </c>
      <c r="D1589" s="84">
        <v>28</v>
      </c>
      <c r="E1589" s="85">
        <v>27927.7</v>
      </c>
      <c r="F1589" s="85">
        <v>32936.06</v>
      </c>
      <c r="G1589" s="85">
        <v>5008.3599999999997</v>
      </c>
    </row>
    <row r="1590" spans="1:7" x14ac:dyDescent="0.3">
      <c r="A1590" s="84">
        <v>2026</v>
      </c>
      <c r="B1590" s="84" t="s">
        <v>395</v>
      </c>
      <c r="C1590" s="84">
        <v>23</v>
      </c>
      <c r="D1590" s="84">
        <v>29</v>
      </c>
      <c r="E1590" s="85">
        <v>27927.7</v>
      </c>
      <c r="F1590" s="85">
        <v>33575.4</v>
      </c>
      <c r="G1590" s="85">
        <v>5647.7</v>
      </c>
    </row>
    <row r="1591" spans="1:7" x14ac:dyDescent="0.3">
      <c r="A1591" s="84">
        <v>2026</v>
      </c>
      <c r="B1591" s="84" t="s">
        <v>395</v>
      </c>
      <c r="C1591" s="84">
        <v>23</v>
      </c>
      <c r="D1591" s="84">
        <v>30</v>
      </c>
      <c r="E1591" s="85">
        <v>27927.7</v>
      </c>
      <c r="F1591" s="85">
        <v>35323.760000000002</v>
      </c>
      <c r="G1591" s="85">
        <v>7396.06</v>
      </c>
    </row>
    <row r="1592" spans="1:7" x14ac:dyDescent="0.3">
      <c r="A1592" s="84">
        <v>2026</v>
      </c>
      <c r="B1592" s="84" t="s">
        <v>395</v>
      </c>
      <c r="C1592" s="84">
        <v>24</v>
      </c>
      <c r="D1592" s="84">
        <v>1</v>
      </c>
      <c r="E1592" s="85">
        <v>28566.94</v>
      </c>
      <c r="F1592" s="85">
        <v>19966.32</v>
      </c>
      <c r="G1592" s="85">
        <v>-8600.6200000000008</v>
      </c>
    </row>
    <row r="1593" spans="1:7" x14ac:dyDescent="0.3">
      <c r="A1593" s="84">
        <v>2026</v>
      </c>
      <c r="B1593" s="84" t="s">
        <v>395</v>
      </c>
      <c r="C1593" s="84">
        <v>24</v>
      </c>
      <c r="D1593" s="84">
        <v>2</v>
      </c>
      <c r="E1593" s="85">
        <v>28566.94</v>
      </c>
      <c r="F1593" s="85">
        <v>20260.740000000002</v>
      </c>
      <c r="G1593" s="85">
        <v>-8306.2000000000007</v>
      </c>
    </row>
    <row r="1594" spans="1:7" x14ac:dyDescent="0.3">
      <c r="A1594" s="84">
        <v>2026</v>
      </c>
      <c r="B1594" s="84" t="s">
        <v>395</v>
      </c>
      <c r="C1594" s="84">
        <v>24</v>
      </c>
      <c r="D1594" s="84">
        <v>3</v>
      </c>
      <c r="E1594" s="85">
        <v>28566.94</v>
      </c>
      <c r="F1594" s="85">
        <v>20555.72</v>
      </c>
      <c r="G1594" s="85">
        <v>-8011.22</v>
      </c>
    </row>
    <row r="1595" spans="1:7" x14ac:dyDescent="0.3">
      <c r="A1595" s="84">
        <v>2026</v>
      </c>
      <c r="B1595" s="84" t="s">
        <v>395</v>
      </c>
      <c r="C1595" s="84">
        <v>24</v>
      </c>
      <c r="D1595" s="84">
        <v>4</v>
      </c>
      <c r="E1595" s="85">
        <v>28566.94</v>
      </c>
      <c r="F1595" s="85">
        <v>20849.86</v>
      </c>
      <c r="G1595" s="85">
        <v>-7717.08</v>
      </c>
    </row>
    <row r="1596" spans="1:7" x14ac:dyDescent="0.3">
      <c r="A1596" s="84">
        <v>2026</v>
      </c>
      <c r="B1596" s="84" t="s">
        <v>395</v>
      </c>
      <c r="C1596" s="84">
        <v>24</v>
      </c>
      <c r="D1596" s="84">
        <v>5</v>
      </c>
      <c r="E1596" s="85">
        <v>28566.94</v>
      </c>
      <c r="F1596" s="85">
        <v>21144.560000000001</v>
      </c>
      <c r="G1596" s="85">
        <v>-7422.38</v>
      </c>
    </row>
    <row r="1597" spans="1:7" x14ac:dyDescent="0.3">
      <c r="A1597" s="84">
        <v>2026</v>
      </c>
      <c r="B1597" s="84" t="s">
        <v>395</v>
      </c>
      <c r="C1597" s="84">
        <v>24</v>
      </c>
      <c r="D1597" s="84">
        <v>6</v>
      </c>
      <c r="E1597" s="85">
        <v>28566.94</v>
      </c>
      <c r="F1597" s="85">
        <v>21341.26</v>
      </c>
      <c r="G1597" s="85">
        <v>-7225.68</v>
      </c>
    </row>
    <row r="1598" spans="1:7" x14ac:dyDescent="0.3">
      <c r="A1598" s="84">
        <v>2026</v>
      </c>
      <c r="B1598" s="84" t="s">
        <v>395</v>
      </c>
      <c r="C1598" s="84">
        <v>24</v>
      </c>
      <c r="D1598" s="84">
        <v>7</v>
      </c>
      <c r="E1598" s="85">
        <v>28566.94</v>
      </c>
      <c r="F1598" s="85">
        <v>21537.96</v>
      </c>
      <c r="G1598" s="85">
        <v>-7028.98</v>
      </c>
    </row>
    <row r="1599" spans="1:7" x14ac:dyDescent="0.3">
      <c r="A1599" s="84">
        <v>2026</v>
      </c>
      <c r="B1599" s="84" t="s">
        <v>395</v>
      </c>
      <c r="C1599" s="84">
        <v>24</v>
      </c>
      <c r="D1599" s="84">
        <v>8</v>
      </c>
      <c r="E1599" s="85">
        <v>28566.94</v>
      </c>
      <c r="F1599" s="85">
        <v>21734.240000000002</v>
      </c>
      <c r="G1599" s="85">
        <v>-6832.7</v>
      </c>
    </row>
    <row r="1600" spans="1:7" x14ac:dyDescent="0.3">
      <c r="A1600" s="84">
        <v>2026</v>
      </c>
      <c r="B1600" s="84" t="s">
        <v>395</v>
      </c>
      <c r="C1600" s="84">
        <v>24</v>
      </c>
      <c r="D1600" s="84">
        <v>9</v>
      </c>
      <c r="E1600" s="85">
        <v>28566.94</v>
      </c>
      <c r="F1600" s="85">
        <v>21931.360000000001</v>
      </c>
      <c r="G1600" s="85">
        <v>-6635.58</v>
      </c>
    </row>
    <row r="1601" spans="1:7" x14ac:dyDescent="0.3">
      <c r="A1601" s="84">
        <v>2026</v>
      </c>
      <c r="B1601" s="84" t="s">
        <v>395</v>
      </c>
      <c r="C1601" s="84">
        <v>24</v>
      </c>
      <c r="D1601" s="84">
        <v>10</v>
      </c>
      <c r="E1601" s="85">
        <v>28566.94</v>
      </c>
      <c r="F1601" s="85">
        <v>22127.78</v>
      </c>
      <c r="G1601" s="85">
        <v>-6439.16</v>
      </c>
    </row>
    <row r="1602" spans="1:7" x14ac:dyDescent="0.3">
      <c r="A1602" s="84">
        <v>2026</v>
      </c>
      <c r="B1602" s="84" t="s">
        <v>395</v>
      </c>
      <c r="C1602" s="84">
        <v>24</v>
      </c>
      <c r="D1602" s="84">
        <v>11</v>
      </c>
      <c r="E1602" s="85">
        <v>28566.94</v>
      </c>
      <c r="F1602" s="85">
        <v>22520.34</v>
      </c>
      <c r="G1602" s="85">
        <v>-6046.6</v>
      </c>
    </row>
    <row r="1603" spans="1:7" x14ac:dyDescent="0.3">
      <c r="A1603" s="84">
        <v>2026</v>
      </c>
      <c r="B1603" s="84" t="s">
        <v>395</v>
      </c>
      <c r="C1603" s="84">
        <v>24</v>
      </c>
      <c r="D1603" s="84">
        <v>12</v>
      </c>
      <c r="E1603" s="85">
        <v>28566.94</v>
      </c>
      <c r="F1603" s="85">
        <v>22913.88</v>
      </c>
      <c r="G1603" s="85">
        <v>-5653.06</v>
      </c>
    </row>
    <row r="1604" spans="1:7" x14ac:dyDescent="0.3">
      <c r="A1604" s="84">
        <v>2026</v>
      </c>
      <c r="B1604" s="84" t="s">
        <v>395</v>
      </c>
      <c r="C1604" s="84">
        <v>24</v>
      </c>
      <c r="D1604" s="84">
        <v>13</v>
      </c>
      <c r="E1604" s="85">
        <v>28566.94</v>
      </c>
      <c r="F1604" s="85">
        <v>23307.14</v>
      </c>
      <c r="G1604" s="85">
        <v>-5259.8</v>
      </c>
    </row>
    <row r="1605" spans="1:7" x14ac:dyDescent="0.3">
      <c r="A1605" s="84">
        <v>2026</v>
      </c>
      <c r="B1605" s="84" t="s">
        <v>395</v>
      </c>
      <c r="C1605" s="84">
        <v>24</v>
      </c>
      <c r="D1605" s="84">
        <v>14</v>
      </c>
      <c r="E1605" s="85">
        <v>28566.94</v>
      </c>
      <c r="F1605" s="85">
        <v>23700.959999999999</v>
      </c>
      <c r="G1605" s="85">
        <v>-4865.9799999999996</v>
      </c>
    </row>
    <row r="1606" spans="1:7" x14ac:dyDescent="0.3">
      <c r="A1606" s="84">
        <v>2026</v>
      </c>
      <c r="B1606" s="84" t="s">
        <v>395</v>
      </c>
      <c r="C1606" s="84">
        <v>24</v>
      </c>
      <c r="D1606" s="84">
        <v>15</v>
      </c>
      <c r="E1606" s="85">
        <v>28566.94</v>
      </c>
      <c r="F1606" s="85">
        <v>24093.24</v>
      </c>
      <c r="G1606" s="85">
        <v>-4473.7</v>
      </c>
    </row>
    <row r="1607" spans="1:7" x14ac:dyDescent="0.3">
      <c r="A1607" s="84">
        <v>2026</v>
      </c>
      <c r="B1607" s="84" t="s">
        <v>395</v>
      </c>
      <c r="C1607" s="84">
        <v>24</v>
      </c>
      <c r="D1607" s="84">
        <v>16</v>
      </c>
      <c r="E1607" s="85">
        <v>28566.94</v>
      </c>
      <c r="F1607" s="85">
        <v>24487.200000000001</v>
      </c>
      <c r="G1607" s="85">
        <v>-4079.74</v>
      </c>
    </row>
    <row r="1608" spans="1:7" x14ac:dyDescent="0.3">
      <c r="A1608" s="84">
        <v>2026</v>
      </c>
      <c r="B1608" s="84" t="s">
        <v>395</v>
      </c>
      <c r="C1608" s="84">
        <v>24</v>
      </c>
      <c r="D1608" s="84">
        <v>17</v>
      </c>
      <c r="E1608" s="85">
        <v>28566.94</v>
      </c>
      <c r="F1608" s="85">
        <v>24879.94</v>
      </c>
      <c r="G1608" s="85">
        <v>-3687</v>
      </c>
    </row>
    <row r="1609" spans="1:7" x14ac:dyDescent="0.3">
      <c r="A1609" s="84">
        <v>2026</v>
      </c>
      <c r="B1609" s="84" t="s">
        <v>395</v>
      </c>
      <c r="C1609" s="84">
        <v>24</v>
      </c>
      <c r="D1609" s="84">
        <v>18</v>
      </c>
      <c r="E1609" s="85">
        <v>28566.94</v>
      </c>
      <c r="F1609" s="85">
        <v>25273.02</v>
      </c>
      <c r="G1609" s="85">
        <v>-3293.92</v>
      </c>
    </row>
    <row r="1610" spans="1:7" x14ac:dyDescent="0.3">
      <c r="A1610" s="84">
        <v>2026</v>
      </c>
      <c r="B1610" s="84" t="s">
        <v>395</v>
      </c>
      <c r="C1610" s="84">
        <v>24</v>
      </c>
      <c r="D1610" s="84">
        <v>19</v>
      </c>
      <c r="E1610" s="85">
        <v>28566.94</v>
      </c>
      <c r="F1610" s="85">
        <v>25666.14</v>
      </c>
      <c r="G1610" s="85">
        <v>-2900.8</v>
      </c>
    </row>
    <row r="1611" spans="1:7" x14ac:dyDescent="0.3">
      <c r="A1611" s="84">
        <v>2026</v>
      </c>
      <c r="B1611" s="84" t="s">
        <v>395</v>
      </c>
      <c r="C1611" s="84">
        <v>24</v>
      </c>
      <c r="D1611" s="84">
        <v>20</v>
      </c>
      <c r="E1611" s="85">
        <v>28566.94</v>
      </c>
      <c r="F1611" s="85">
        <v>26059.119999999999</v>
      </c>
      <c r="G1611" s="85">
        <v>-2507.8200000000002</v>
      </c>
    </row>
    <row r="1612" spans="1:7" x14ac:dyDescent="0.3">
      <c r="A1612" s="84">
        <v>2026</v>
      </c>
      <c r="B1612" s="84" t="s">
        <v>395</v>
      </c>
      <c r="C1612" s="84">
        <v>24</v>
      </c>
      <c r="D1612" s="84">
        <v>21</v>
      </c>
      <c r="E1612" s="85">
        <v>28566.94</v>
      </c>
      <c r="F1612" s="85">
        <v>26648.52</v>
      </c>
      <c r="G1612" s="85">
        <v>-1918.42</v>
      </c>
    </row>
    <row r="1613" spans="1:7" x14ac:dyDescent="0.3">
      <c r="A1613" s="84">
        <v>2026</v>
      </c>
      <c r="B1613" s="84" t="s">
        <v>395</v>
      </c>
      <c r="C1613" s="84">
        <v>24</v>
      </c>
      <c r="D1613" s="84">
        <v>22</v>
      </c>
      <c r="E1613" s="85">
        <v>28566.94</v>
      </c>
      <c r="F1613" s="85">
        <v>27287.200000000001</v>
      </c>
      <c r="G1613" s="85">
        <v>-1279.74</v>
      </c>
    </row>
    <row r="1614" spans="1:7" x14ac:dyDescent="0.3">
      <c r="A1614" s="84">
        <v>2026</v>
      </c>
      <c r="B1614" s="84" t="s">
        <v>395</v>
      </c>
      <c r="C1614" s="84">
        <v>24</v>
      </c>
      <c r="D1614" s="84">
        <v>23</v>
      </c>
      <c r="E1614" s="85">
        <v>28566.94</v>
      </c>
      <c r="F1614" s="85">
        <v>27927.7</v>
      </c>
      <c r="G1614" s="85">
        <v>-639.24</v>
      </c>
    </row>
    <row r="1615" spans="1:7" x14ac:dyDescent="0.3">
      <c r="A1615" s="84">
        <v>2026</v>
      </c>
      <c r="B1615" s="84" t="s">
        <v>395</v>
      </c>
      <c r="C1615" s="84">
        <v>24</v>
      </c>
      <c r="D1615" s="84">
        <v>24</v>
      </c>
      <c r="E1615" s="85">
        <v>28566.94</v>
      </c>
      <c r="F1615" s="85">
        <v>28566.94</v>
      </c>
      <c r="G1615" s="85">
        <v>0</v>
      </c>
    </row>
    <row r="1616" spans="1:7" x14ac:dyDescent="0.3">
      <c r="A1616" s="84">
        <v>2026</v>
      </c>
      <c r="B1616" s="84" t="s">
        <v>395</v>
      </c>
      <c r="C1616" s="84">
        <v>24</v>
      </c>
      <c r="D1616" s="84">
        <v>25</v>
      </c>
      <c r="E1616" s="85">
        <v>28566.94</v>
      </c>
      <c r="F1616" s="85">
        <v>29207.02</v>
      </c>
      <c r="G1616" s="85">
        <v>640.08000000000004</v>
      </c>
    </row>
    <row r="1617" spans="1:7" x14ac:dyDescent="0.3">
      <c r="A1617" s="84">
        <v>2026</v>
      </c>
      <c r="B1617" s="84" t="s">
        <v>395</v>
      </c>
      <c r="C1617" s="84">
        <v>24</v>
      </c>
      <c r="D1617" s="84">
        <v>26</v>
      </c>
      <c r="E1617" s="85">
        <v>28566.94</v>
      </c>
      <c r="F1617" s="85">
        <v>30586.3</v>
      </c>
      <c r="G1617" s="85">
        <v>2019.36</v>
      </c>
    </row>
    <row r="1618" spans="1:7" x14ac:dyDescent="0.3">
      <c r="A1618" s="84">
        <v>2026</v>
      </c>
      <c r="B1618" s="84" t="s">
        <v>395</v>
      </c>
      <c r="C1618" s="84">
        <v>24</v>
      </c>
      <c r="D1618" s="84">
        <v>27</v>
      </c>
      <c r="E1618" s="85">
        <v>28566.94</v>
      </c>
      <c r="F1618" s="85">
        <v>32295.56</v>
      </c>
      <c r="G1618" s="85">
        <v>3728.62</v>
      </c>
    </row>
    <row r="1619" spans="1:7" x14ac:dyDescent="0.3">
      <c r="A1619" s="84">
        <v>2026</v>
      </c>
      <c r="B1619" s="84" t="s">
        <v>395</v>
      </c>
      <c r="C1619" s="84">
        <v>24</v>
      </c>
      <c r="D1619" s="84">
        <v>28</v>
      </c>
      <c r="E1619" s="85">
        <v>28566.94</v>
      </c>
      <c r="F1619" s="85">
        <v>32936.06</v>
      </c>
      <c r="G1619" s="85">
        <v>4369.12</v>
      </c>
    </row>
    <row r="1620" spans="1:7" x14ac:dyDescent="0.3">
      <c r="A1620" s="84">
        <v>2026</v>
      </c>
      <c r="B1620" s="84" t="s">
        <v>395</v>
      </c>
      <c r="C1620" s="84">
        <v>24</v>
      </c>
      <c r="D1620" s="84">
        <v>29</v>
      </c>
      <c r="E1620" s="85">
        <v>28566.94</v>
      </c>
      <c r="F1620" s="85">
        <v>33575.4</v>
      </c>
      <c r="G1620" s="85">
        <v>5008.46</v>
      </c>
    </row>
    <row r="1621" spans="1:7" x14ac:dyDescent="0.3">
      <c r="A1621" s="84">
        <v>2026</v>
      </c>
      <c r="B1621" s="84" t="s">
        <v>395</v>
      </c>
      <c r="C1621" s="84">
        <v>24</v>
      </c>
      <c r="D1621" s="84">
        <v>30</v>
      </c>
      <c r="E1621" s="85">
        <v>28566.94</v>
      </c>
      <c r="F1621" s="85">
        <v>35323.760000000002</v>
      </c>
      <c r="G1621" s="85">
        <v>6756.82</v>
      </c>
    </row>
    <row r="1622" spans="1:7" x14ac:dyDescent="0.3">
      <c r="A1622" s="84">
        <v>2026</v>
      </c>
      <c r="B1622" s="84" t="s">
        <v>395</v>
      </c>
      <c r="C1622" s="84">
        <v>25</v>
      </c>
      <c r="D1622" s="84">
        <v>1</v>
      </c>
      <c r="E1622" s="85">
        <v>29207.02</v>
      </c>
      <c r="F1622" s="85">
        <v>19966.32</v>
      </c>
      <c r="G1622" s="85">
        <v>-9240.7000000000007</v>
      </c>
    </row>
    <row r="1623" spans="1:7" x14ac:dyDescent="0.3">
      <c r="A1623" s="84">
        <v>2026</v>
      </c>
      <c r="B1623" s="84" t="s">
        <v>395</v>
      </c>
      <c r="C1623" s="84">
        <v>25</v>
      </c>
      <c r="D1623" s="84">
        <v>2</v>
      </c>
      <c r="E1623" s="85">
        <v>29207.02</v>
      </c>
      <c r="F1623" s="85">
        <v>20260.740000000002</v>
      </c>
      <c r="G1623" s="85">
        <v>-8946.2800000000007</v>
      </c>
    </row>
    <row r="1624" spans="1:7" x14ac:dyDescent="0.3">
      <c r="A1624" s="84">
        <v>2026</v>
      </c>
      <c r="B1624" s="84" t="s">
        <v>395</v>
      </c>
      <c r="C1624" s="84">
        <v>25</v>
      </c>
      <c r="D1624" s="84">
        <v>3</v>
      </c>
      <c r="E1624" s="85">
        <v>29207.02</v>
      </c>
      <c r="F1624" s="85">
        <v>20555.72</v>
      </c>
      <c r="G1624" s="85">
        <v>-8651.2999999999993</v>
      </c>
    </row>
    <row r="1625" spans="1:7" x14ac:dyDescent="0.3">
      <c r="A1625" s="84">
        <v>2026</v>
      </c>
      <c r="B1625" s="84" t="s">
        <v>395</v>
      </c>
      <c r="C1625" s="84">
        <v>25</v>
      </c>
      <c r="D1625" s="84">
        <v>4</v>
      </c>
      <c r="E1625" s="85">
        <v>29207.02</v>
      </c>
      <c r="F1625" s="85">
        <v>20849.86</v>
      </c>
      <c r="G1625" s="85">
        <v>-8357.16</v>
      </c>
    </row>
    <row r="1626" spans="1:7" x14ac:dyDescent="0.3">
      <c r="A1626" s="84">
        <v>2026</v>
      </c>
      <c r="B1626" s="84" t="s">
        <v>395</v>
      </c>
      <c r="C1626" s="84">
        <v>25</v>
      </c>
      <c r="D1626" s="84">
        <v>5</v>
      </c>
      <c r="E1626" s="85">
        <v>29207.02</v>
      </c>
      <c r="F1626" s="85">
        <v>21144.560000000001</v>
      </c>
      <c r="G1626" s="85">
        <v>-8062.46</v>
      </c>
    </row>
    <row r="1627" spans="1:7" x14ac:dyDescent="0.3">
      <c r="A1627" s="84">
        <v>2026</v>
      </c>
      <c r="B1627" s="84" t="s">
        <v>395</v>
      </c>
      <c r="C1627" s="84">
        <v>25</v>
      </c>
      <c r="D1627" s="84">
        <v>6</v>
      </c>
      <c r="E1627" s="85">
        <v>29207.02</v>
      </c>
      <c r="F1627" s="85">
        <v>21341.26</v>
      </c>
      <c r="G1627" s="85">
        <v>-7865.76</v>
      </c>
    </row>
    <row r="1628" spans="1:7" x14ac:dyDescent="0.3">
      <c r="A1628" s="84">
        <v>2026</v>
      </c>
      <c r="B1628" s="84" t="s">
        <v>395</v>
      </c>
      <c r="C1628" s="84">
        <v>25</v>
      </c>
      <c r="D1628" s="84">
        <v>7</v>
      </c>
      <c r="E1628" s="85">
        <v>29207.02</v>
      </c>
      <c r="F1628" s="85">
        <v>21537.96</v>
      </c>
      <c r="G1628" s="85">
        <v>-7669.06</v>
      </c>
    </row>
    <row r="1629" spans="1:7" x14ac:dyDescent="0.3">
      <c r="A1629" s="84">
        <v>2026</v>
      </c>
      <c r="B1629" s="84" t="s">
        <v>395</v>
      </c>
      <c r="C1629" s="84">
        <v>25</v>
      </c>
      <c r="D1629" s="84">
        <v>8</v>
      </c>
      <c r="E1629" s="85">
        <v>29207.02</v>
      </c>
      <c r="F1629" s="85">
        <v>21734.240000000002</v>
      </c>
      <c r="G1629" s="85">
        <v>-7472.78</v>
      </c>
    </row>
    <row r="1630" spans="1:7" x14ac:dyDescent="0.3">
      <c r="A1630" s="84">
        <v>2026</v>
      </c>
      <c r="B1630" s="84" t="s">
        <v>395</v>
      </c>
      <c r="C1630" s="84">
        <v>25</v>
      </c>
      <c r="D1630" s="84">
        <v>9</v>
      </c>
      <c r="E1630" s="85">
        <v>29207.02</v>
      </c>
      <c r="F1630" s="85">
        <v>21931.360000000001</v>
      </c>
      <c r="G1630" s="85">
        <v>-7275.66</v>
      </c>
    </row>
    <row r="1631" spans="1:7" x14ac:dyDescent="0.3">
      <c r="A1631" s="84">
        <v>2026</v>
      </c>
      <c r="B1631" s="84" t="s">
        <v>395</v>
      </c>
      <c r="C1631" s="84">
        <v>25</v>
      </c>
      <c r="D1631" s="84">
        <v>10</v>
      </c>
      <c r="E1631" s="85">
        <v>29207.02</v>
      </c>
      <c r="F1631" s="85">
        <v>22127.78</v>
      </c>
      <c r="G1631" s="85">
        <v>-7079.24</v>
      </c>
    </row>
    <row r="1632" spans="1:7" x14ac:dyDescent="0.3">
      <c r="A1632" s="84">
        <v>2026</v>
      </c>
      <c r="B1632" s="84" t="s">
        <v>395</v>
      </c>
      <c r="C1632" s="84">
        <v>25</v>
      </c>
      <c r="D1632" s="84">
        <v>11</v>
      </c>
      <c r="E1632" s="85">
        <v>29207.02</v>
      </c>
      <c r="F1632" s="85">
        <v>22520.34</v>
      </c>
      <c r="G1632" s="85">
        <v>-6686.68</v>
      </c>
    </row>
    <row r="1633" spans="1:7" x14ac:dyDescent="0.3">
      <c r="A1633" s="84">
        <v>2026</v>
      </c>
      <c r="B1633" s="84" t="s">
        <v>395</v>
      </c>
      <c r="C1633" s="84">
        <v>25</v>
      </c>
      <c r="D1633" s="84">
        <v>12</v>
      </c>
      <c r="E1633" s="85">
        <v>29207.02</v>
      </c>
      <c r="F1633" s="85">
        <v>22913.88</v>
      </c>
      <c r="G1633" s="85">
        <v>-6293.14</v>
      </c>
    </row>
    <row r="1634" spans="1:7" x14ac:dyDescent="0.3">
      <c r="A1634" s="84">
        <v>2026</v>
      </c>
      <c r="B1634" s="84" t="s">
        <v>395</v>
      </c>
      <c r="C1634" s="84">
        <v>25</v>
      </c>
      <c r="D1634" s="84">
        <v>13</v>
      </c>
      <c r="E1634" s="85">
        <v>29207.02</v>
      </c>
      <c r="F1634" s="85">
        <v>23307.14</v>
      </c>
      <c r="G1634" s="85">
        <v>-5899.88</v>
      </c>
    </row>
    <row r="1635" spans="1:7" x14ac:dyDescent="0.3">
      <c r="A1635" s="84">
        <v>2026</v>
      </c>
      <c r="B1635" s="84" t="s">
        <v>395</v>
      </c>
      <c r="C1635" s="84">
        <v>25</v>
      </c>
      <c r="D1635" s="84">
        <v>14</v>
      </c>
      <c r="E1635" s="85">
        <v>29207.02</v>
      </c>
      <c r="F1635" s="85">
        <v>23700.959999999999</v>
      </c>
      <c r="G1635" s="85">
        <v>-5506.06</v>
      </c>
    </row>
    <row r="1636" spans="1:7" x14ac:dyDescent="0.3">
      <c r="A1636" s="84">
        <v>2026</v>
      </c>
      <c r="B1636" s="84" t="s">
        <v>395</v>
      </c>
      <c r="C1636" s="84">
        <v>25</v>
      </c>
      <c r="D1636" s="84">
        <v>15</v>
      </c>
      <c r="E1636" s="85">
        <v>29207.02</v>
      </c>
      <c r="F1636" s="85">
        <v>24093.24</v>
      </c>
      <c r="G1636" s="85">
        <v>-5113.78</v>
      </c>
    </row>
    <row r="1637" spans="1:7" x14ac:dyDescent="0.3">
      <c r="A1637" s="84">
        <v>2026</v>
      </c>
      <c r="B1637" s="84" t="s">
        <v>395</v>
      </c>
      <c r="C1637" s="84">
        <v>25</v>
      </c>
      <c r="D1637" s="84">
        <v>16</v>
      </c>
      <c r="E1637" s="85">
        <v>29207.02</v>
      </c>
      <c r="F1637" s="85">
        <v>24487.200000000001</v>
      </c>
      <c r="G1637" s="85">
        <v>-4719.82</v>
      </c>
    </row>
    <row r="1638" spans="1:7" x14ac:dyDescent="0.3">
      <c r="A1638" s="84">
        <v>2026</v>
      </c>
      <c r="B1638" s="84" t="s">
        <v>395</v>
      </c>
      <c r="C1638" s="84">
        <v>25</v>
      </c>
      <c r="D1638" s="84">
        <v>17</v>
      </c>
      <c r="E1638" s="85">
        <v>29207.02</v>
      </c>
      <c r="F1638" s="85">
        <v>24879.94</v>
      </c>
      <c r="G1638" s="85">
        <v>-4327.08</v>
      </c>
    </row>
    <row r="1639" spans="1:7" x14ac:dyDescent="0.3">
      <c r="A1639" s="84">
        <v>2026</v>
      </c>
      <c r="B1639" s="84" t="s">
        <v>395</v>
      </c>
      <c r="C1639" s="84">
        <v>25</v>
      </c>
      <c r="D1639" s="84">
        <v>18</v>
      </c>
      <c r="E1639" s="85">
        <v>29207.02</v>
      </c>
      <c r="F1639" s="85">
        <v>25273.02</v>
      </c>
      <c r="G1639" s="85">
        <v>-3934</v>
      </c>
    </row>
    <row r="1640" spans="1:7" x14ac:dyDescent="0.3">
      <c r="A1640" s="84">
        <v>2026</v>
      </c>
      <c r="B1640" s="84" t="s">
        <v>395</v>
      </c>
      <c r="C1640" s="84">
        <v>25</v>
      </c>
      <c r="D1640" s="84">
        <v>19</v>
      </c>
      <c r="E1640" s="85">
        <v>29207.02</v>
      </c>
      <c r="F1640" s="85">
        <v>25666.14</v>
      </c>
      <c r="G1640" s="85">
        <v>-3540.88</v>
      </c>
    </row>
    <row r="1641" spans="1:7" x14ac:dyDescent="0.3">
      <c r="A1641" s="84">
        <v>2026</v>
      </c>
      <c r="B1641" s="84" t="s">
        <v>395</v>
      </c>
      <c r="C1641" s="84">
        <v>25</v>
      </c>
      <c r="D1641" s="84">
        <v>20</v>
      </c>
      <c r="E1641" s="85">
        <v>29207.02</v>
      </c>
      <c r="F1641" s="85">
        <v>26059.119999999999</v>
      </c>
      <c r="G1641" s="85">
        <v>-3147.9</v>
      </c>
    </row>
    <row r="1642" spans="1:7" x14ac:dyDescent="0.3">
      <c r="A1642" s="84">
        <v>2026</v>
      </c>
      <c r="B1642" s="84" t="s">
        <v>395</v>
      </c>
      <c r="C1642" s="84">
        <v>25</v>
      </c>
      <c r="D1642" s="84">
        <v>21</v>
      </c>
      <c r="E1642" s="85">
        <v>29207.02</v>
      </c>
      <c r="F1642" s="85">
        <v>26648.52</v>
      </c>
      <c r="G1642" s="85">
        <v>-2558.5</v>
      </c>
    </row>
    <row r="1643" spans="1:7" x14ac:dyDescent="0.3">
      <c r="A1643" s="84">
        <v>2026</v>
      </c>
      <c r="B1643" s="84" t="s">
        <v>395</v>
      </c>
      <c r="C1643" s="84">
        <v>25</v>
      </c>
      <c r="D1643" s="84">
        <v>22</v>
      </c>
      <c r="E1643" s="85">
        <v>29207.02</v>
      </c>
      <c r="F1643" s="85">
        <v>27287.200000000001</v>
      </c>
      <c r="G1643" s="85">
        <v>-1919.82</v>
      </c>
    </row>
    <row r="1644" spans="1:7" x14ac:dyDescent="0.3">
      <c r="A1644" s="84">
        <v>2026</v>
      </c>
      <c r="B1644" s="84" t="s">
        <v>395</v>
      </c>
      <c r="C1644" s="84">
        <v>25</v>
      </c>
      <c r="D1644" s="84">
        <v>23</v>
      </c>
      <c r="E1644" s="85">
        <v>29207.02</v>
      </c>
      <c r="F1644" s="85">
        <v>27927.7</v>
      </c>
      <c r="G1644" s="85">
        <v>-1279.32</v>
      </c>
    </row>
    <row r="1645" spans="1:7" x14ac:dyDescent="0.3">
      <c r="A1645" s="84">
        <v>2026</v>
      </c>
      <c r="B1645" s="84" t="s">
        <v>395</v>
      </c>
      <c r="C1645" s="84">
        <v>25</v>
      </c>
      <c r="D1645" s="84">
        <v>24</v>
      </c>
      <c r="E1645" s="85">
        <v>29207.02</v>
      </c>
      <c r="F1645" s="85">
        <v>28566.94</v>
      </c>
      <c r="G1645" s="85">
        <v>-640.08000000000004</v>
      </c>
    </row>
    <row r="1646" spans="1:7" x14ac:dyDescent="0.3">
      <c r="A1646" s="84">
        <v>2026</v>
      </c>
      <c r="B1646" s="84" t="s">
        <v>395</v>
      </c>
      <c r="C1646" s="84">
        <v>25</v>
      </c>
      <c r="D1646" s="84">
        <v>25</v>
      </c>
      <c r="E1646" s="85">
        <v>29207.02</v>
      </c>
      <c r="F1646" s="85">
        <v>29207.02</v>
      </c>
      <c r="G1646" s="85">
        <v>0</v>
      </c>
    </row>
    <row r="1647" spans="1:7" x14ac:dyDescent="0.3">
      <c r="A1647" s="84">
        <v>2026</v>
      </c>
      <c r="B1647" s="84" t="s">
        <v>395</v>
      </c>
      <c r="C1647" s="84">
        <v>25</v>
      </c>
      <c r="D1647" s="84">
        <v>26</v>
      </c>
      <c r="E1647" s="85">
        <v>29207.02</v>
      </c>
      <c r="F1647" s="85">
        <v>30586.3</v>
      </c>
      <c r="G1647" s="85">
        <v>1379.28</v>
      </c>
    </row>
    <row r="1648" spans="1:7" x14ac:dyDescent="0.3">
      <c r="A1648" s="84">
        <v>2026</v>
      </c>
      <c r="B1648" s="84" t="s">
        <v>395</v>
      </c>
      <c r="C1648" s="84">
        <v>25</v>
      </c>
      <c r="D1648" s="84">
        <v>27</v>
      </c>
      <c r="E1648" s="85">
        <v>29207.02</v>
      </c>
      <c r="F1648" s="85">
        <v>32295.56</v>
      </c>
      <c r="G1648" s="85">
        <v>3088.54</v>
      </c>
    </row>
    <row r="1649" spans="1:7" x14ac:dyDescent="0.3">
      <c r="A1649" s="84">
        <v>2026</v>
      </c>
      <c r="B1649" s="84" t="s">
        <v>395</v>
      </c>
      <c r="C1649" s="84">
        <v>25</v>
      </c>
      <c r="D1649" s="84">
        <v>28</v>
      </c>
      <c r="E1649" s="85">
        <v>29207.02</v>
      </c>
      <c r="F1649" s="85">
        <v>32936.06</v>
      </c>
      <c r="G1649" s="85">
        <v>3729.04</v>
      </c>
    </row>
    <row r="1650" spans="1:7" x14ac:dyDescent="0.3">
      <c r="A1650" s="84">
        <v>2026</v>
      </c>
      <c r="B1650" s="84" t="s">
        <v>395</v>
      </c>
      <c r="C1650" s="84">
        <v>25</v>
      </c>
      <c r="D1650" s="84">
        <v>29</v>
      </c>
      <c r="E1650" s="85">
        <v>29207.02</v>
      </c>
      <c r="F1650" s="85">
        <v>33575.4</v>
      </c>
      <c r="G1650" s="85">
        <v>4368.38</v>
      </c>
    </row>
    <row r="1651" spans="1:7" x14ac:dyDescent="0.3">
      <c r="A1651" s="84">
        <v>2026</v>
      </c>
      <c r="B1651" s="84" t="s">
        <v>395</v>
      </c>
      <c r="C1651" s="84">
        <v>25</v>
      </c>
      <c r="D1651" s="84">
        <v>30</v>
      </c>
      <c r="E1651" s="85">
        <v>29207.02</v>
      </c>
      <c r="F1651" s="85">
        <v>35323.760000000002</v>
      </c>
      <c r="G1651" s="85">
        <v>6116.74</v>
      </c>
    </row>
    <row r="1652" spans="1:7" x14ac:dyDescent="0.3">
      <c r="A1652" s="84">
        <v>2026</v>
      </c>
      <c r="B1652" s="84" t="s">
        <v>395</v>
      </c>
      <c r="C1652" s="84">
        <v>26</v>
      </c>
      <c r="D1652" s="84">
        <v>1</v>
      </c>
      <c r="E1652" s="85">
        <v>30586.3</v>
      </c>
      <c r="F1652" s="85">
        <v>19966.32</v>
      </c>
      <c r="G1652" s="85">
        <v>-10619.98</v>
      </c>
    </row>
    <row r="1653" spans="1:7" x14ac:dyDescent="0.3">
      <c r="A1653" s="84">
        <v>2026</v>
      </c>
      <c r="B1653" s="84" t="s">
        <v>395</v>
      </c>
      <c r="C1653" s="84">
        <v>26</v>
      </c>
      <c r="D1653" s="84">
        <v>2</v>
      </c>
      <c r="E1653" s="85">
        <v>30586.3</v>
      </c>
      <c r="F1653" s="85">
        <v>20260.740000000002</v>
      </c>
      <c r="G1653" s="85">
        <v>-10325.56</v>
      </c>
    </row>
    <row r="1654" spans="1:7" x14ac:dyDescent="0.3">
      <c r="A1654" s="84">
        <v>2026</v>
      </c>
      <c r="B1654" s="84" t="s">
        <v>395</v>
      </c>
      <c r="C1654" s="84">
        <v>26</v>
      </c>
      <c r="D1654" s="84">
        <v>3</v>
      </c>
      <c r="E1654" s="85">
        <v>30586.3</v>
      </c>
      <c r="F1654" s="85">
        <v>20555.72</v>
      </c>
      <c r="G1654" s="85">
        <v>-10030.58</v>
      </c>
    </row>
    <row r="1655" spans="1:7" x14ac:dyDescent="0.3">
      <c r="A1655" s="84">
        <v>2026</v>
      </c>
      <c r="B1655" s="84" t="s">
        <v>395</v>
      </c>
      <c r="C1655" s="84">
        <v>26</v>
      </c>
      <c r="D1655" s="84">
        <v>4</v>
      </c>
      <c r="E1655" s="85">
        <v>30586.3</v>
      </c>
      <c r="F1655" s="85">
        <v>20849.86</v>
      </c>
      <c r="G1655" s="85">
        <v>-9736.44</v>
      </c>
    </row>
    <row r="1656" spans="1:7" x14ac:dyDescent="0.3">
      <c r="A1656" s="84">
        <v>2026</v>
      </c>
      <c r="B1656" s="84" t="s">
        <v>395</v>
      </c>
      <c r="C1656" s="84">
        <v>26</v>
      </c>
      <c r="D1656" s="84">
        <v>5</v>
      </c>
      <c r="E1656" s="85">
        <v>30586.3</v>
      </c>
      <c r="F1656" s="85">
        <v>21144.560000000001</v>
      </c>
      <c r="G1656" s="85">
        <v>-9441.74</v>
      </c>
    </row>
    <row r="1657" spans="1:7" x14ac:dyDescent="0.3">
      <c r="A1657" s="84">
        <v>2026</v>
      </c>
      <c r="B1657" s="84" t="s">
        <v>395</v>
      </c>
      <c r="C1657" s="84">
        <v>26</v>
      </c>
      <c r="D1657" s="84">
        <v>6</v>
      </c>
      <c r="E1657" s="85">
        <v>30586.3</v>
      </c>
      <c r="F1657" s="85">
        <v>21341.26</v>
      </c>
      <c r="G1657" s="85">
        <v>-9245.0400000000009</v>
      </c>
    </row>
    <row r="1658" spans="1:7" x14ac:dyDescent="0.3">
      <c r="A1658" s="84">
        <v>2026</v>
      </c>
      <c r="B1658" s="84" t="s">
        <v>395</v>
      </c>
      <c r="C1658" s="84">
        <v>26</v>
      </c>
      <c r="D1658" s="84">
        <v>7</v>
      </c>
      <c r="E1658" s="85">
        <v>30586.3</v>
      </c>
      <c r="F1658" s="85">
        <v>21537.96</v>
      </c>
      <c r="G1658" s="85">
        <v>-9048.34</v>
      </c>
    </row>
    <row r="1659" spans="1:7" x14ac:dyDescent="0.3">
      <c r="A1659" s="84">
        <v>2026</v>
      </c>
      <c r="B1659" s="84" t="s">
        <v>395</v>
      </c>
      <c r="C1659" s="84">
        <v>26</v>
      </c>
      <c r="D1659" s="84">
        <v>8</v>
      </c>
      <c r="E1659" s="85">
        <v>30586.3</v>
      </c>
      <c r="F1659" s="85">
        <v>21734.240000000002</v>
      </c>
      <c r="G1659" s="85">
        <v>-8852.06</v>
      </c>
    </row>
    <row r="1660" spans="1:7" x14ac:dyDescent="0.3">
      <c r="A1660" s="84">
        <v>2026</v>
      </c>
      <c r="B1660" s="84" t="s">
        <v>395</v>
      </c>
      <c r="C1660" s="84">
        <v>26</v>
      </c>
      <c r="D1660" s="84">
        <v>9</v>
      </c>
      <c r="E1660" s="85">
        <v>30586.3</v>
      </c>
      <c r="F1660" s="85">
        <v>21931.360000000001</v>
      </c>
      <c r="G1660" s="85">
        <v>-8654.94</v>
      </c>
    </row>
    <row r="1661" spans="1:7" x14ac:dyDescent="0.3">
      <c r="A1661" s="84">
        <v>2026</v>
      </c>
      <c r="B1661" s="84" t="s">
        <v>395</v>
      </c>
      <c r="C1661" s="84">
        <v>26</v>
      </c>
      <c r="D1661" s="84">
        <v>10</v>
      </c>
      <c r="E1661" s="85">
        <v>30586.3</v>
      </c>
      <c r="F1661" s="85">
        <v>22127.78</v>
      </c>
      <c r="G1661" s="85">
        <v>-8458.52</v>
      </c>
    </row>
    <row r="1662" spans="1:7" x14ac:dyDescent="0.3">
      <c r="A1662" s="84">
        <v>2026</v>
      </c>
      <c r="B1662" s="84" t="s">
        <v>395</v>
      </c>
      <c r="C1662" s="84">
        <v>26</v>
      </c>
      <c r="D1662" s="84">
        <v>11</v>
      </c>
      <c r="E1662" s="85">
        <v>30586.3</v>
      </c>
      <c r="F1662" s="85">
        <v>22520.34</v>
      </c>
      <c r="G1662" s="85">
        <v>-8065.96</v>
      </c>
    </row>
    <row r="1663" spans="1:7" x14ac:dyDescent="0.3">
      <c r="A1663" s="84">
        <v>2026</v>
      </c>
      <c r="B1663" s="84" t="s">
        <v>395</v>
      </c>
      <c r="C1663" s="84">
        <v>26</v>
      </c>
      <c r="D1663" s="84">
        <v>12</v>
      </c>
      <c r="E1663" s="85">
        <v>30586.3</v>
      </c>
      <c r="F1663" s="85">
        <v>22913.88</v>
      </c>
      <c r="G1663" s="85">
        <v>-7672.42</v>
      </c>
    </row>
    <row r="1664" spans="1:7" x14ac:dyDescent="0.3">
      <c r="A1664" s="84">
        <v>2026</v>
      </c>
      <c r="B1664" s="84" t="s">
        <v>395</v>
      </c>
      <c r="C1664" s="84">
        <v>26</v>
      </c>
      <c r="D1664" s="84">
        <v>13</v>
      </c>
      <c r="E1664" s="85">
        <v>30586.3</v>
      </c>
      <c r="F1664" s="85">
        <v>23307.14</v>
      </c>
      <c r="G1664" s="85">
        <v>-7279.16</v>
      </c>
    </row>
    <row r="1665" spans="1:7" x14ac:dyDescent="0.3">
      <c r="A1665" s="84">
        <v>2026</v>
      </c>
      <c r="B1665" s="84" t="s">
        <v>395</v>
      </c>
      <c r="C1665" s="84">
        <v>26</v>
      </c>
      <c r="D1665" s="84">
        <v>14</v>
      </c>
      <c r="E1665" s="85">
        <v>30586.3</v>
      </c>
      <c r="F1665" s="85">
        <v>23700.959999999999</v>
      </c>
      <c r="G1665" s="85">
        <v>-6885.34</v>
      </c>
    </row>
    <row r="1666" spans="1:7" x14ac:dyDescent="0.3">
      <c r="A1666" s="84">
        <v>2026</v>
      </c>
      <c r="B1666" s="84" t="s">
        <v>395</v>
      </c>
      <c r="C1666" s="84">
        <v>26</v>
      </c>
      <c r="D1666" s="84">
        <v>15</v>
      </c>
      <c r="E1666" s="85">
        <v>30586.3</v>
      </c>
      <c r="F1666" s="85">
        <v>24093.24</v>
      </c>
      <c r="G1666" s="85">
        <v>-6493.06</v>
      </c>
    </row>
    <row r="1667" spans="1:7" x14ac:dyDescent="0.3">
      <c r="A1667" s="84">
        <v>2026</v>
      </c>
      <c r="B1667" s="84" t="s">
        <v>395</v>
      </c>
      <c r="C1667" s="84">
        <v>26</v>
      </c>
      <c r="D1667" s="84">
        <v>16</v>
      </c>
      <c r="E1667" s="85">
        <v>30586.3</v>
      </c>
      <c r="F1667" s="85">
        <v>24487.200000000001</v>
      </c>
      <c r="G1667" s="85">
        <v>-6099.1</v>
      </c>
    </row>
    <row r="1668" spans="1:7" x14ac:dyDescent="0.3">
      <c r="A1668" s="84">
        <v>2026</v>
      </c>
      <c r="B1668" s="84" t="s">
        <v>395</v>
      </c>
      <c r="C1668" s="84">
        <v>26</v>
      </c>
      <c r="D1668" s="84">
        <v>17</v>
      </c>
      <c r="E1668" s="85">
        <v>30586.3</v>
      </c>
      <c r="F1668" s="85">
        <v>24879.94</v>
      </c>
      <c r="G1668" s="85">
        <v>-5706.36</v>
      </c>
    </row>
    <row r="1669" spans="1:7" x14ac:dyDescent="0.3">
      <c r="A1669" s="84">
        <v>2026</v>
      </c>
      <c r="B1669" s="84" t="s">
        <v>395</v>
      </c>
      <c r="C1669" s="84">
        <v>26</v>
      </c>
      <c r="D1669" s="84">
        <v>18</v>
      </c>
      <c r="E1669" s="85">
        <v>30586.3</v>
      </c>
      <c r="F1669" s="85">
        <v>25273.02</v>
      </c>
      <c r="G1669" s="85">
        <v>-5313.28</v>
      </c>
    </row>
    <row r="1670" spans="1:7" x14ac:dyDescent="0.3">
      <c r="A1670" s="84">
        <v>2026</v>
      </c>
      <c r="B1670" s="84" t="s">
        <v>395</v>
      </c>
      <c r="C1670" s="84">
        <v>26</v>
      </c>
      <c r="D1670" s="84">
        <v>19</v>
      </c>
      <c r="E1670" s="85">
        <v>30586.3</v>
      </c>
      <c r="F1670" s="85">
        <v>25666.14</v>
      </c>
      <c r="G1670" s="85">
        <v>-4920.16</v>
      </c>
    </row>
    <row r="1671" spans="1:7" x14ac:dyDescent="0.3">
      <c r="A1671" s="84">
        <v>2026</v>
      </c>
      <c r="B1671" s="84" t="s">
        <v>395</v>
      </c>
      <c r="C1671" s="84">
        <v>26</v>
      </c>
      <c r="D1671" s="84">
        <v>20</v>
      </c>
      <c r="E1671" s="85">
        <v>30586.3</v>
      </c>
      <c r="F1671" s="85">
        <v>26059.119999999999</v>
      </c>
      <c r="G1671" s="85">
        <v>-4527.18</v>
      </c>
    </row>
    <row r="1672" spans="1:7" x14ac:dyDescent="0.3">
      <c r="A1672" s="84">
        <v>2026</v>
      </c>
      <c r="B1672" s="84" t="s">
        <v>395</v>
      </c>
      <c r="C1672" s="84">
        <v>26</v>
      </c>
      <c r="D1672" s="84">
        <v>21</v>
      </c>
      <c r="E1672" s="85">
        <v>30586.3</v>
      </c>
      <c r="F1672" s="85">
        <v>26648.52</v>
      </c>
      <c r="G1672" s="85">
        <v>-3937.78</v>
      </c>
    </row>
    <row r="1673" spans="1:7" x14ac:dyDescent="0.3">
      <c r="A1673" s="84">
        <v>2026</v>
      </c>
      <c r="B1673" s="84" t="s">
        <v>395</v>
      </c>
      <c r="C1673" s="84">
        <v>26</v>
      </c>
      <c r="D1673" s="84">
        <v>22</v>
      </c>
      <c r="E1673" s="85">
        <v>30586.3</v>
      </c>
      <c r="F1673" s="85">
        <v>27287.200000000001</v>
      </c>
      <c r="G1673" s="85">
        <v>-3299.1</v>
      </c>
    </row>
    <row r="1674" spans="1:7" x14ac:dyDescent="0.3">
      <c r="A1674" s="84">
        <v>2026</v>
      </c>
      <c r="B1674" s="84" t="s">
        <v>395</v>
      </c>
      <c r="C1674" s="84">
        <v>26</v>
      </c>
      <c r="D1674" s="84">
        <v>23</v>
      </c>
      <c r="E1674" s="85">
        <v>30586.3</v>
      </c>
      <c r="F1674" s="85">
        <v>27927.7</v>
      </c>
      <c r="G1674" s="85">
        <v>-2658.6</v>
      </c>
    </row>
    <row r="1675" spans="1:7" x14ac:dyDescent="0.3">
      <c r="A1675" s="84">
        <v>2026</v>
      </c>
      <c r="B1675" s="84" t="s">
        <v>395</v>
      </c>
      <c r="C1675" s="84">
        <v>26</v>
      </c>
      <c r="D1675" s="84">
        <v>24</v>
      </c>
      <c r="E1675" s="85">
        <v>30586.3</v>
      </c>
      <c r="F1675" s="85">
        <v>28566.94</v>
      </c>
      <c r="G1675" s="85">
        <v>-2019.36</v>
      </c>
    </row>
    <row r="1676" spans="1:7" x14ac:dyDescent="0.3">
      <c r="A1676" s="84">
        <v>2026</v>
      </c>
      <c r="B1676" s="84" t="s">
        <v>395</v>
      </c>
      <c r="C1676" s="84">
        <v>26</v>
      </c>
      <c r="D1676" s="84">
        <v>25</v>
      </c>
      <c r="E1676" s="85">
        <v>30586.3</v>
      </c>
      <c r="F1676" s="85">
        <v>29207.02</v>
      </c>
      <c r="G1676" s="85">
        <v>-1379.28</v>
      </c>
    </row>
    <row r="1677" spans="1:7" x14ac:dyDescent="0.3">
      <c r="A1677" s="84">
        <v>2026</v>
      </c>
      <c r="B1677" s="84" t="s">
        <v>395</v>
      </c>
      <c r="C1677" s="84">
        <v>26</v>
      </c>
      <c r="D1677" s="84">
        <v>26</v>
      </c>
      <c r="E1677" s="85">
        <v>30586.3</v>
      </c>
      <c r="F1677" s="85">
        <v>30586.3</v>
      </c>
      <c r="G1677" s="85">
        <v>0</v>
      </c>
    </row>
    <row r="1678" spans="1:7" x14ac:dyDescent="0.3">
      <c r="A1678" s="84">
        <v>2026</v>
      </c>
      <c r="B1678" s="84" t="s">
        <v>395</v>
      </c>
      <c r="C1678" s="84">
        <v>26</v>
      </c>
      <c r="D1678" s="84">
        <v>27</v>
      </c>
      <c r="E1678" s="85">
        <v>30586.3</v>
      </c>
      <c r="F1678" s="85">
        <v>32295.56</v>
      </c>
      <c r="G1678" s="85">
        <v>1709.26</v>
      </c>
    </row>
    <row r="1679" spans="1:7" x14ac:dyDescent="0.3">
      <c r="A1679" s="84">
        <v>2026</v>
      </c>
      <c r="B1679" s="84" t="s">
        <v>395</v>
      </c>
      <c r="C1679" s="84">
        <v>26</v>
      </c>
      <c r="D1679" s="84">
        <v>28</v>
      </c>
      <c r="E1679" s="85">
        <v>30586.3</v>
      </c>
      <c r="F1679" s="85">
        <v>32936.06</v>
      </c>
      <c r="G1679" s="85">
        <v>2349.7600000000002</v>
      </c>
    </row>
    <row r="1680" spans="1:7" x14ac:dyDescent="0.3">
      <c r="A1680" s="84">
        <v>2026</v>
      </c>
      <c r="B1680" s="84" t="s">
        <v>395</v>
      </c>
      <c r="C1680" s="84">
        <v>26</v>
      </c>
      <c r="D1680" s="84">
        <v>29</v>
      </c>
      <c r="E1680" s="85">
        <v>30586.3</v>
      </c>
      <c r="F1680" s="85">
        <v>33575.4</v>
      </c>
      <c r="G1680" s="85">
        <v>2989.1</v>
      </c>
    </row>
    <row r="1681" spans="1:7" x14ac:dyDescent="0.3">
      <c r="A1681" s="84">
        <v>2026</v>
      </c>
      <c r="B1681" s="84" t="s">
        <v>395</v>
      </c>
      <c r="C1681" s="84">
        <v>26</v>
      </c>
      <c r="D1681" s="84">
        <v>30</v>
      </c>
      <c r="E1681" s="85">
        <v>30586.3</v>
      </c>
      <c r="F1681" s="85">
        <v>35323.760000000002</v>
      </c>
      <c r="G1681" s="85">
        <v>4737.46</v>
      </c>
    </row>
    <row r="1682" spans="1:7" x14ac:dyDescent="0.3">
      <c r="A1682" s="84">
        <v>2026</v>
      </c>
      <c r="B1682" s="84" t="s">
        <v>395</v>
      </c>
      <c r="C1682" s="84">
        <v>27</v>
      </c>
      <c r="D1682" s="84">
        <v>1</v>
      </c>
      <c r="E1682" s="85">
        <v>32295.56</v>
      </c>
      <c r="F1682" s="85">
        <v>19966.32</v>
      </c>
      <c r="G1682" s="85">
        <v>-12329.24</v>
      </c>
    </row>
    <row r="1683" spans="1:7" x14ac:dyDescent="0.3">
      <c r="A1683" s="84">
        <v>2026</v>
      </c>
      <c r="B1683" s="84" t="s">
        <v>395</v>
      </c>
      <c r="C1683" s="84">
        <v>27</v>
      </c>
      <c r="D1683" s="84">
        <v>2</v>
      </c>
      <c r="E1683" s="85">
        <v>32295.56</v>
      </c>
      <c r="F1683" s="85">
        <v>20260.740000000002</v>
      </c>
      <c r="G1683" s="85">
        <v>-12034.82</v>
      </c>
    </row>
    <row r="1684" spans="1:7" x14ac:dyDescent="0.3">
      <c r="A1684" s="84">
        <v>2026</v>
      </c>
      <c r="B1684" s="84" t="s">
        <v>395</v>
      </c>
      <c r="C1684" s="84">
        <v>27</v>
      </c>
      <c r="D1684" s="84">
        <v>3</v>
      </c>
      <c r="E1684" s="85">
        <v>32295.56</v>
      </c>
      <c r="F1684" s="85">
        <v>20555.72</v>
      </c>
      <c r="G1684" s="85">
        <v>-11739.84</v>
      </c>
    </row>
    <row r="1685" spans="1:7" x14ac:dyDescent="0.3">
      <c r="A1685" s="84">
        <v>2026</v>
      </c>
      <c r="B1685" s="84" t="s">
        <v>395</v>
      </c>
      <c r="C1685" s="84">
        <v>27</v>
      </c>
      <c r="D1685" s="84">
        <v>4</v>
      </c>
      <c r="E1685" s="85">
        <v>32295.56</v>
      </c>
      <c r="F1685" s="85">
        <v>20849.86</v>
      </c>
      <c r="G1685" s="85">
        <v>-11445.7</v>
      </c>
    </row>
    <row r="1686" spans="1:7" x14ac:dyDescent="0.3">
      <c r="A1686" s="84">
        <v>2026</v>
      </c>
      <c r="B1686" s="84" t="s">
        <v>395</v>
      </c>
      <c r="C1686" s="84">
        <v>27</v>
      </c>
      <c r="D1686" s="84">
        <v>5</v>
      </c>
      <c r="E1686" s="85">
        <v>32295.56</v>
      </c>
      <c r="F1686" s="85">
        <v>21144.560000000001</v>
      </c>
      <c r="G1686" s="85">
        <v>-11151</v>
      </c>
    </row>
    <row r="1687" spans="1:7" x14ac:dyDescent="0.3">
      <c r="A1687" s="84">
        <v>2026</v>
      </c>
      <c r="B1687" s="84" t="s">
        <v>395</v>
      </c>
      <c r="C1687" s="84">
        <v>27</v>
      </c>
      <c r="D1687" s="84">
        <v>6</v>
      </c>
      <c r="E1687" s="85">
        <v>32295.56</v>
      </c>
      <c r="F1687" s="85">
        <v>21341.26</v>
      </c>
      <c r="G1687" s="85">
        <v>-10954.3</v>
      </c>
    </row>
    <row r="1688" spans="1:7" x14ac:dyDescent="0.3">
      <c r="A1688" s="84">
        <v>2026</v>
      </c>
      <c r="B1688" s="84" t="s">
        <v>395</v>
      </c>
      <c r="C1688" s="84">
        <v>27</v>
      </c>
      <c r="D1688" s="84">
        <v>7</v>
      </c>
      <c r="E1688" s="85">
        <v>32295.56</v>
      </c>
      <c r="F1688" s="85">
        <v>21537.96</v>
      </c>
      <c r="G1688" s="85">
        <v>-10757.6</v>
      </c>
    </row>
    <row r="1689" spans="1:7" x14ac:dyDescent="0.3">
      <c r="A1689" s="84">
        <v>2026</v>
      </c>
      <c r="B1689" s="84" t="s">
        <v>395</v>
      </c>
      <c r="C1689" s="84">
        <v>27</v>
      </c>
      <c r="D1689" s="84">
        <v>8</v>
      </c>
      <c r="E1689" s="85">
        <v>32295.56</v>
      </c>
      <c r="F1689" s="85">
        <v>21734.240000000002</v>
      </c>
      <c r="G1689" s="85">
        <v>-10561.32</v>
      </c>
    </row>
    <row r="1690" spans="1:7" x14ac:dyDescent="0.3">
      <c r="A1690" s="84">
        <v>2026</v>
      </c>
      <c r="B1690" s="84" t="s">
        <v>395</v>
      </c>
      <c r="C1690" s="84">
        <v>27</v>
      </c>
      <c r="D1690" s="84">
        <v>9</v>
      </c>
      <c r="E1690" s="85">
        <v>32295.56</v>
      </c>
      <c r="F1690" s="85">
        <v>21931.360000000001</v>
      </c>
      <c r="G1690" s="85">
        <v>-10364.200000000001</v>
      </c>
    </row>
    <row r="1691" spans="1:7" x14ac:dyDescent="0.3">
      <c r="A1691" s="84">
        <v>2026</v>
      </c>
      <c r="B1691" s="84" t="s">
        <v>395</v>
      </c>
      <c r="C1691" s="84">
        <v>27</v>
      </c>
      <c r="D1691" s="84">
        <v>10</v>
      </c>
      <c r="E1691" s="85">
        <v>32295.56</v>
      </c>
      <c r="F1691" s="85">
        <v>22127.78</v>
      </c>
      <c r="G1691" s="85">
        <v>-10167.780000000001</v>
      </c>
    </row>
    <row r="1692" spans="1:7" x14ac:dyDescent="0.3">
      <c r="A1692" s="84">
        <v>2026</v>
      </c>
      <c r="B1692" s="84" t="s">
        <v>395</v>
      </c>
      <c r="C1692" s="84">
        <v>27</v>
      </c>
      <c r="D1692" s="84">
        <v>11</v>
      </c>
      <c r="E1692" s="85">
        <v>32295.56</v>
      </c>
      <c r="F1692" s="85">
        <v>22520.34</v>
      </c>
      <c r="G1692" s="85">
        <v>-9775.2199999999993</v>
      </c>
    </row>
    <row r="1693" spans="1:7" x14ac:dyDescent="0.3">
      <c r="A1693" s="84">
        <v>2026</v>
      </c>
      <c r="B1693" s="84" t="s">
        <v>395</v>
      </c>
      <c r="C1693" s="84">
        <v>27</v>
      </c>
      <c r="D1693" s="84">
        <v>12</v>
      </c>
      <c r="E1693" s="85">
        <v>32295.56</v>
      </c>
      <c r="F1693" s="85">
        <v>22913.88</v>
      </c>
      <c r="G1693" s="85">
        <v>-9381.68</v>
      </c>
    </row>
    <row r="1694" spans="1:7" x14ac:dyDescent="0.3">
      <c r="A1694" s="84">
        <v>2026</v>
      </c>
      <c r="B1694" s="84" t="s">
        <v>395</v>
      </c>
      <c r="C1694" s="84">
        <v>27</v>
      </c>
      <c r="D1694" s="84">
        <v>13</v>
      </c>
      <c r="E1694" s="85">
        <v>32295.56</v>
      </c>
      <c r="F1694" s="85">
        <v>23307.14</v>
      </c>
      <c r="G1694" s="85">
        <v>-8988.42</v>
      </c>
    </row>
    <row r="1695" spans="1:7" x14ac:dyDescent="0.3">
      <c r="A1695" s="84">
        <v>2026</v>
      </c>
      <c r="B1695" s="84" t="s">
        <v>395</v>
      </c>
      <c r="C1695" s="84">
        <v>27</v>
      </c>
      <c r="D1695" s="84">
        <v>14</v>
      </c>
      <c r="E1695" s="85">
        <v>32295.56</v>
      </c>
      <c r="F1695" s="85">
        <v>23700.959999999999</v>
      </c>
      <c r="G1695" s="85">
        <v>-8594.6</v>
      </c>
    </row>
    <row r="1696" spans="1:7" x14ac:dyDescent="0.3">
      <c r="A1696" s="84">
        <v>2026</v>
      </c>
      <c r="B1696" s="84" t="s">
        <v>395</v>
      </c>
      <c r="C1696" s="84">
        <v>27</v>
      </c>
      <c r="D1696" s="84">
        <v>15</v>
      </c>
      <c r="E1696" s="85">
        <v>32295.56</v>
      </c>
      <c r="F1696" s="85">
        <v>24093.24</v>
      </c>
      <c r="G1696" s="85">
        <v>-8202.32</v>
      </c>
    </row>
    <row r="1697" spans="1:7" x14ac:dyDescent="0.3">
      <c r="A1697" s="84">
        <v>2026</v>
      </c>
      <c r="B1697" s="84" t="s">
        <v>395</v>
      </c>
      <c r="C1697" s="84">
        <v>27</v>
      </c>
      <c r="D1697" s="84">
        <v>16</v>
      </c>
      <c r="E1697" s="85">
        <v>32295.56</v>
      </c>
      <c r="F1697" s="85">
        <v>24487.200000000001</v>
      </c>
      <c r="G1697" s="85">
        <v>-7808.36</v>
      </c>
    </row>
    <row r="1698" spans="1:7" x14ac:dyDescent="0.3">
      <c r="A1698" s="84">
        <v>2026</v>
      </c>
      <c r="B1698" s="84" t="s">
        <v>395</v>
      </c>
      <c r="C1698" s="84">
        <v>27</v>
      </c>
      <c r="D1698" s="84">
        <v>17</v>
      </c>
      <c r="E1698" s="85">
        <v>32295.56</v>
      </c>
      <c r="F1698" s="85">
        <v>24879.94</v>
      </c>
      <c r="G1698" s="85">
        <v>-7415.62</v>
      </c>
    </row>
    <row r="1699" spans="1:7" x14ac:dyDescent="0.3">
      <c r="A1699" s="84">
        <v>2026</v>
      </c>
      <c r="B1699" s="84" t="s">
        <v>395</v>
      </c>
      <c r="C1699" s="84">
        <v>27</v>
      </c>
      <c r="D1699" s="84">
        <v>18</v>
      </c>
      <c r="E1699" s="85">
        <v>32295.56</v>
      </c>
      <c r="F1699" s="85">
        <v>25273.02</v>
      </c>
      <c r="G1699" s="85">
        <v>-7022.54</v>
      </c>
    </row>
    <row r="1700" spans="1:7" x14ac:dyDescent="0.3">
      <c r="A1700" s="84">
        <v>2026</v>
      </c>
      <c r="B1700" s="84" t="s">
        <v>395</v>
      </c>
      <c r="C1700" s="84">
        <v>27</v>
      </c>
      <c r="D1700" s="84">
        <v>19</v>
      </c>
      <c r="E1700" s="85">
        <v>32295.56</v>
      </c>
      <c r="F1700" s="85">
        <v>25666.14</v>
      </c>
      <c r="G1700" s="85">
        <v>-6629.42</v>
      </c>
    </row>
    <row r="1701" spans="1:7" x14ac:dyDescent="0.3">
      <c r="A1701" s="84">
        <v>2026</v>
      </c>
      <c r="B1701" s="84" t="s">
        <v>395</v>
      </c>
      <c r="C1701" s="84">
        <v>27</v>
      </c>
      <c r="D1701" s="84">
        <v>20</v>
      </c>
      <c r="E1701" s="85">
        <v>32295.56</v>
      </c>
      <c r="F1701" s="85">
        <v>26059.119999999999</v>
      </c>
      <c r="G1701" s="85">
        <v>-6236.44</v>
      </c>
    </row>
    <row r="1702" spans="1:7" x14ac:dyDescent="0.3">
      <c r="A1702" s="84">
        <v>2026</v>
      </c>
      <c r="B1702" s="84" t="s">
        <v>395</v>
      </c>
      <c r="C1702" s="84">
        <v>27</v>
      </c>
      <c r="D1702" s="84">
        <v>21</v>
      </c>
      <c r="E1702" s="85">
        <v>32295.56</v>
      </c>
      <c r="F1702" s="85">
        <v>26648.52</v>
      </c>
      <c r="G1702" s="85">
        <v>-5647.04</v>
      </c>
    </row>
    <row r="1703" spans="1:7" x14ac:dyDescent="0.3">
      <c r="A1703" s="84">
        <v>2026</v>
      </c>
      <c r="B1703" s="84" t="s">
        <v>395</v>
      </c>
      <c r="C1703" s="84">
        <v>27</v>
      </c>
      <c r="D1703" s="84">
        <v>22</v>
      </c>
      <c r="E1703" s="85">
        <v>32295.56</v>
      </c>
      <c r="F1703" s="85">
        <v>27287.200000000001</v>
      </c>
      <c r="G1703" s="85">
        <v>-5008.3599999999997</v>
      </c>
    </row>
    <row r="1704" spans="1:7" x14ac:dyDescent="0.3">
      <c r="A1704" s="84">
        <v>2026</v>
      </c>
      <c r="B1704" s="84" t="s">
        <v>395</v>
      </c>
      <c r="C1704" s="84">
        <v>27</v>
      </c>
      <c r="D1704" s="84">
        <v>23</v>
      </c>
      <c r="E1704" s="85">
        <v>32295.56</v>
      </c>
      <c r="F1704" s="85">
        <v>27927.7</v>
      </c>
      <c r="G1704" s="85">
        <v>-4367.8599999999997</v>
      </c>
    </row>
    <row r="1705" spans="1:7" x14ac:dyDescent="0.3">
      <c r="A1705" s="84">
        <v>2026</v>
      </c>
      <c r="B1705" s="84" t="s">
        <v>395</v>
      </c>
      <c r="C1705" s="84">
        <v>27</v>
      </c>
      <c r="D1705" s="84">
        <v>24</v>
      </c>
      <c r="E1705" s="85">
        <v>32295.56</v>
      </c>
      <c r="F1705" s="85">
        <v>28566.94</v>
      </c>
      <c r="G1705" s="85">
        <v>-3728.62</v>
      </c>
    </row>
    <row r="1706" spans="1:7" x14ac:dyDescent="0.3">
      <c r="A1706" s="84">
        <v>2026</v>
      </c>
      <c r="B1706" s="84" t="s">
        <v>395</v>
      </c>
      <c r="C1706" s="84">
        <v>27</v>
      </c>
      <c r="D1706" s="84">
        <v>25</v>
      </c>
      <c r="E1706" s="85">
        <v>32295.56</v>
      </c>
      <c r="F1706" s="85">
        <v>29207.02</v>
      </c>
      <c r="G1706" s="85">
        <v>-3088.54</v>
      </c>
    </row>
    <row r="1707" spans="1:7" x14ac:dyDescent="0.3">
      <c r="A1707" s="84">
        <v>2026</v>
      </c>
      <c r="B1707" s="84" t="s">
        <v>395</v>
      </c>
      <c r="C1707" s="84">
        <v>27</v>
      </c>
      <c r="D1707" s="84">
        <v>26</v>
      </c>
      <c r="E1707" s="85">
        <v>32295.56</v>
      </c>
      <c r="F1707" s="85">
        <v>30586.3</v>
      </c>
      <c r="G1707" s="85">
        <v>-1709.26</v>
      </c>
    </row>
    <row r="1708" spans="1:7" x14ac:dyDescent="0.3">
      <c r="A1708" s="84">
        <v>2026</v>
      </c>
      <c r="B1708" s="84" t="s">
        <v>395</v>
      </c>
      <c r="C1708" s="84">
        <v>27</v>
      </c>
      <c r="D1708" s="84">
        <v>27</v>
      </c>
      <c r="E1708" s="85">
        <v>32295.56</v>
      </c>
      <c r="F1708" s="85">
        <v>32295.56</v>
      </c>
      <c r="G1708" s="85">
        <v>0</v>
      </c>
    </row>
    <row r="1709" spans="1:7" x14ac:dyDescent="0.3">
      <c r="A1709" s="84">
        <v>2026</v>
      </c>
      <c r="B1709" s="84" t="s">
        <v>395</v>
      </c>
      <c r="C1709" s="84">
        <v>27</v>
      </c>
      <c r="D1709" s="84">
        <v>28</v>
      </c>
      <c r="E1709" s="85">
        <v>32295.56</v>
      </c>
      <c r="F1709" s="85">
        <v>32936.06</v>
      </c>
      <c r="G1709" s="85">
        <v>640.5</v>
      </c>
    </row>
    <row r="1710" spans="1:7" x14ac:dyDescent="0.3">
      <c r="A1710" s="84">
        <v>2026</v>
      </c>
      <c r="B1710" s="84" t="s">
        <v>395</v>
      </c>
      <c r="C1710" s="84">
        <v>27</v>
      </c>
      <c r="D1710" s="84">
        <v>29</v>
      </c>
      <c r="E1710" s="85">
        <v>32295.56</v>
      </c>
      <c r="F1710" s="85">
        <v>33575.4</v>
      </c>
      <c r="G1710" s="85">
        <v>1279.8399999999999</v>
      </c>
    </row>
    <row r="1711" spans="1:7" x14ac:dyDescent="0.3">
      <c r="A1711" s="84">
        <v>2026</v>
      </c>
      <c r="B1711" s="84" t="s">
        <v>395</v>
      </c>
      <c r="C1711" s="84">
        <v>27</v>
      </c>
      <c r="D1711" s="84">
        <v>30</v>
      </c>
      <c r="E1711" s="85">
        <v>32295.56</v>
      </c>
      <c r="F1711" s="85">
        <v>35323.760000000002</v>
      </c>
      <c r="G1711" s="85">
        <v>3028.2</v>
      </c>
    </row>
    <row r="1712" spans="1:7" x14ac:dyDescent="0.3">
      <c r="A1712" s="84">
        <v>2026</v>
      </c>
      <c r="B1712" s="84" t="s">
        <v>395</v>
      </c>
      <c r="C1712" s="84">
        <v>28</v>
      </c>
      <c r="D1712" s="84">
        <v>1</v>
      </c>
      <c r="E1712" s="85">
        <v>32936.06</v>
      </c>
      <c r="F1712" s="85">
        <v>19966.32</v>
      </c>
      <c r="G1712" s="85">
        <v>-12969.74</v>
      </c>
    </row>
    <row r="1713" spans="1:7" x14ac:dyDescent="0.3">
      <c r="A1713" s="84">
        <v>2026</v>
      </c>
      <c r="B1713" s="84" t="s">
        <v>395</v>
      </c>
      <c r="C1713" s="84">
        <v>28</v>
      </c>
      <c r="D1713" s="84">
        <v>2</v>
      </c>
      <c r="E1713" s="85">
        <v>32936.06</v>
      </c>
      <c r="F1713" s="85">
        <v>20260.740000000002</v>
      </c>
      <c r="G1713" s="85">
        <v>-12675.32</v>
      </c>
    </row>
    <row r="1714" spans="1:7" x14ac:dyDescent="0.3">
      <c r="A1714" s="84">
        <v>2026</v>
      </c>
      <c r="B1714" s="84" t="s">
        <v>395</v>
      </c>
      <c r="C1714" s="84">
        <v>28</v>
      </c>
      <c r="D1714" s="84">
        <v>3</v>
      </c>
      <c r="E1714" s="85">
        <v>32936.06</v>
      </c>
      <c r="F1714" s="85">
        <v>20555.72</v>
      </c>
      <c r="G1714" s="85">
        <v>-12380.34</v>
      </c>
    </row>
    <row r="1715" spans="1:7" x14ac:dyDescent="0.3">
      <c r="A1715" s="84">
        <v>2026</v>
      </c>
      <c r="B1715" s="84" t="s">
        <v>395</v>
      </c>
      <c r="C1715" s="84">
        <v>28</v>
      </c>
      <c r="D1715" s="84">
        <v>4</v>
      </c>
      <c r="E1715" s="85">
        <v>32936.06</v>
      </c>
      <c r="F1715" s="85">
        <v>20849.86</v>
      </c>
      <c r="G1715" s="85">
        <v>-12086.2</v>
      </c>
    </row>
    <row r="1716" spans="1:7" x14ac:dyDescent="0.3">
      <c r="A1716" s="84">
        <v>2026</v>
      </c>
      <c r="B1716" s="84" t="s">
        <v>395</v>
      </c>
      <c r="C1716" s="84">
        <v>28</v>
      </c>
      <c r="D1716" s="84">
        <v>5</v>
      </c>
      <c r="E1716" s="85">
        <v>32936.06</v>
      </c>
      <c r="F1716" s="85">
        <v>21144.560000000001</v>
      </c>
      <c r="G1716" s="85">
        <v>-11791.5</v>
      </c>
    </row>
    <row r="1717" spans="1:7" x14ac:dyDescent="0.3">
      <c r="A1717" s="84">
        <v>2026</v>
      </c>
      <c r="B1717" s="84" t="s">
        <v>395</v>
      </c>
      <c r="C1717" s="84">
        <v>28</v>
      </c>
      <c r="D1717" s="84">
        <v>6</v>
      </c>
      <c r="E1717" s="85">
        <v>32936.06</v>
      </c>
      <c r="F1717" s="85">
        <v>21341.26</v>
      </c>
      <c r="G1717" s="85">
        <v>-11594.8</v>
      </c>
    </row>
    <row r="1718" spans="1:7" x14ac:dyDescent="0.3">
      <c r="A1718" s="84">
        <v>2026</v>
      </c>
      <c r="B1718" s="84" t="s">
        <v>395</v>
      </c>
      <c r="C1718" s="84">
        <v>28</v>
      </c>
      <c r="D1718" s="84">
        <v>7</v>
      </c>
      <c r="E1718" s="85">
        <v>32936.06</v>
      </c>
      <c r="F1718" s="85">
        <v>21537.96</v>
      </c>
      <c r="G1718" s="85">
        <v>-11398.1</v>
      </c>
    </row>
    <row r="1719" spans="1:7" x14ac:dyDescent="0.3">
      <c r="A1719" s="84">
        <v>2026</v>
      </c>
      <c r="B1719" s="84" t="s">
        <v>395</v>
      </c>
      <c r="C1719" s="84">
        <v>28</v>
      </c>
      <c r="D1719" s="84">
        <v>8</v>
      </c>
      <c r="E1719" s="85">
        <v>32936.06</v>
      </c>
      <c r="F1719" s="85">
        <v>21734.240000000002</v>
      </c>
      <c r="G1719" s="85">
        <v>-11201.82</v>
      </c>
    </row>
    <row r="1720" spans="1:7" x14ac:dyDescent="0.3">
      <c r="A1720" s="84">
        <v>2026</v>
      </c>
      <c r="B1720" s="84" t="s">
        <v>395</v>
      </c>
      <c r="C1720" s="84">
        <v>28</v>
      </c>
      <c r="D1720" s="84">
        <v>9</v>
      </c>
      <c r="E1720" s="85">
        <v>32936.06</v>
      </c>
      <c r="F1720" s="85">
        <v>21931.360000000001</v>
      </c>
      <c r="G1720" s="85">
        <v>-11004.7</v>
      </c>
    </row>
    <row r="1721" spans="1:7" x14ac:dyDescent="0.3">
      <c r="A1721" s="84">
        <v>2026</v>
      </c>
      <c r="B1721" s="84" t="s">
        <v>395</v>
      </c>
      <c r="C1721" s="84">
        <v>28</v>
      </c>
      <c r="D1721" s="84">
        <v>10</v>
      </c>
      <c r="E1721" s="85">
        <v>32936.06</v>
      </c>
      <c r="F1721" s="85">
        <v>22127.78</v>
      </c>
      <c r="G1721" s="85">
        <v>-10808.28</v>
      </c>
    </row>
    <row r="1722" spans="1:7" x14ac:dyDescent="0.3">
      <c r="A1722" s="84">
        <v>2026</v>
      </c>
      <c r="B1722" s="84" t="s">
        <v>395</v>
      </c>
      <c r="C1722" s="84">
        <v>28</v>
      </c>
      <c r="D1722" s="84">
        <v>11</v>
      </c>
      <c r="E1722" s="85">
        <v>32936.06</v>
      </c>
      <c r="F1722" s="85">
        <v>22520.34</v>
      </c>
      <c r="G1722" s="85">
        <v>-10415.719999999999</v>
      </c>
    </row>
    <row r="1723" spans="1:7" x14ac:dyDescent="0.3">
      <c r="A1723" s="84">
        <v>2026</v>
      </c>
      <c r="B1723" s="84" t="s">
        <v>395</v>
      </c>
      <c r="C1723" s="84">
        <v>28</v>
      </c>
      <c r="D1723" s="84">
        <v>12</v>
      </c>
      <c r="E1723" s="85">
        <v>32936.06</v>
      </c>
      <c r="F1723" s="85">
        <v>22913.88</v>
      </c>
      <c r="G1723" s="85">
        <v>-10022.18</v>
      </c>
    </row>
    <row r="1724" spans="1:7" x14ac:dyDescent="0.3">
      <c r="A1724" s="84">
        <v>2026</v>
      </c>
      <c r="B1724" s="84" t="s">
        <v>395</v>
      </c>
      <c r="C1724" s="84">
        <v>28</v>
      </c>
      <c r="D1724" s="84">
        <v>13</v>
      </c>
      <c r="E1724" s="85">
        <v>32936.06</v>
      </c>
      <c r="F1724" s="85">
        <v>23307.14</v>
      </c>
      <c r="G1724" s="85">
        <v>-9628.92</v>
      </c>
    </row>
    <row r="1725" spans="1:7" x14ac:dyDescent="0.3">
      <c r="A1725" s="84">
        <v>2026</v>
      </c>
      <c r="B1725" s="84" t="s">
        <v>395</v>
      </c>
      <c r="C1725" s="84">
        <v>28</v>
      </c>
      <c r="D1725" s="84">
        <v>14</v>
      </c>
      <c r="E1725" s="85">
        <v>32936.06</v>
      </c>
      <c r="F1725" s="85">
        <v>23700.959999999999</v>
      </c>
      <c r="G1725" s="85">
        <v>-9235.1</v>
      </c>
    </row>
    <row r="1726" spans="1:7" x14ac:dyDescent="0.3">
      <c r="A1726" s="84">
        <v>2026</v>
      </c>
      <c r="B1726" s="84" t="s">
        <v>395</v>
      </c>
      <c r="C1726" s="84">
        <v>28</v>
      </c>
      <c r="D1726" s="84">
        <v>15</v>
      </c>
      <c r="E1726" s="85">
        <v>32936.06</v>
      </c>
      <c r="F1726" s="85">
        <v>24093.24</v>
      </c>
      <c r="G1726" s="85">
        <v>-8842.82</v>
      </c>
    </row>
    <row r="1727" spans="1:7" x14ac:dyDescent="0.3">
      <c r="A1727" s="84">
        <v>2026</v>
      </c>
      <c r="B1727" s="84" t="s">
        <v>395</v>
      </c>
      <c r="C1727" s="84">
        <v>28</v>
      </c>
      <c r="D1727" s="84">
        <v>16</v>
      </c>
      <c r="E1727" s="85">
        <v>32936.06</v>
      </c>
      <c r="F1727" s="85">
        <v>24487.200000000001</v>
      </c>
      <c r="G1727" s="85">
        <v>-8448.86</v>
      </c>
    </row>
    <row r="1728" spans="1:7" x14ac:dyDescent="0.3">
      <c r="A1728" s="84">
        <v>2026</v>
      </c>
      <c r="B1728" s="84" t="s">
        <v>395</v>
      </c>
      <c r="C1728" s="84">
        <v>28</v>
      </c>
      <c r="D1728" s="84">
        <v>17</v>
      </c>
      <c r="E1728" s="85">
        <v>32936.06</v>
      </c>
      <c r="F1728" s="85">
        <v>24879.94</v>
      </c>
      <c r="G1728" s="85">
        <v>-8056.12</v>
      </c>
    </row>
    <row r="1729" spans="1:7" x14ac:dyDescent="0.3">
      <c r="A1729" s="84">
        <v>2026</v>
      </c>
      <c r="B1729" s="84" t="s">
        <v>395</v>
      </c>
      <c r="C1729" s="84">
        <v>28</v>
      </c>
      <c r="D1729" s="84">
        <v>18</v>
      </c>
      <c r="E1729" s="85">
        <v>32936.06</v>
      </c>
      <c r="F1729" s="85">
        <v>25273.02</v>
      </c>
      <c r="G1729" s="85">
        <v>-7663.04</v>
      </c>
    </row>
    <row r="1730" spans="1:7" x14ac:dyDescent="0.3">
      <c r="A1730" s="84">
        <v>2026</v>
      </c>
      <c r="B1730" s="84" t="s">
        <v>395</v>
      </c>
      <c r="C1730" s="84">
        <v>28</v>
      </c>
      <c r="D1730" s="84">
        <v>19</v>
      </c>
      <c r="E1730" s="85">
        <v>32936.06</v>
      </c>
      <c r="F1730" s="85">
        <v>25666.14</v>
      </c>
      <c r="G1730" s="85">
        <v>-7269.92</v>
      </c>
    </row>
    <row r="1731" spans="1:7" x14ac:dyDescent="0.3">
      <c r="A1731" s="84">
        <v>2026</v>
      </c>
      <c r="B1731" s="84" t="s">
        <v>395</v>
      </c>
      <c r="C1731" s="84">
        <v>28</v>
      </c>
      <c r="D1731" s="84">
        <v>20</v>
      </c>
      <c r="E1731" s="85">
        <v>32936.06</v>
      </c>
      <c r="F1731" s="85">
        <v>26059.119999999999</v>
      </c>
      <c r="G1731" s="85">
        <v>-6876.94</v>
      </c>
    </row>
    <row r="1732" spans="1:7" x14ac:dyDescent="0.3">
      <c r="A1732" s="84">
        <v>2026</v>
      </c>
      <c r="B1732" s="84" t="s">
        <v>395</v>
      </c>
      <c r="C1732" s="84">
        <v>28</v>
      </c>
      <c r="D1732" s="84">
        <v>21</v>
      </c>
      <c r="E1732" s="85">
        <v>32936.06</v>
      </c>
      <c r="F1732" s="85">
        <v>26648.52</v>
      </c>
      <c r="G1732" s="85">
        <v>-6287.54</v>
      </c>
    </row>
    <row r="1733" spans="1:7" x14ac:dyDescent="0.3">
      <c r="A1733" s="84">
        <v>2026</v>
      </c>
      <c r="B1733" s="84" t="s">
        <v>395</v>
      </c>
      <c r="C1733" s="84">
        <v>28</v>
      </c>
      <c r="D1733" s="84">
        <v>22</v>
      </c>
      <c r="E1733" s="85">
        <v>32936.06</v>
      </c>
      <c r="F1733" s="85">
        <v>27287.200000000001</v>
      </c>
      <c r="G1733" s="85">
        <v>-5648.86</v>
      </c>
    </row>
    <row r="1734" spans="1:7" x14ac:dyDescent="0.3">
      <c r="A1734" s="84">
        <v>2026</v>
      </c>
      <c r="B1734" s="84" t="s">
        <v>395</v>
      </c>
      <c r="C1734" s="84">
        <v>28</v>
      </c>
      <c r="D1734" s="84">
        <v>23</v>
      </c>
      <c r="E1734" s="85">
        <v>32936.06</v>
      </c>
      <c r="F1734" s="85">
        <v>27927.7</v>
      </c>
      <c r="G1734" s="85">
        <v>-5008.3599999999997</v>
      </c>
    </row>
    <row r="1735" spans="1:7" x14ac:dyDescent="0.3">
      <c r="A1735" s="84">
        <v>2026</v>
      </c>
      <c r="B1735" s="84" t="s">
        <v>395</v>
      </c>
      <c r="C1735" s="84">
        <v>28</v>
      </c>
      <c r="D1735" s="84">
        <v>24</v>
      </c>
      <c r="E1735" s="85">
        <v>32936.06</v>
      </c>
      <c r="F1735" s="85">
        <v>28566.94</v>
      </c>
      <c r="G1735" s="85">
        <v>-4369.12</v>
      </c>
    </row>
    <row r="1736" spans="1:7" x14ac:dyDescent="0.3">
      <c r="A1736" s="84">
        <v>2026</v>
      </c>
      <c r="B1736" s="84" t="s">
        <v>395</v>
      </c>
      <c r="C1736" s="84">
        <v>28</v>
      </c>
      <c r="D1736" s="84">
        <v>25</v>
      </c>
      <c r="E1736" s="85">
        <v>32936.06</v>
      </c>
      <c r="F1736" s="85">
        <v>29207.02</v>
      </c>
      <c r="G1736" s="85">
        <v>-3729.04</v>
      </c>
    </row>
    <row r="1737" spans="1:7" x14ac:dyDescent="0.3">
      <c r="A1737" s="84">
        <v>2026</v>
      </c>
      <c r="B1737" s="84" t="s">
        <v>395</v>
      </c>
      <c r="C1737" s="84">
        <v>28</v>
      </c>
      <c r="D1737" s="84">
        <v>26</v>
      </c>
      <c r="E1737" s="85">
        <v>32936.06</v>
      </c>
      <c r="F1737" s="85">
        <v>30586.3</v>
      </c>
      <c r="G1737" s="85">
        <v>-2349.7600000000002</v>
      </c>
    </row>
    <row r="1738" spans="1:7" x14ac:dyDescent="0.3">
      <c r="A1738" s="84">
        <v>2026</v>
      </c>
      <c r="B1738" s="84" t="s">
        <v>395</v>
      </c>
      <c r="C1738" s="84">
        <v>28</v>
      </c>
      <c r="D1738" s="84">
        <v>27</v>
      </c>
      <c r="E1738" s="85">
        <v>32936.06</v>
      </c>
      <c r="F1738" s="85">
        <v>32295.56</v>
      </c>
      <c r="G1738" s="85">
        <v>-640.5</v>
      </c>
    </row>
    <row r="1739" spans="1:7" x14ac:dyDescent="0.3">
      <c r="A1739" s="84">
        <v>2026</v>
      </c>
      <c r="B1739" s="84" t="s">
        <v>395</v>
      </c>
      <c r="C1739" s="84">
        <v>28</v>
      </c>
      <c r="D1739" s="84">
        <v>28</v>
      </c>
      <c r="E1739" s="85">
        <v>32936.06</v>
      </c>
      <c r="F1739" s="85">
        <v>32936.06</v>
      </c>
      <c r="G1739" s="85">
        <v>0</v>
      </c>
    </row>
    <row r="1740" spans="1:7" x14ac:dyDescent="0.3">
      <c r="A1740" s="84">
        <v>2026</v>
      </c>
      <c r="B1740" s="84" t="s">
        <v>395</v>
      </c>
      <c r="C1740" s="84">
        <v>28</v>
      </c>
      <c r="D1740" s="84">
        <v>29</v>
      </c>
      <c r="E1740" s="85">
        <v>32936.06</v>
      </c>
      <c r="F1740" s="85">
        <v>33575.4</v>
      </c>
      <c r="G1740" s="85">
        <v>639.34</v>
      </c>
    </row>
    <row r="1741" spans="1:7" x14ac:dyDescent="0.3">
      <c r="A1741" s="84">
        <v>2026</v>
      </c>
      <c r="B1741" s="84" t="s">
        <v>395</v>
      </c>
      <c r="C1741" s="84">
        <v>28</v>
      </c>
      <c r="D1741" s="84">
        <v>30</v>
      </c>
      <c r="E1741" s="85">
        <v>32936.06</v>
      </c>
      <c r="F1741" s="85">
        <v>35323.760000000002</v>
      </c>
      <c r="G1741" s="85">
        <v>2387.6999999999998</v>
      </c>
    </row>
    <row r="1742" spans="1:7" x14ac:dyDescent="0.3">
      <c r="A1742" s="84">
        <v>2026</v>
      </c>
      <c r="B1742" s="84" t="s">
        <v>395</v>
      </c>
      <c r="C1742" s="84">
        <v>29</v>
      </c>
      <c r="D1742" s="84">
        <v>1</v>
      </c>
      <c r="E1742" s="85">
        <v>33575.4</v>
      </c>
      <c r="F1742" s="85">
        <v>19966.32</v>
      </c>
      <c r="G1742" s="85">
        <v>-13609.08</v>
      </c>
    </row>
    <row r="1743" spans="1:7" x14ac:dyDescent="0.3">
      <c r="A1743" s="84">
        <v>2026</v>
      </c>
      <c r="B1743" s="84" t="s">
        <v>395</v>
      </c>
      <c r="C1743" s="84">
        <v>29</v>
      </c>
      <c r="D1743" s="84">
        <v>2</v>
      </c>
      <c r="E1743" s="85">
        <v>33575.4</v>
      </c>
      <c r="F1743" s="85">
        <v>20260.740000000002</v>
      </c>
      <c r="G1743" s="85">
        <v>-13314.66</v>
      </c>
    </row>
    <row r="1744" spans="1:7" x14ac:dyDescent="0.3">
      <c r="A1744" s="84">
        <v>2026</v>
      </c>
      <c r="B1744" s="84" t="s">
        <v>395</v>
      </c>
      <c r="C1744" s="84">
        <v>29</v>
      </c>
      <c r="D1744" s="84">
        <v>3</v>
      </c>
      <c r="E1744" s="85">
        <v>33575.4</v>
      </c>
      <c r="F1744" s="85">
        <v>20555.72</v>
      </c>
      <c r="G1744" s="85">
        <v>-13019.68</v>
      </c>
    </row>
    <row r="1745" spans="1:7" x14ac:dyDescent="0.3">
      <c r="A1745" s="84">
        <v>2026</v>
      </c>
      <c r="B1745" s="84" t="s">
        <v>395</v>
      </c>
      <c r="C1745" s="84">
        <v>29</v>
      </c>
      <c r="D1745" s="84">
        <v>4</v>
      </c>
      <c r="E1745" s="85">
        <v>33575.4</v>
      </c>
      <c r="F1745" s="85">
        <v>20849.86</v>
      </c>
      <c r="G1745" s="85">
        <v>-12725.54</v>
      </c>
    </row>
    <row r="1746" spans="1:7" x14ac:dyDescent="0.3">
      <c r="A1746" s="84">
        <v>2026</v>
      </c>
      <c r="B1746" s="84" t="s">
        <v>395</v>
      </c>
      <c r="C1746" s="84">
        <v>29</v>
      </c>
      <c r="D1746" s="84">
        <v>5</v>
      </c>
      <c r="E1746" s="85">
        <v>33575.4</v>
      </c>
      <c r="F1746" s="85">
        <v>21144.560000000001</v>
      </c>
      <c r="G1746" s="85">
        <v>-12430.84</v>
      </c>
    </row>
    <row r="1747" spans="1:7" x14ac:dyDescent="0.3">
      <c r="A1747" s="84">
        <v>2026</v>
      </c>
      <c r="B1747" s="84" t="s">
        <v>395</v>
      </c>
      <c r="C1747" s="84">
        <v>29</v>
      </c>
      <c r="D1747" s="84">
        <v>6</v>
      </c>
      <c r="E1747" s="85">
        <v>33575.4</v>
      </c>
      <c r="F1747" s="85">
        <v>21341.26</v>
      </c>
      <c r="G1747" s="85">
        <v>-12234.14</v>
      </c>
    </row>
    <row r="1748" spans="1:7" x14ac:dyDescent="0.3">
      <c r="A1748" s="84">
        <v>2026</v>
      </c>
      <c r="B1748" s="84" t="s">
        <v>395</v>
      </c>
      <c r="C1748" s="84">
        <v>29</v>
      </c>
      <c r="D1748" s="84">
        <v>7</v>
      </c>
      <c r="E1748" s="85">
        <v>33575.4</v>
      </c>
      <c r="F1748" s="85">
        <v>21537.96</v>
      </c>
      <c r="G1748" s="85">
        <v>-12037.44</v>
      </c>
    </row>
    <row r="1749" spans="1:7" x14ac:dyDescent="0.3">
      <c r="A1749" s="84">
        <v>2026</v>
      </c>
      <c r="B1749" s="84" t="s">
        <v>395</v>
      </c>
      <c r="C1749" s="84">
        <v>29</v>
      </c>
      <c r="D1749" s="84">
        <v>8</v>
      </c>
      <c r="E1749" s="85">
        <v>33575.4</v>
      </c>
      <c r="F1749" s="85">
        <v>21734.240000000002</v>
      </c>
      <c r="G1749" s="85">
        <v>-11841.16</v>
      </c>
    </row>
    <row r="1750" spans="1:7" x14ac:dyDescent="0.3">
      <c r="A1750" s="84">
        <v>2026</v>
      </c>
      <c r="B1750" s="84" t="s">
        <v>395</v>
      </c>
      <c r="C1750" s="84">
        <v>29</v>
      </c>
      <c r="D1750" s="84">
        <v>9</v>
      </c>
      <c r="E1750" s="85">
        <v>33575.4</v>
      </c>
      <c r="F1750" s="85">
        <v>21931.360000000001</v>
      </c>
      <c r="G1750" s="85">
        <v>-11644.04</v>
      </c>
    </row>
    <row r="1751" spans="1:7" x14ac:dyDescent="0.3">
      <c r="A1751" s="84">
        <v>2026</v>
      </c>
      <c r="B1751" s="84" t="s">
        <v>395</v>
      </c>
      <c r="C1751" s="84">
        <v>29</v>
      </c>
      <c r="D1751" s="84">
        <v>10</v>
      </c>
      <c r="E1751" s="85">
        <v>33575.4</v>
      </c>
      <c r="F1751" s="85">
        <v>22127.78</v>
      </c>
      <c r="G1751" s="85">
        <v>-11447.62</v>
      </c>
    </row>
    <row r="1752" spans="1:7" x14ac:dyDescent="0.3">
      <c r="A1752" s="84">
        <v>2026</v>
      </c>
      <c r="B1752" s="84" t="s">
        <v>395</v>
      </c>
      <c r="C1752" s="84">
        <v>29</v>
      </c>
      <c r="D1752" s="84">
        <v>11</v>
      </c>
      <c r="E1752" s="85">
        <v>33575.4</v>
      </c>
      <c r="F1752" s="85">
        <v>22520.34</v>
      </c>
      <c r="G1752" s="85">
        <v>-11055.06</v>
      </c>
    </row>
    <row r="1753" spans="1:7" x14ac:dyDescent="0.3">
      <c r="A1753" s="84">
        <v>2026</v>
      </c>
      <c r="B1753" s="84" t="s">
        <v>395</v>
      </c>
      <c r="C1753" s="84">
        <v>29</v>
      </c>
      <c r="D1753" s="84">
        <v>12</v>
      </c>
      <c r="E1753" s="85">
        <v>33575.4</v>
      </c>
      <c r="F1753" s="85">
        <v>22913.88</v>
      </c>
      <c r="G1753" s="85">
        <v>-10661.52</v>
      </c>
    </row>
    <row r="1754" spans="1:7" x14ac:dyDescent="0.3">
      <c r="A1754" s="84">
        <v>2026</v>
      </c>
      <c r="B1754" s="84" t="s">
        <v>395</v>
      </c>
      <c r="C1754" s="84">
        <v>29</v>
      </c>
      <c r="D1754" s="84">
        <v>13</v>
      </c>
      <c r="E1754" s="85">
        <v>33575.4</v>
      </c>
      <c r="F1754" s="85">
        <v>23307.14</v>
      </c>
      <c r="G1754" s="85">
        <v>-10268.26</v>
      </c>
    </row>
    <row r="1755" spans="1:7" x14ac:dyDescent="0.3">
      <c r="A1755" s="84">
        <v>2026</v>
      </c>
      <c r="B1755" s="84" t="s">
        <v>395</v>
      </c>
      <c r="C1755" s="84">
        <v>29</v>
      </c>
      <c r="D1755" s="84">
        <v>14</v>
      </c>
      <c r="E1755" s="85">
        <v>33575.4</v>
      </c>
      <c r="F1755" s="85">
        <v>23700.959999999999</v>
      </c>
      <c r="G1755" s="85">
        <v>-9874.44</v>
      </c>
    </row>
    <row r="1756" spans="1:7" x14ac:dyDescent="0.3">
      <c r="A1756" s="84">
        <v>2026</v>
      </c>
      <c r="B1756" s="84" t="s">
        <v>395</v>
      </c>
      <c r="C1756" s="84">
        <v>29</v>
      </c>
      <c r="D1756" s="84">
        <v>15</v>
      </c>
      <c r="E1756" s="85">
        <v>33575.4</v>
      </c>
      <c r="F1756" s="85">
        <v>24093.24</v>
      </c>
      <c r="G1756" s="85">
        <v>-9482.16</v>
      </c>
    </row>
    <row r="1757" spans="1:7" x14ac:dyDescent="0.3">
      <c r="A1757" s="84">
        <v>2026</v>
      </c>
      <c r="B1757" s="84" t="s">
        <v>395</v>
      </c>
      <c r="C1757" s="84">
        <v>29</v>
      </c>
      <c r="D1757" s="84">
        <v>16</v>
      </c>
      <c r="E1757" s="85">
        <v>33575.4</v>
      </c>
      <c r="F1757" s="85">
        <v>24487.200000000001</v>
      </c>
      <c r="G1757" s="85">
        <v>-9088.2000000000007</v>
      </c>
    </row>
    <row r="1758" spans="1:7" x14ac:dyDescent="0.3">
      <c r="A1758" s="84">
        <v>2026</v>
      </c>
      <c r="B1758" s="84" t="s">
        <v>395</v>
      </c>
      <c r="C1758" s="84">
        <v>29</v>
      </c>
      <c r="D1758" s="84">
        <v>17</v>
      </c>
      <c r="E1758" s="85">
        <v>33575.4</v>
      </c>
      <c r="F1758" s="85">
        <v>24879.94</v>
      </c>
      <c r="G1758" s="85">
        <v>-8695.4599999999991</v>
      </c>
    </row>
    <row r="1759" spans="1:7" x14ac:dyDescent="0.3">
      <c r="A1759" s="84">
        <v>2026</v>
      </c>
      <c r="B1759" s="84" t="s">
        <v>395</v>
      </c>
      <c r="C1759" s="84">
        <v>29</v>
      </c>
      <c r="D1759" s="84">
        <v>18</v>
      </c>
      <c r="E1759" s="85">
        <v>33575.4</v>
      </c>
      <c r="F1759" s="85">
        <v>25273.02</v>
      </c>
      <c r="G1759" s="85">
        <v>-8302.3799999999992</v>
      </c>
    </row>
    <row r="1760" spans="1:7" x14ac:dyDescent="0.3">
      <c r="A1760" s="84">
        <v>2026</v>
      </c>
      <c r="B1760" s="84" t="s">
        <v>395</v>
      </c>
      <c r="C1760" s="84">
        <v>29</v>
      </c>
      <c r="D1760" s="84">
        <v>19</v>
      </c>
      <c r="E1760" s="85">
        <v>33575.4</v>
      </c>
      <c r="F1760" s="85">
        <v>25666.14</v>
      </c>
      <c r="G1760" s="85">
        <v>-7909.26</v>
      </c>
    </row>
    <row r="1761" spans="1:7" x14ac:dyDescent="0.3">
      <c r="A1761" s="84">
        <v>2026</v>
      </c>
      <c r="B1761" s="84" t="s">
        <v>395</v>
      </c>
      <c r="C1761" s="84">
        <v>29</v>
      </c>
      <c r="D1761" s="84">
        <v>20</v>
      </c>
      <c r="E1761" s="85">
        <v>33575.4</v>
      </c>
      <c r="F1761" s="85">
        <v>26059.119999999999</v>
      </c>
      <c r="G1761" s="85">
        <v>-7516.28</v>
      </c>
    </row>
    <row r="1762" spans="1:7" x14ac:dyDescent="0.3">
      <c r="A1762" s="84">
        <v>2026</v>
      </c>
      <c r="B1762" s="84" t="s">
        <v>395</v>
      </c>
      <c r="C1762" s="84">
        <v>29</v>
      </c>
      <c r="D1762" s="84">
        <v>21</v>
      </c>
      <c r="E1762" s="85">
        <v>33575.4</v>
      </c>
      <c r="F1762" s="85">
        <v>26648.52</v>
      </c>
      <c r="G1762" s="85">
        <v>-6926.88</v>
      </c>
    </row>
    <row r="1763" spans="1:7" x14ac:dyDescent="0.3">
      <c r="A1763" s="84">
        <v>2026</v>
      </c>
      <c r="B1763" s="84" t="s">
        <v>395</v>
      </c>
      <c r="C1763" s="84">
        <v>29</v>
      </c>
      <c r="D1763" s="84">
        <v>22</v>
      </c>
      <c r="E1763" s="85">
        <v>33575.4</v>
      </c>
      <c r="F1763" s="85">
        <v>27287.200000000001</v>
      </c>
      <c r="G1763" s="85">
        <v>-6288.2</v>
      </c>
    </row>
    <row r="1764" spans="1:7" x14ac:dyDescent="0.3">
      <c r="A1764" s="84">
        <v>2026</v>
      </c>
      <c r="B1764" s="84" t="s">
        <v>395</v>
      </c>
      <c r="C1764" s="84">
        <v>29</v>
      </c>
      <c r="D1764" s="84">
        <v>23</v>
      </c>
      <c r="E1764" s="85">
        <v>33575.4</v>
      </c>
      <c r="F1764" s="85">
        <v>27927.7</v>
      </c>
      <c r="G1764" s="85">
        <v>-5647.7</v>
      </c>
    </row>
    <row r="1765" spans="1:7" x14ac:dyDescent="0.3">
      <c r="A1765" s="84">
        <v>2026</v>
      </c>
      <c r="B1765" s="84" t="s">
        <v>395</v>
      </c>
      <c r="C1765" s="84">
        <v>29</v>
      </c>
      <c r="D1765" s="84">
        <v>24</v>
      </c>
      <c r="E1765" s="85">
        <v>33575.4</v>
      </c>
      <c r="F1765" s="85">
        <v>28566.94</v>
      </c>
      <c r="G1765" s="85">
        <v>-5008.46</v>
      </c>
    </row>
    <row r="1766" spans="1:7" x14ac:dyDescent="0.3">
      <c r="A1766" s="84">
        <v>2026</v>
      </c>
      <c r="B1766" s="84" t="s">
        <v>395</v>
      </c>
      <c r="C1766" s="84">
        <v>29</v>
      </c>
      <c r="D1766" s="84">
        <v>25</v>
      </c>
      <c r="E1766" s="85">
        <v>33575.4</v>
      </c>
      <c r="F1766" s="85">
        <v>29207.02</v>
      </c>
      <c r="G1766" s="85">
        <v>-4368.38</v>
      </c>
    </row>
    <row r="1767" spans="1:7" x14ac:dyDescent="0.3">
      <c r="A1767" s="84">
        <v>2026</v>
      </c>
      <c r="B1767" s="84" t="s">
        <v>395</v>
      </c>
      <c r="C1767" s="84">
        <v>29</v>
      </c>
      <c r="D1767" s="84">
        <v>26</v>
      </c>
      <c r="E1767" s="85">
        <v>33575.4</v>
      </c>
      <c r="F1767" s="85">
        <v>30586.3</v>
      </c>
      <c r="G1767" s="85">
        <v>-2989.1</v>
      </c>
    </row>
    <row r="1768" spans="1:7" x14ac:dyDescent="0.3">
      <c r="A1768" s="84">
        <v>2026</v>
      </c>
      <c r="B1768" s="84" t="s">
        <v>395</v>
      </c>
      <c r="C1768" s="84">
        <v>29</v>
      </c>
      <c r="D1768" s="84">
        <v>27</v>
      </c>
      <c r="E1768" s="85">
        <v>33575.4</v>
      </c>
      <c r="F1768" s="85">
        <v>32295.56</v>
      </c>
      <c r="G1768" s="85">
        <v>-1279.8399999999999</v>
      </c>
    </row>
    <row r="1769" spans="1:7" x14ac:dyDescent="0.3">
      <c r="A1769" s="84">
        <v>2026</v>
      </c>
      <c r="B1769" s="84" t="s">
        <v>395</v>
      </c>
      <c r="C1769" s="84">
        <v>29</v>
      </c>
      <c r="D1769" s="84">
        <v>28</v>
      </c>
      <c r="E1769" s="85">
        <v>33575.4</v>
      </c>
      <c r="F1769" s="85">
        <v>32936.06</v>
      </c>
      <c r="G1769" s="85">
        <v>-639.34</v>
      </c>
    </row>
    <row r="1770" spans="1:7" x14ac:dyDescent="0.3">
      <c r="A1770" s="84">
        <v>2026</v>
      </c>
      <c r="B1770" s="84" t="s">
        <v>395</v>
      </c>
      <c r="C1770" s="84">
        <v>29</v>
      </c>
      <c r="D1770" s="84">
        <v>29</v>
      </c>
      <c r="E1770" s="85">
        <v>33575.4</v>
      </c>
      <c r="F1770" s="85">
        <v>33575.4</v>
      </c>
      <c r="G1770" s="85">
        <v>0</v>
      </c>
    </row>
    <row r="1771" spans="1:7" x14ac:dyDescent="0.3">
      <c r="A1771" s="84">
        <v>2026</v>
      </c>
      <c r="B1771" s="84" t="s">
        <v>395</v>
      </c>
      <c r="C1771" s="84">
        <v>29</v>
      </c>
      <c r="D1771" s="84">
        <v>30</v>
      </c>
      <c r="E1771" s="85">
        <v>33575.4</v>
      </c>
      <c r="F1771" s="85">
        <v>35323.760000000002</v>
      </c>
      <c r="G1771" s="85">
        <v>1748.36</v>
      </c>
    </row>
    <row r="1772" spans="1:7" x14ac:dyDescent="0.3">
      <c r="A1772" s="84">
        <v>2026</v>
      </c>
      <c r="B1772" s="84" t="s">
        <v>395</v>
      </c>
      <c r="C1772" s="84">
        <v>30</v>
      </c>
      <c r="D1772" s="84">
        <v>1</v>
      </c>
      <c r="E1772" s="85">
        <v>35323.760000000002</v>
      </c>
      <c r="F1772" s="85">
        <v>19966.32</v>
      </c>
      <c r="G1772" s="85">
        <v>-15357.44</v>
      </c>
    </row>
    <row r="1773" spans="1:7" x14ac:dyDescent="0.3">
      <c r="A1773" s="84">
        <v>2026</v>
      </c>
      <c r="B1773" s="84" t="s">
        <v>395</v>
      </c>
      <c r="C1773" s="84">
        <v>30</v>
      </c>
      <c r="D1773" s="84">
        <v>2</v>
      </c>
      <c r="E1773" s="85">
        <v>35323.760000000002</v>
      </c>
      <c r="F1773" s="85">
        <v>20260.740000000002</v>
      </c>
      <c r="G1773" s="85">
        <v>-15063.02</v>
      </c>
    </row>
    <row r="1774" spans="1:7" x14ac:dyDescent="0.3">
      <c r="A1774" s="84">
        <v>2026</v>
      </c>
      <c r="B1774" s="84" t="s">
        <v>395</v>
      </c>
      <c r="C1774" s="84">
        <v>30</v>
      </c>
      <c r="D1774" s="84">
        <v>3</v>
      </c>
      <c r="E1774" s="85">
        <v>35323.760000000002</v>
      </c>
      <c r="F1774" s="85">
        <v>20555.72</v>
      </c>
      <c r="G1774" s="85">
        <v>-14768.04</v>
      </c>
    </row>
    <row r="1775" spans="1:7" x14ac:dyDescent="0.3">
      <c r="A1775" s="84">
        <v>2026</v>
      </c>
      <c r="B1775" s="84" t="s">
        <v>395</v>
      </c>
      <c r="C1775" s="84">
        <v>30</v>
      </c>
      <c r="D1775" s="84">
        <v>4</v>
      </c>
      <c r="E1775" s="85">
        <v>35323.760000000002</v>
      </c>
      <c r="F1775" s="85">
        <v>20849.86</v>
      </c>
      <c r="G1775" s="85">
        <v>-14473.9</v>
      </c>
    </row>
    <row r="1776" spans="1:7" x14ac:dyDescent="0.3">
      <c r="A1776" s="84">
        <v>2026</v>
      </c>
      <c r="B1776" s="84" t="s">
        <v>395</v>
      </c>
      <c r="C1776" s="84">
        <v>30</v>
      </c>
      <c r="D1776" s="84">
        <v>5</v>
      </c>
      <c r="E1776" s="85">
        <v>35323.760000000002</v>
      </c>
      <c r="F1776" s="85">
        <v>21144.560000000001</v>
      </c>
      <c r="G1776" s="85">
        <v>-14179.2</v>
      </c>
    </row>
    <row r="1777" spans="1:7" x14ac:dyDescent="0.3">
      <c r="A1777" s="84">
        <v>2026</v>
      </c>
      <c r="B1777" s="84" t="s">
        <v>395</v>
      </c>
      <c r="C1777" s="84">
        <v>30</v>
      </c>
      <c r="D1777" s="84">
        <v>6</v>
      </c>
      <c r="E1777" s="85">
        <v>35323.760000000002</v>
      </c>
      <c r="F1777" s="85">
        <v>21341.26</v>
      </c>
      <c r="G1777" s="85">
        <v>-13982.5</v>
      </c>
    </row>
    <row r="1778" spans="1:7" x14ac:dyDescent="0.3">
      <c r="A1778" s="84">
        <v>2026</v>
      </c>
      <c r="B1778" s="84" t="s">
        <v>395</v>
      </c>
      <c r="C1778" s="84">
        <v>30</v>
      </c>
      <c r="D1778" s="84">
        <v>7</v>
      </c>
      <c r="E1778" s="85">
        <v>35323.760000000002</v>
      </c>
      <c r="F1778" s="85">
        <v>21537.96</v>
      </c>
      <c r="G1778" s="85">
        <v>-13785.8</v>
      </c>
    </row>
    <row r="1779" spans="1:7" x14ac:dyDescent="0.3">
      <c r="A1779" s="84">
        <v>2026</v>
      </c>
      <c r="B1779" s="84" t="s">
        <v>395</v>
      </c>
      <c r="C1779" s="84">
        <v>30</v>
      </c>
      <c r="D1779" s="84">
        <v>8</v>
      </c>
      <c r="E1779" s="85">
        <v>35323.760000000002</v>
      </c>
      <c r="F1779" s="85">
        <v>21734.240000000002</v>
      </c>
      <c r="G1779" s="85">
        <v>-13589.52</v>
      </c>
    </row>
    <row r="1780" spans="1:7" x14ac:dyDescent="0.3">
      <c r="A1780" s="84">
        <v>2026</v>
      </c>
      <c r="B1780" s="84" t="s">
        <v>395</v>
      </c>
      <c r="C1780" s="84">
        <v>30</v>
      </c>
      <c r="D1780" s="84">
        <v>9</v>
      </c>
      <c r="E1780" s="85">
        <v>35323.760000000002</v>
      </c>
      <c r="F1780" s="85">
        <v>21931.360000000001</v>
      </c>
      <c r="G1780" s="85">
        <v>-13392.4</v>
      </c>
    </row>
    <row r="1781" spans="1:7" x14ac:dyDescent="0.3">
      <c r="A1781" s="84">
        <v>2026</v>
      </c>
      <c r="B1781" s="84" t="s">
        <v>395</v>
      </c>
      <c r="C1781" s="84">
        <v>30</v>
      </c>
      <c r="D1781" s="84">
        <v>10</v>
      </c>
      <c r="E1781" s="85">
        <v>35323.760000000002</v>
      </c>
      <c r="F1781" s="85">
        <v>22127.78</v>
      </c>
      <c r="G1781" s="85">
        <v>-13195.98</v>
      </c>
    </row>
    <row r="1782" spans="1:7" x14ac:dyDescent="0.3">
      <c r="A1782" s="84">
        <v>2026</v>
      </c>
      <c r="B1782" s="84" t="s">
        <v>395</v>
      </c>
      <c r="C1782" s="84">
        <v>30</v>
      </c>
      <c r="D1782" s="84">
        <v>11</v>
      </c>
      <c r="E1782" s="85">
        <v>35323.760000000002</v>
      </c>
      <c r="F1782" s="85">
        <v>22520.34</v>
      </c>
      <c r="G1782" s="85">
        <v>-12803.42</v>
      </c>
    </row>
    <row r="1783" spans="1:7" x14ac:dyDescent="0.3">
      <c r="A1783" s="84">
        <v>2026</v>
      </c>
      <c r="B1783" s="84" t="s">
        <v>395</v>
      </c>
      <c r="C1783" s="84">
        <v>30</v>
      </c>
      <c r="D1783" s="84">
        <v>12</v>
      </c>
      <c r="E1783" s="85">
        <v>35323.760000000002</v>
      </c>
      <c r="F1783" s="85">
        <v>22913.88</v>
      </c>
      <c r="G1783" s="85">
        <v>-12409.88</v>
      </c>
    </row>
    <row r="1784" spans="1:7" x14ac:dyDescent="0.3">
      <c r="A1784" s="84">
        <v>2026</v>
      </c>
      <c r="B1784" s="84" t="s">
        <v>395</v>
      </c>
      <c r="C1784" s="84">
        <v>30</v>
      </c>
      <c r="D1784" s="84">
        <v>13</v>
      </c>
      <c r="E1784" s="85">
        <v>35323.760000000002</v>
      </c>
      <c r="F1784" s="85">
        <v>23307.14</v>
      </c>
      <c r="G1784" s="85">
        <v>-12016.62</v>
      </c>
    </row>
    <row r="1785" spans="1:7" x14ac:dyDescent="0.3">
      <c r="A1785" s="84">
        <v>2026</v>
      </c>
      <c r="B1785" s="84" t="s">
        <v>395</v>
      </c>
      <c r="C1785" s="84">
        <v>30</v>
      </c>
      <c r="D1785" s="84">
        <v>14</v>
      </c>
      <c r="E1785" s="85">
        <v>35323.760000000002</v>
      </c>
      <c r="F1785" s="85">
        <v>23700.959999999999</v>
      </c>
      <c r="G1785" s="85">
        <v>-11622.8</v>
      </c>
    </row>
    <row r="1786" spans="1:7" x14ac:dyDescent="0.3">
      <c r="A1786" s="84">
        <v>2026</v>
      </c>
      <c r="B1786" s="84" t="s">
        <v>395</v>
      </c>
      <c r="C1786" s="84">
        <v>30</v>
      </c>
      <c r="D1786" s="84">
        <v>15</v>
      </c>
      <c r="E1786" s="85">
        <v>35323.760000000002</v>
      </c>
      <c r="F1786" s="85">
        <v>24093.24</v>
      </c>
      <c r="G1786" s="85">
        <v>-11230.52</v>
      </c>
    </row>
    <row r="1787" spans="1:7" x14ac:dyDescent="0.3">
      <c r="A1787" s="84">
        <v>2026</v>
      </c>
      <c r="B1787" s="84" t="s">
        <v>395</v>
      </c>
      <c r="C1787" s="84">
        <v>30</v>
      </c>
      <c r="D1787" s="84">
        <v>16</v>
      </c>
      <c r="E1787" s="85">
        <v>35323.760000000002</v>
      </c>
      <c r="F1787" s="85">
        <v>24487.200000000001</v>
      </c>
      <c r="G1787" s="85">
        <v>-10836.56</v>
      </c>
    </row>
    <row r="1788" spans="1:7" x14ac:dyDescent="0.3">
      <c r="A1788" s="84">
        <v>2026</v>
      </c>
      <c r="B1788" s="84" t="s">
        <v>395</v>
      </c>
      <c r="C1788" s="84">
        <v>30</v>
      </c>
      <c r="D1788" s="84">
        <v>17</v>
      </c>
      <c r="E1788" s="85">
        <v>35323.760000000002</v>
      </c>
      <c r="F1788" s="85">
        <v>24879.94</v>
      </c>
      <c r="G1788" s="85">
        <v>-10443.82</v>
      </c>
    </row>
    <row r="1789" spans="1:7" x14ac:dyDescent="0.3">
      <c r="A1789" s="84">
        <v>2026</v>
      </c>
      <c r="B1789" s="84" t="s">
        <v>395</v>
      </c>
      <c r="C1789" s="84">
        <v>30</v>
      </c>
      <c r="D1789" s="84">
        <v>18</v>
      </c>
      <c r="E1789" s="85">
        <v>35323.760000000002</v>
      </c>
      <c r="F1789" s="85">
        <v>25273.02</v>
      </c>
      <c r="G1789" s="85">
        <v>-10050.74</v>
      </c>
    </row>
    <row r="1790" spans="1:7" x14ac:dyDescent="0.3">
      <c r="A1790" s="84">
        <v>2026</v>
      </c>
      <c r="B1790" s="84" t="s">
        <v>395</v>
      </c>
      <c r="C1790" s="84">
        <v>30</v>
      </c>
      <c r="D1790" s="84">
        <v>19</v>
      </c>
      <c r="E1790" s="85">
        <v>35323.760000000002</v>
      </c>
      <c r="F1790" s="85">
        <v>25666.14</v>
      </c>
      <c r="G1790" s="85">
        <v>-9657.6200000000008</v>
      </c>
    </row>
    <row r="1791" spans="1:7" x14ac:dyDescent="0.3">
      <c r="A1791" s="84">
        <v>2026</v>
      </c>
      <c r="B1791" s="84" t="s">
        <v>395</v>
      </c>
      <c r="C1791" s="84">
        <v>30</v>
      </c>
      <c r="D1791" s="84">
        <v>20</v>
      </c>
      <c r="E1791" s="85">
        <v>35323.760000000002</v>
      </c>
      <c r="F1791" s="85">
        <v>26059.119999999999</v>
      </c>
      <c r="G1791" s="85">
        <v>-9264.64</v>
      </c>
    </row>
    <row r="1792" spans="1:7" x14ac:dyDescent="0.3">
      <c r="A1792" s="84">
        <v>2026</v>
      </c>
      <c r="B1792" s="84" t="s">
        <v>395</v>
      </c>
      <c r="C1792" s="84">
        <v>30</v>
      </c>
      <c r="D1792" s="84">
        <v>21</v>
      </c>
      <c r="E1792" s="85">
        <v>35323.760000000002</v>
      </c>
      <c r="F1792" s="85">
        <v>26648.52</v>
      </c>
      <c r="G1792" s="85">
        <v>-8675.24</v>
      </c>
    </row>
    <row r="1793" spans="1:7" x14ac:dyDescent="0.3">
      <c r="A1793" s="84">
        <v>2026</v>
      </c>
      <c r="B1793" s="84" t="s">
        <v>395</v>
      </c>
      <c r="C1793" s="84">
        <v>30</v>
      </c>
      <c r="D1793" s="84">
        <v>22</v>
      </c>
      <c r="E1793" s="85">
        <v>35323.760000000002</v>
      </c>
      <c r="F1793" s="85">
        <v>27287.200000000001</v>
      </c>
      <c r="G1793" s="85">
        <v>-8036.56</v>
      </c>
    </row>
    <row r="1794" spans="1:7" x14ac:dyDescent="0.3">
      <c r="A1794" s="84">
        <v>2026</v>
      </c>
      <c r="B1794" s="84" t="s">
        <v>395</v>
      </c>
      <c r="C1794" s="84">
        <v>30</v>
      </c>
      <c r="D1794" s="84">
        <v>23</v>
      </c>
      <c r="E1794" s="85">
        <v>35323.760000000002</v>
      </c>
      <c r="F1794" s="85">
        <v>27927.7</v>
      </c>
      <c r="G1794" s="85">
        <v>-7396.06</v>
      </c>
    </row>
    <row r="1795" spans="1:7" x14ac:dyDescent="0.3">
      <c r="A1795" s="84">
        <v>2026</v>
      </c>
      <c r="B1795" s="84" t="s">
        <v>395</v>
      </c>
      <c r="C1795" s="84">
        <v>30</v>
      </c>
      <c r="D1795" s="84">
        <v>24</v>
      </c>
      <c r="E1795" s="85">
        <v>35323.760000000002</v>
      </c>
      <c r="F1795" s="85">
        <v>28566.94</v>
      </c>
      <c r="G1795" s="85">
        <v>-6756.82</v>
      </c>
    </row>
    <row r="1796" spans="1:7" x14ac:dyDescent="0.3">
      <c r="A1796" s="84">
        <v>2026</v>
      </c>
      <c r="B1796" s="84" t="s">
        <v>395</v>
      </c>
      <c r="C1796" s="84">
        <v>30</v>
      </c>
      <c r="D1796" s="84">
        <v>25</v>
      </c>
      <c r="E1796" s="85">
        <v>35323.760000000002</v>
      </c>
      <c r="F1796" s="85">
        <v>29207.02</v>
      </c>
      <c r="G1796" s="85">
        <v>-6116.74</v>
      </c>
    </row>
    <row r="1797" spans="1:7" x14ac:dyDescent="0.3">
      <c r="A1797" s="84">
        <v>2026</v>
      </c>
      <c r="B1797" s="84" t="s">
        <v>395</v>
      </c>
      <c r="C1797" s="84">
        <v>30</v>
      </c>
      <c r="D1797" s="84">
        <v>26</v>
      </c>
      <c r="E1797" s="85">
        <v>35323.760000000002</v>
      </c>
      <c r="F1797" s="85">
        <v>30586.3</v>
      </c>
      <c r="G1797" s="85">
        <v>-4737.46</v>
      </c>
    </row>
    <row r="1798" spans="1:7" x14ac:dyDescent="0.3">
      <c r="A1798" s="84">
        <v>2026</v>
      </c>
      <c r="B1798" s="84" t="s">
        <v>395</v>
      </c>
      <c r="C1798" s="84">
        <v>30</v>
      </c>
      <c r="D1798" s="84">
        <v>27</v>
      </c>
      <c r="E1798" s="85">
        <v>35323.760000000002</v>
      </c>
      <c r="F1798" s="85">
        <v>32295.56</v>
      </c>
      <c r="G1798" s="85">
        <v>-3028.2</v>
      </c>
    </row>
    <row r="1799" spans="1:7" x14ac:dyDescent="0.3">
      <c r="A1799" s="84">
        <v>2026</v>
      </c>
      <c r="B1799" s="84" t="s">
        <v>395</v>
      </c>
      <c r="C1799" s="84">
        <v>30</v>
      </c>
      <c r="D1799" s="84">
        <v>28</v>
      </c>
      <c r="E1799" s="85">
        <v>35323.760000000002</v>
      </c>
      <c r="F1799" s="85">
        <v>32936.06</v>
      </c>
      <c r="G1799" s="85">
        <v>-2387.6999999999998</v>
      </c>
    </row>
    <row r="1800" spans="1:7" x14ac:dyDescent="0.3">
      <c r="A1800" s="84">
        <v>2026</v>
      </c>
      <c r="B1800" s="84" t="s">
        <v>395</v>
      </c>
      <c r="C1800" s="84">
        <v>30</v>
      </c>
      <c r="D1800" s="84">
        <v>29</v>
      </c>
      <c r="E1800" s="85">
        <v>35323.760000000002</v>
      </c>
      <c r="F1800" s="85">
        <v>33575.4</v>
      </c>
      <c r="G1800" s="85">
        <v>-1748.36</v>
      </c>
    </row>
    <row r="1801" spans="1:7" x14ac:dyDescent="0.3">
      <c r="A1801" s="84">
        <v>2026</v>
      </c>
      <c r="B1801" s="84" t="s">
        <v>395</v>
      </c>
      <c r="C1801" s="84">
        <v>30</v>
      </c>
      <c r="D1801" s="84">
        <v>30</v>
      </c>
      <c r="E1801" s="85">
        <v>35323.760000000002</v>
      </c>
      <c r="F1801" s="85">
        <v>35323.760000000002</v>
      </c>
      <c r="G1801" s="85">
        <v>0</v>
      </c>
    </row>
    <row r="1802" spans="1:7" x14ac:dyDescent="0.3">
      <c r="A1802" s="84">
        <v>2026</v>
      </c>
      <c r="B1802" s="84" t="s">
        <v>396</v>
      </c>
      <c r="C1802" s="84">
        <v>1</v>
      </c>
      <c r="D1802" s="84">
        <v>1</v>
      </c>
      <c r="E1802" s="85">
        <v>17751.240000000002</v>
      </c>
      <c r="F1802" s="85">
        <v>17751.240000000002</v>
      </c>
      <c r="G1802" s="85">
        <v>0</v>
      </c>
    </row>
    <row r="1803" spans="1:7" x14ac:dyDescent="0.3">
      <c r="A1803" s="84">
        <v>2026</v>
      </c>
      <c r="B1803" s="84" t="s">
        <v>396</v>
      </c>
      <c r="C1803" s="84">
        <v>1</v>
      </c>
      <c r="D1803" s="84">
        <v>2</v>
      </c>
      <c r="E1803" s="85">
        <v>17751.240000000002</v>
      </c>
      <c r="F1803" s="85">
        <v>18045.66</v>
      </c>
      <c r="G1803" s="85">
        <v>294.42</v>
      </c>
    </row>
    <row r="1804" spans="1:7" x14ac:dyDescent="0.3">
      <c r="A1804" s="84">
        <v>2026</v>
      </c>
      <c r="B1804" s="84" t="s">
        <v>396</v>
      </c>
      <c r="C1804" s="84">
        <v>1</v>
      </c>
      <c r="D1804" s="84">
        <v>3</v>
      </c>
      <c r="E1804" s="85">
        <v>17751.240000000002</v>
      </c>
      <c r="F1804" s="85">
        <v>18340.64</v>
      </c>
      <c r="G1804" s="85">
        <v>589.4</v>
      </c>
    </row>
    <row r="1805" spans="1:7" x14ac:dyDescent="0.3">
      <c r="A1805" s="84">
        <v>2026</v>
      </c>
      <c r="B1805" s="84" t="s">
        <v>396</v>
      </c>
      <c r="C1805" s="84">
        <v>1</v>
      </c>
      <c r="D1805" s="84">
        <v>4</v>
      </c>
      <c r="E1805" s="85">
        <v>17751.240000000002</v>
      </c>
      <c r="F1805" s="85">
        <v>18634.78</v>
      </c>
      <c r="G1805" s="85">
        <v>883.54</v>
      </c>
    </row>
    <row r="1806" spans="1:7" x14ac:dyDescent="0.3">
      <c r="A1806" s="84">
        <v>2026</v>
      </c>
      <c r="B1806" s="84" t="s">
        <v>396</v>
      </c>
      <c r="C1806" s="84">
        <v>1</v>
      </c>
      <c r="D1806" s="84">
        <v>5</v>
      </c>
      <c r="E1806" s="85">
        <v>17751.240000000002</v>
      </c>
      <c r="F1806" s="85">
        <v>18929.48</v>
      </c>
      <c r="G1806" s="85">
        <v>1178.24</v>
      </c>
    </row>
    <row r="1807" spans="1:7" x14ac:dyDescent="0.3">
      <c r="A1807" s="84">
        <v>2026</v>
      </c>
      <c r="B1807" s="84" t="s">
        <v>396</v>
      </c>
      <c r="C1807" s="84">
        <v>1</v>
      </c>
      <c r="D1807" s="84">
        <v>6</v>
      </c>
      <c r="E1807" s="85">
        <v>17751.240000000002</v>
      </c>
      <c r="F1807" s="85">
        <v>19126.18</v>
      </c>
      <c r="G1807" s="85">
        <v>1374.94</v>
      </c>
    </row>
    <row r="1808" spans="1:7" x14ac:dyDescent="0.3">
      <c r="A1808" s="84">
        <v>2026</v>
      </c>
      <c r="B1808" s="84" t="s">
        <v>396</v>
      </c>
      <c r="C1808" s="84">
        <v>1</v>
      </c>
      <c r="D1808" s="84">
        <v>7</v>
      </c>
      <c r="E1808" s="85">
        <v>17751.240000000002</v>
      </c>
      <c r="F1808" s="85">
        <v>19322.38</v>
      </c>
      <c r="G1808" s="85">
        <v>1571.14</v>
      </c>
    </row>
    <row r="1809" spans="1:7" x14ac:dyDescent="0.3">
      <c r="A1809" s="84">
        <v>2026</v>
      </c>
      <c r="B1809" s="84" t="s">
        <v>396</v>
      </c>
      <c r="C1809" s="84">
        <v>1</v>
      </c>
      <c r="D1809" s="84">
        <v>8</v>
      </c>
      <c r="E1809" s="85">
        <v>17751.240000000002</v>
      </c>
      <c r="F1809" s="85">
        <v>19519.16</v>
      </c>
      <c r="G1809" s="85">
        <v>1767.92</v>
      </c>
    </row>
    <row r="1810" spans="1:7" x14ac:dyDescent="0.3">
      <c r="A1810" s="84">
        <v>2026</v>
      </c>
      <c r="B1810" s="84" t="s">
        <v>396</v>
      </c>
      <c r="C1810" s="84">
        <v>1</v>
      </c>
      <c r="D1810" s="84">
        <v>9</v>
      </c>
      <c r="E1810" s="85">
        <v>17751.240000000002</v>
      </c>
      <c r="F1810" s="85">
        <v>19716.28</v>
      </c>
      <c r="G1810" s="85">
        <v>1965.04</v>
      </c>
    </row>
    <row r="1811" spans="1:7" x14ac:dyDescent="0.3">
      <c r="A1811" s="84">
        <v>2026</v>
      </c>
      <c r="B1811" s="84" t="s">
        <v>396</v>
      </c>
      <c r="C1811" s="84">
        <v>1</v>
      </c>
      <c r="D1811" s="84">
        <v>10</v>
      </c>
      <c r="E1811" s="85">
        <v>17751.240000000002</v>
      </c>
      <c r="F1811" s="85">
        <v>19912.7</v>
      </c>
      <c r="G1811" s="85">
        <v>2161.46</v>
      </c>
    </row>
    <row r="1812" spans="1:7" x14ac:dyDescent="0.3">
      <c r="A1812" s="84">
        <v>2026</v>
      </c>
      <c r="B1812" s="84" t="s">
        <v>396</v>
      </c>
      <c r="C1812" s="84">
        <v>1</v>
      </c>
      <c r="D1812" s="84">
        <v>11</v>
      </c>
      <c r="E1812" s="85">
        <v>17751.240000000002</v>
      </c>
      <c r="F1812" s="85">
        <v>20305.259999999998</v>
      </c>
      <c r="G1812" s="85">
        <v>2554.02</v>
      </c>
    </row>
    <row r="1813" spans="1:7" x14ac:dyDescent="0.3">
      <c r="A1813" s="84">
        <v>2026</v>
      </c>
      <c r="B1813" s="84" t="s">
        <v>396</v>
      </c>
      <c r="C1813" s="84">
        <v>1</v>
      </c>
      <c r="D1813" s="84">
        <v>12</v>
      </c>
      <c r="E1813" s="85">
        <v>17751.240000000002</v>
      </c>
      <c r="F1813" s="85">
        <v>20698.8</v>
      </c>
      <c r="G1813" s="85">
        <v>2947.56</v>
      </c>
    </row>
    <row r="1814" spans="1:7" x14ac:dyDescent="0.3">
      <c r="A1814" s="84">
        <v>2026</v>
      </c>
      <c r="B1814" s="84" t="s">
        <v>396</v>
      </c>
      <c r="C1814" s="84">
        <v>1</v>
      </c>
      <c r="D1814" s="84">
        <v>13</v>
      </c>
      <c r="E1814" s="85">
        <v>17751.240000000002</v>
      </c>
      <c r="F1814" s="85">
        <v>21092.06</v>
      </c>
      <c r="G1814" s="85">
        <v>3340.82</v>
      </c>
    </row>
    <row r="1815" spans="1:7" x14ac:dyDescent="0.3">
      <c r="A1815" s="84">
        <v>2026</v>
      </c>
      <c r="B1815" s="84" t="s">
        <v>396</v>
      </c>
      <c r="C1815" s="84">
        <v>1</v>
      </c>
      <c r="D1815" s="84">
        <v>14</v>
      </c>
      <c r="E1815" s="85">
        <v>17751.240000000002</v>
      </c>
      <c r="F1815" s="85">
        <v>21485.88</v>
      </c>
      <c r="G1815" s="85">
        <v>3734.64</v>
      </c>
    </row>
    <row r="1816" spans="1:7" x14ac:dyDescent="0.3">
      <c r="A1816" s="84">
        <v>2026</v>
      </c>
      <c r="B1816" s="84" t="s">
        <v>396</v>
      </c>
      <c r="C1816" s="84">
        <v>1</v>
      </c>
      <c r="D1816" s="84">
        <v>15</v>
      </c>
      <c r="E1816" s="85">
        <v>17751.240000000002</v>
      </c>
      <c r="F1816" s="85">
        <v>21878.16</v>
      </c>
      <c r="G1816" s="85">
        <v>4126.92</v>
      </c>
    </row>
    <row r="1817" spans="1:7" x14ac:dyDescent="0.3">
      <c r="A1817" s="84">
        <v>2026</v>
      </c>
      <c r="B1817" s="84" t="s">
        <v>396</v>
      </c>
      <c r="C1817" s="84">
        <v>1</v>
      </c>
      <c r="D1817" s="84">
        <v>16</v>
      </c>
      <c r="E1817" s="85">
        <v>17751.240000000002</v>
      </c>
      <c r="F1817" s="85">
        <v>22272.12</v>
      </c>
      <c r="G1817" s="85">
        <v>4520.88</v>
      </c>
    </row>
    <row r="1818" spans="1:7" x14ac:dyDescent="0.3">
      <c r="A1818" s="84">
        <v>2026</v>
      </c>
      <c r="B1818" s="84" t="s">
        <v>396</v>
      </c>
      <c r="C1818" s="84">
        <v>1</v>
      </c>
      <c r="D1818" s="84">
        <v>17</v>
      </c>
      <c r="E1818" s="85">
        <v>17751.240000000002</v>
      </c>
      <c r="F1818" s="85">
        <v>22664.400000000001</v>
      </c>
      <c r="G1818" s="85">
        <v>4913.16</v>
      </c>
    </row>
    <row r="1819" spans="1:7" x14ac:dyDescent="0.3">
      <c r="A1819" s="84">
        <v>2026</v>
      </c>
      <c r="B1819" s="84" t="s">
        <v>396</v>
      </c>
      <c r="C1819" s="84">
        <v>1</v>
      </c>
      <c r="D1819" s="84">
        <v>18</v>
      </c>
      <c r="E1819" s="85">
        <v>17751.240000000002</v>
      </c>
      <c r="F1819" s="85">
        <v>23057.94</v>
      </c>
      <c r="G1819" s="85">
        <v>5306.7</v>
      </c>
    </row>
    <row r="1820" spans="1:7" x14ac:dyDescent="0.3">
      <c r="A1820" s="84">
        <v>2026</v>
      </c>
      <c r="B1820" s="84" t="s">
        <v>396</v>
      </c>
      <c r="C1820" s="84">
        <v>1</v>
      </c>
      <c r="D1820" s="84">
        <v>19</v>
      </c>
      <c r="E1820" s="85">
        <v>17751.240000000002</v>
      </c>
      <c r="F1820" s="85">
        <v>23451.06</v>
      </c>
      <c r="G1820" s="85">
        <v>5699.82</v>
      </c>
    </row>
    <row r="1821" spans="1:7" x14ac:dyDescent="0.3">
      <c r="A1821" s="84">
        <v>2026</v>
      </c>
      <c r="B1821" s="84" t="s">
        <v>396</v>
      </c>
      <c r="C1821" s="84">
        <v>1</v>
      </c>
      <c r="D1821" s="84">
        <v>20</v>
      </c>
      <c r="E1821" s="85">
        <v>17751.240000000002</v>
      </c>
      <c r="F1821" s="85">
        <v>23844.04</v>
      </c>
      <c r="G1821" s="85">
        <v>6092.8</v>
      </c>
    </row>
    <row r="1822" spans="1:7" x14ac:dyDescent="0.3">
      <c r="A1822" s="84">
        <v>2026</v>
      </c>
      <c r="B1822" s="84" t="s">
        <v>396</v>
      </c>
      <c r="C1822" s="84">
        <v>1</v>
      </c>
      <c r="D1822" s="84">
        <v>21</v>
      </c>
      <c r="E1822" s="85">
        <v>17751.240000000002</v>
      </c>
      <c r="F1822" s="85">
        <v>24433.439999999999</v>
      </c>
      <c r="G1822" s="85">
        <v>6682.2</v>
      </c>
    </row>
    <row r="1823" spans="1:7" x14ac:dyDescent="0.3">
      <c r="A1823" s="84">
        <v>2026</v>
      </c>
      <c r="B1823" s="84" t="s">
        <v>396</v>
      </c>
      <c r="C1823" s="84">
        <v>1</v>
      </c>
      <c r="D1823" s="84">
        <v>22</v>
      </c>
      <c r="E1823" s="85">
        <v>17751.240000000002</v>
      </c>
      <c r="F1823" s="85">
        <v>25072.12</v>
      </c>
      <c r="G1823" s="85">
        <v>7320.88</v>
      </c>
    </row>
    <row r="1824" spans="1:7" x14ac:dyDescent="0.3">
      <c r="A1824" s="84">
        <v>2026</v>
      </c>
      <c r="B1824" s="84" t="s">
        <v>396</v>
      </c>
      <c r="C1824" s="84">
        <v>1</v>
      </c>
      <c r="D1824" s="84">
        <v>23</v>
      </c>
      <c r="E1824" s="85">
        <v>17751.240000000002</v>
      </c>
      <c r="F1824" s="85">
        <v>25712.62</v>
      </c>
      <c r="G1824" s="85">
        <v>7961.38</v>
      </c>
    </row>
    <row r="1825" spans="1:7" x14ac:dyDescent="0.3">
      <c r="A1825" s="84">
        <v>2026</v>
      </c>
      <c r="B1825" s="84" t="s">
        <v>396</v>
      </c>
      <c r="C1825" s="84">
        <v>1</v>
      </c>
      <c r="D1825" s="84">
        <v>24</v>
      </c>
      <c r="E1825" s="85">
        <v>17751.240000000002</v>
      </c>
      <c r="F1825" s="85">
        <v>26351.86</v>
      </c>
      <c r="G1825" s="85">
        <v>8600.6200000000008</v>
      </c>
    </row>
    <row r="1826" spans="1:7" x14ac:dyDescent="0.3">
      <c r="A1826" s="84">
        <v>2026</v>
      </c>
      <c r="B1826" s="84" t="s">
        <v>396</v>
      </c>
      <c r="C1826" s="84">
        <v>1</v>
      </c>
      <c r="D1826" s="84">
        <v>25</v>
      </c>
      <c r="E1826" s="85">
        <v>17751.240000000002</v>
      </c>
      <c r="F1826" s="85">
        <v>26991.94</v>
      </c>
      <c r="G1826" s="85">
        <v>9240.7000000000007</v>
      </c>
    </row>
    <row r="1827" spans="1:7" x14ac:dyDescent="0.3">
      <c r="A1827" s="84">
        <v>2026</v>
      </c>
      <c r="B1827" s="84" t="s">
        <v>396</v>
      </c>
      <c r="C1827" s="84">
        <v>1</v>
      </c>
      <c r="D1827" s="84">
        <v>26</v>
      </c>
      <c r="E1827" s="85">
        <v>17751.240000000002</v>
      </c>
      <c r="F1827" s="85">
        <v>28371.22</v>
      </c>
      <c r="G1827" s="85">
        <v>10619.98</v>
      </c>
    </row>
    <row r="1828" spans="1:7" x14ac:dyDescent="0.3">
      <c r="A1828" s="84">
        <v>2026</v>
      </c>
      <c r="B1828" s="84" t="s">
        <v>396</v>
      </c>
      <c r="C1828" s="84">
        <v>1</v>
      </c>
      <c r="D1828" s="84">
        <v>27</v>
      </c>
      <c r="E1828" s="85">
        <v>17751.240000000002</v>
      </c>
      <c r="F1828" s="85">
        <v>30080.48</v>
      </c>
      <c r="G1828" s="85">
        <v>12329.24</v>
      </c>
    </row>
    <row r="1829" spans="1:7" x14ac:dyDescent="0.3">
      <c r="A1829" s="84">
        <v>2026</v>
      </c>
      <c r="B1829" s="84" t="s">
        <v>396</v>
      </c>
      <c r="C1829" s="84">
        <v>1</v>
      </c>
      <c r="D1829" s="84">
        <v>28</v>
      </c>
      <c r="E1829" s="85">
        <v>17751.240000000002</v>
      </c>
      <c r="F1829" s="85">
        <v>30720.98</v>
      </c>
      <c r="G1829" s="85">
        <v>12969.74</v>
      </c>
    </row>
    <row r="1830" spans="1:7" x14ac:dyDescent="0.3">
      <c r="A1830" s="84">
        <v>2026</v>
      </c>
      <c r="B1830" s="84" t="s">
        <v>396</v>
      </c>
      <c r="C1830" s="84">
        <v>1</v>
      </c>
      <c r="D1830" s="84">
        <v>29</v>
      </c>
      <c r="E1830" s="85">
        <v>17751.240000000002</v>
      </c>
      <c r="F1830" s="85">
        <v>31360.36</v>
      </c>
      <c r="G1830" s="85">
        <v>13609.12</v>
      </c>
    </row>
    <row r="1831" spans="1:7" x14ac:dyDescent="0.3">
      <c r="A1831" s="84">
        <v>2026</v>
      </c>
      <c r="B1831" s="84" t="s">
        <v>396</v>
      </c>
      <c r="C1831" s="84">
        <v>1</v>
      </c>
      <c r="D1831" s="84">
        <v>30</v>
      </c>
      <c r="E1831" s="85">
        <v>17751.240000000002</v>
      </c>
      <c r="F1831" s="85">
        <v>33108.68</v>
      </c>
      <c r="G1831" s="85">
        <v>15357.44</v>
      </c>
    </row>
    <row r="1832" spans="1:7" x14ac:dyDescent="0.3">
      <c r="A1832" s="84">
        <v>2026</v>
      </c>
      <c r="B1832" s="84" t="s">
        <v>396</v>
      </c>
      <c r="C1832" s="84">
        <v>2</v>
      </c>
      <c r="D1832" s="84">
        <v>1</v>
      </c>
      <c r="E1832" s="85">
        <v>18045.66</v>
      </c>
      <c r="F1832" s="85">
        <v>17751.240000000002</v>
      </c>
      <c r="G1832" s="85">
        <v>-294.42</v>
      </c>
    </row>
    <row r="1833" spans="1:7" x14ac:dyDescent="0.3">
      <c r="A1833" s="84">
        <v>2026</v>
      </c>
      <c r="B1833" s="84" t="s">
        <v>396</v>
      </c>
      <c r="C1833" s="84">
        <v>2</v>
      </c>
      <c r="D1833" s="84">
        <v>2</v>
      </c>
      <c r="E1833" s="85">
        <v>18045.66</v>
      </c>
      <c r="F1833" s="85">
        <v>18045.66</v>
      </c>
      <c r="G1833" s="85">
        <v>0</v>
      </c>
    </row>
    <row r="1834" spans="1:7" x14ac:dyDescent="0.3">
      <c r="A1834" s="84">
        <v>2026</v>
      </c>
      <c r="B1834" s="84" t="s">
        <v>396</v>
      </c>
      <c r="C1834" s="84">
        <v>2</v>
      </c>
      <c r="D1834" s="84">
        <v>3</v>
      </c>
      <c r="E1834" s="85">
        <v>18045.66</v>
      </c>
      <c r="F1834" s="85">
        <v>18340.64</v>
      </c>
      <c r="G1834" s="85">
        <v>294.98</v>
      </c>
    </row>
    <row r="1835" spans="1:7" x14ac:dyDescent="0.3">
      <c r="A1835" s="84">
        <v>2026</v>
      </c>
      <c r="B1835" s="84" t="s">
        <v>396</v>
      </c>
      <c r="C1835" s="84">
        <v>2</v>
      </c>
      <c r="D1835" s="84">
        <v>4</v>
      </c>
      <c r="E1835" s="85">
        <v>18045.66</v>
      </c>
      <c r="F1835" s="85">
        <v>18634.78</v>
      </c>
      <c r="G1835" s="85">
        <v>589.12</v>
      </c>
    </row>
    <row r="1836" spans="1:7" x14ac:dyDescent="0.3">
      <c r="A1836" s="84">
        <v>2026</v>
      </c>
      <c r="B1836" s="84" t="s">
        <v>396</v>
      </c>
      <c r="C1836" s="84">
        <v>2</v>
      </c>
      <c r="D1836" s="84">
        <v>5</v>
      </c>
      <c r="E1836" s="85">
        <v>18045.66</v>
      </c>
      <c r="F1836" s="85">
        <v>18929.48</v>
      </c>
      <c r="G1836" s="85">
        <v>883.82</v>
      </c>
    </row>
    <row r="1837" spans="1:7" x14ac:dyDescent="0.3">
      <c r="A1837" s="84">
        <v>2026</v>
      </c>
      <c r="B1837" s="84" t="s">
        <v>396</v>
      </c>
      <c r="C1837" s="84">
        <v>2</v>
      </c>
      <c r="D1837" s="84">
        <v>6</v>
      </c>
      <c r="E1837" s="85">
        <v>18045.66</v>
      </c>
      <c r="F1837" s="85">
        <v>19126.18</v>
      </c>
      <c r="G1837" s="85">
        <v>1080.52</v>
      </c>
    </row>
    <row r="1838" spans="1:7" x14ac:dyDescent="0.3">
      <c r="A1838" s="84">
        <v>2026</v>
      </c>
      <c r="B1838" s="84" t="s">
        <v>396</v>
      </c>
      <c r="C1838" s="84">
        <v>2</v>
      </c>
      <c r="D1838" s="84">
        <v>7</v>
      </c>
      <c r="E1838" s="85">
        <v>18045.66</v>
      </c>
      <c r="F1838" s="85">
        <v>19322.38</v>
      </c>
      <c r="G1838" s="85">
        <v>1276.72</v>
      </c>
    </row>
    <row r="1839" spans="1:7" x14ac:dyDescent="0.3">
      <c r="A1839" s="84">
        <v>2026</v>
      </c>
      <c r="B1839" s="84" t="s">
        <v>396</v>
      </c>
      <c r="C1839" s="84">
        <v>2</v>
      </c>
      <c r="D1839" s="84">
        <v>8</v>
      </c>
      <c r="E1839" s="85">
        <v>18045.66</v>
      </c>
      <c r="F1839" s="85">
        <v>19519.16</v>
      </c>
      <c r="G1839" s="85">
        <v>1473.5</v>
      </c>
    </row>
    <row r="1840" spans="1:7" x14ac:dyDescent="0.3">
      <c r="A1840" s="84">
        <v>2026</v>
      </c>
      <c r="B1840" s="84" t="s">
        <v>396</v>
      </c>
      <c r="C1840" s="84">
        <v>2</v>
      </c>
      <c r="D1840" s="84">
        <v>9</v>
      </c>
      <c r="E1840" s="85">
        <v>18045.66</v>
      </c>
      <c r="F1840" s="85">
        <v>19716.28</v>
      </c>
      <c r="G1840" s="85">
        <v>1670.62</v>
      </c>
    </row>
    <row r="1841" spans="1:7" x14ac:dyDescent="0.3">
      <c r="A1841" s="84">
        <v>2026</v>
      </c>
      <c r="B1841" s="84" t="s">
        <v>396</v>
      </c>
      <c r="C1841" s="84">
        <v>2</v>
      </c>
      <c r="D1841" s="84">
        <v>10</v>
      </c>
      <c r="E1841" s="85">
        <v>18045.66</v>
      </c>
      <c r="F1841" s="85">
        <v>19912.7</v>
      </c>
      <c r="G1841" s="85">
        <v>1867.04</v>
      </c>
    </row>
    <row r="1842" spans="1:7" x14ac:dyDescent="0.3">
      <c r="A1842" s="84">
        <v>2026</v>
      </c>
      <c r="B1842" s="84" t="s">
        <v>396</v>
      </c>
      <c r="C1842" s="84">
        <v>2</v>
      </c>
      <c r="D1842" s="84">
        <v>11</v>
      </c>
      <c r="E1842" s="85">
        <v>18045.66</v>
      </c>
      <c r="F1842" s="85">
        <v>20305.259999999998</v>
      </c>
      <c r="G1842" s="85">
        <v>2259.6</v>
      </c>
    </row>
    <row r="1843" spans="1:7" x14ac:dyDescent="0.3">
      <c r="A1843" s="84">
        <v>2026</v>
      </c>
      <c r="B1843" s="84" t="s">
        <v>396</v>
      </c>
      <c r="C1843" s="84">
        <v>2</v>
      </c>
      <c r="D1843" s="84">
        <v>12</v>
      </c>
      <c r="E1843" s="85">
        <v>18045.66</v>
      </c>
      <c r="F1843" s="85">
        <v>20698.8</v>
      </c>
      <c r="G1843" s="85">
        <v>2653.14</v>
      </c>
    </row>
    <row r="1844" spans="1:7" x14ac:dyDescent="0.3">
      <c r="A1844" s="84">
        <v>2026</v>
      </c>
      <c r="B1844" s="84" t="s">
        <v>396</v>
      </c>
      <c r="C1844" s="84">
        <v>2</v>
      </c>
      <c r="D1844" s="84">
        <v>13</v>
      </c>
      <c r="E1844" s="85">
        <v>18045.66</v>
      </c>
      <c r="F1844" s="85">
        <v>21092.06</v>
      </c>
      <c r="G1844" s="85">
        <v>3046.4</v>
      </c>
    </row>
    <row r="1845" spans="1:7" x14ac:dyDescent="0.3">
      <c r="A1845" s="84">
        <v>2026</v>
      </c>
      <c r="B1845" s="84" t="s">
        <v>396</v>
      </c>
      <c r="C1845" s="84">
        <v>2</v>
      </c>
      <c r="D1845" s="84">
        <v>14</v>
      </c>
      <c r="E1845" s="85">
        <v>18045.66</v>
      </c>
      <c r="F1845" s="85">
        <v>21485.88</v>
      </c>
      <c r="G1845" s="85">
        <v>3440.22</v>
      </c>
    </row>
    <row r="1846" spans="1:7" x14ac:dyDescent="0.3">
      <c r="A1846" s="84">
        <v>2026</v>
      </c>
      <c r="B1846" s="84" t="s">
        <v>396</v>
      </c>
      <c r="C1846" s="84">
        <v>2</v>
      </c>
      <c r="D1846" s="84">
        <v>15</v>
      </c>
      <c r="E1846" s="85">
        <v>18045.66</v>
      </c>
      <c r="F1846" s="85">
        <v>21878.16</v>
      </c>
      <c r="G1846" s="85">
        <v>3832.5</v>
      </c>
    </row>
    <row r="1847" spans="1:7" x14ac:dyDescent="0.3">
      <c r="A1847" s="84">
        <v>2026</v>
      </c>
      <c r="B1847" s="84" t="s">
        <v>396</v>
      </c>
      <c r="C1847" s="84">
        <v>2</v>
      </c>
      <c r="D1847" s="84">
        <v>16</v>
      </c>
      <c r="E1847" s="85">
        <v>18045.66</v>
      </c>
      <c r="F1847" s="85">
        <v>22272.12</v>
      </c>
      <c r="G1847" s="85">
        <v>4226.46</v>
      </c>
    </row>
    <row r="1848" spans="1:7" x14ac:dyDescent="0.3">
      <c r="A1848" s="84">
        <v>2026</v>
      </c>
      <c r="B1848" s="84" t="s">
        <v>396</v>
      </c>
      <c r="C1848" s="84">
        <v>2</v>
      </c>
      <c r="D1848" s="84">
        <v>17</v>
      </c>
      <c r="E1848" s="85">
        <v>18045.66</v>
      </c>
      <c r="F1848" s="85">
        <v>22664.400000000001</v>
      </c>
      <c r="G1848" s="85">
        <v>4618.74</v>
      </c>
    </row>
    <row r="1849" spans="1:7" x14ac:dyDescent="0.3">
      <c r="A1849" s="84">
        <v>2026</v>
      </c>
      <c r="B1849" s="84" t="s">
        <v>396</v>
      </c>
      <c r="C1849" s="84">
        <v>2</v>
      </c>
      <c r="D1849" s="84">
        <v>18</v>
      </c>
      <c r="E1849" s="85">
        <v>18045.66</v>
      </c>
      <c r="F1849" s="85">
        <v>23057.94</v>
      </c>
      <c r="G1849" s="85">
        <v>5012.28</v>
      </c>
    </row>
    <row r="1850" spans="1:7" x14ac:dyDescent="0.3">
      <c r="A1850" s="84">
        <v>2026</v>
      </c>
      <c r="B1850" s="84" t="s">
        <v>396</v>
      </c>
      <c r="C1850" s="84">
        <v>2</v>
      </c>
      <c r="D1850" s="84">
        <v>19</v>
      </c>
      <c r="E1850" s="85">
        <v>18045.66</v>
      </c>
      <c r="F1850" s="85">
        <v>23451.06</v>
      </c>
      <c r="G1850" s="85">
        <v>5405.4</v>
      </c>
    </row>
    <row r="1851" spans="1:7" x14ac:dyDescent="0.3">
      <c r="A1851" s="84">
        <v>2026</v>
      </c>
      <c r="B1851" s="84" t="s">
        <v>396</v>
      </c>
      <c r="C1851" s="84">
        <v>2</v>
      </c>
      <c r="D1851" s="84">
        <v>20</v>
      </c>
      <c r="E1851" s="85">
        <v>18045.66</v>
      </c>
      <c r="F1851" s="85">
        <v>23844.04</v>
      </c>
      <c r="G1851" s="85">
        <v>5798.38</v>
      </c>
    </row>
    <row r="1852" spans="1:7" x14ac:dyDescent="0.3">
      <c r="A1852" s="84">
        <v>2026</v>
      </c>
      <c r="B1852" s="84" t="s">
        <v>396</v>
      </c>
      <c r="C1852" s="84">
        <v>2</v>
      </c>
      <c r="D1852" s="84">
        <v>21</v>
      </c>
      <c r="E1852" s="85">
        <v>18045.66</v>
      </c>
      <c r="F1852" s="85">
        <v>24433.439999999999</v>
      </c>
      <c r="G1852" s="85">
        <v>6387.78</v>
      </c>
    </row>
    <row r="1853" spans="1:7" x14ac:dyDescent="0.3">
      <c r="A1853" s="84">
        <v>2026</v>
      </c>
      <c r="B1853" s="84" t="s">
        <v>396</v>
      </c>
      <c r="C1853" s="84">
        <v>2</v>
      </c>
      <c r="D1853" s="84">
        <v>22</v>
      </c>
      <c r="E1853" s="85">
        <v>18045.66</v>
      </c>
      <c r="F1853" s="85">
        <v>25072.12</v>
      </c>
      <c r="G1853" s="85">
        <v>7026.46</v>
      </c>
    </row>
    <row r="1854" spans="1:7" x14ac:dyDescent="0.3">
      <c r="A1854" s="84">
        <v>2026</v>
      </c>
      <c r="B1854" s="84" t="s">
        <v>396</v>
      </c>
      <c r="C1854" s="84">
        <v>2</v>
      </c>
      <c r="D1854" s="84">
        <v>23</v>
      </c>
      <c r="E1854" s="85">
        <v>18045.66</v>
      </c>
      <c r="F1854" s="85">
        <v>25712.62</v>
      </c>
      <c r="G1854" s="85">
        <v>7666.96</v>
      </c>
    </row>
    <row r="1855" spans="1:7" x14ac:dyDescent="0.3">
      <c r="A1855" s="84">
        <v>2026</v>
      </c>
      <c r="B1855" s="84" t="s">
        <v>396</v>
      </c>
      <c r="C1855" s="84">
        <v>2</v>
      </c>
      <c r="D1855" s="84">
        <v>24</v>
      </c>
      <c r="E1855" s="85">
        <v>18045.66</v>
      </c>
      <c r="F1855" s="85">
        <v>26351.86</v>
      </c>
      <c r="G1855" s="85">
        <v>8306.2000000000007</v>
      </c>
    </row>
    <row r="1856" spans="1:7" x14ac:dyDescent="0.3">
      <c r="A1856" s="84">
        <v>2026</v>
      </c>
      <c r="B1856" s="84" t="s">
        <v>396</v>
      </c>
      <c r="C1856" s="84">
        <v>2</v>
      </c>
      <c r="D1856" s="84">
        <v>25</v>
      </c>
      <c r="E1856" s="85">
        <v>18045.66</v>
      </c>
      <c r="F1856" s="85">
        <v>26991.94</v>
      </c>
      <c r="G1856" s="85">
        <v>8946.2800000000007</v>
      </c>
    </row>
    <row r="1857" spans="1:7" x14ac:dyDescent="0.3">
      <c r="A1857" s="84">
        <v>2026</v>
      </c>
      <c r="B1857" s="84" t="s">
        <v>396</v>
      </c>
      <c r="C1857" s="84">
        <v>2</v>
      </c>
      <c r="D1857" s="84">
        <v>26</v>
      </c>
      <c r="E1857" s="85">
        <v>18045.66</v>
      </c>
      <c r="F1857" s="85">
        <v>28371.22</v>
      </c>
      <c r="G1857" s="85">
        <v>10325.56</v>
      </c>
    </row>
    <row r="1858" spans="1:7" x14ac:dyDescent="0.3">
      <c r="A1858" s="84">
        <v>2026</v>
      </c>
      <c r="B1858" s="84" t="s">
        <v>396</v>
      </c>
      <c r="C1858" s="84">
        <v>2</v>
      </c>
      <c r="D1858" s="84">
        <v>27</v>
      </c>
      <c r="E1858" s="85">
        <v>18045.66</v>
      </c>
      <c r="F1858" s="85">
        <v>30080.48</v>
      </c>
      <c r="G1858" s="85">
        <v>12034.82</v>
      </c>
    </row>
    <row r="1859" spans="1:7" x14ac:dyDescent="0.3">
      <c r="A1859" s="84">
        <v>2026</v>
      </c>
      <c r="B1859" s="84" t="s">
        <v>396</v>
      </c>
      <c r="C1859" s="84">
        <v>2</v>
      </c>
      <c r="D1859" s="84">
        <v>28</v>
      </c>
      <c r="E1859" s="85">
        <v>18045.66</v>
      </c>
      <c r="F1859" s="85">
        <v>30720.98</v>
      </c>
      <c r="G1859" s="85">
        <v>12675.32</v>
      </c>
    </row>
    <row r="1860" spans="1:7" x14ac:dyDescent="0.3">
      <c r="A1860" s="84">
        <v>2026</v>
      </c>
      <c r="B1860" s="84" t="s">
        <v>396</v>
      </c>
      <c r="C1860" s="84">
        <v>2</v>
      </c>
      <c r="D1860" s="84">
        <v>29</v>
      </c>
      <c r="E1860" s="85">
        <v>18045.66</v>
      </c>
      <c r="F1860" s="85">
        <v>31360.36</v>
      </c>
      <c r="G1860" s="85">
        <v>13314.7</v>
      </c>
    </row>
    <row r="1861" spans="1:7" x14ac:dyDescent="0.3">
      <c r="A1861" s="84">
        <v>2026</v>
      </c>
      <c r="B1861" s="84" t="s">
        <v>396</v>
      </c>
      <c r="C1861" s="84">
        <v>2</v>
      </c>
      <c r="D1861" s="84">
        <v>30</v>
      </c>
      <c r="E1861" s="85">
        <v>18045.66</v>
      </c>
      <c r="F1861" s="85">
        <v>33108.68</v>
      </c>
      <c r="G1861" s="85">
        <v>15063.02</v>
      </c>
    </row>
    <row r="1862" spans="1:7" x14ac:dyDescent="0.3">
      <c r="A1862" s="84">
        <v>2026</v>
      </c>
      <c r="B1862" s="84" t="s">
        <v>396</v>
      </c>
      <c r="C1862" s="84">
        <v>3</v>
      </c>
      <c r="D1862" s="84">
        <v>1</v>
      </c>
      <c r="E1862" s="85">
        <v>18340.64</v>
      </c>
      <c r="F1862" s="85">
        <v>17751.240000000002</v>
      </c>
      <c r="G1862" s="85">
        <v>-589.4</v>
      </c>
    </row>
    <row r="1863" spans="1:7" x14ac:dyDescent="0.3">
      <c r="A1863" s="84">
        <v>2026</v>
      </c>
      <c r="B1863" s="84" t="s">
        <v>396</v>
      </c>
      <c r="C1863" s="84">
        <v>3</v>
      </c>
      <c r="D1863" s="84">
        <v>2</v>
      </c>
      <c r="E1863" s="85">
        <v>18340.64</v>
      </c>
      <c r="F1863" s="85">
        <v>18045.66</v>
      </c>
      <c r="G1863" s="85">
        <v>-294.98</v>
      </c>
    </row>
    <row r="1864" spans="1:7" x14ac:dyDescent="0.3">
      <c r="A1864" s="84">
        <v>2026</v>
      </c>
      <c r="B1864" s="84" t="s">
        <v>396</v>
      </c>
      <c r="C1864" s="84">
        <v>3</v>
      </c>
      <c r="D1864" s="84">
        <v>3</v>
      </c>
      <c r="E1864" s="85">
        <v>18340.64</v>
      </c>
      <c r="F1864" s="85">
        <v>18340.64</v>
      </c>
      <c r="G1864" s="85">
        <v>0</v>
      </c>
    </row>
    <row r="1865" spans="1:7" x14ac:dyDescent="0.3">
      <c r="A1865" s="84">
        <v>2026</v>
      </c>
      <c r="B1865" s="84" t="s">
        <v>396</v>
      </c>
      <c r="C1865" s="84">
        <v>3</v>
      </c>
      <c r="D1865" s="84">
        <v>4</v>
      </c>
      <c r="E1865" s="85">
        <v>18340.64</v>
      </c>
      <c r="F1865" s="85">
        <v>18634.78</v>
      </c>
      <c r="G1865" s="85">
        <v>294.14</v>
      </c>
    </row>
    <row r="1866" spans="1:7" x14ac:dyDescent="0.3">
      <c r="A1866" s="84">
        <v>2026</v>
      </c>
      <c r="B1866" s="84" t="s">
        <v>396</v>
      </c>
      <c r="C1866" s="84">
        <v>3</v>
      </c>
      <c r="D1866" s="84">
        <v>5</v>
      </c>
      <c r="E1866" s="85">
        <v>18340.64</v>
      </c>
      <c r="F1866" s="85">
        <v>18929.48</v>
      </c>
      <c r="G1866" s="85">
        <v>588.84</v>
      </c>
    </row>
    <row r="1867" spans="1:7" x14ac:dyDescent="0.3">
      <c r="A1867" s="84">
        <v>2026</v>
      </c>
      <c r="B1867" s="84" t="s">
        <v>396</v>
      </c>
      <c r="C1867" s="84">
        <v>3</v>
      </c>
      <c r="D1867" s="84">
        <v>6</v>
      </c>
      <c r="E1867" s="85">
        <v>18340.64</v>
      </c>
      <c r="F1867" s="85">
        <v>19126.18</v>
      </c>
      <c r="G1867" s="85">
        <v>785.54</v>
      </c>
    </row>
    <row r="1868" spans="1:7" x14ac:dyDescent="0.3">
      <c r="A1868" s="84">
        <v>2026</v>
      </c>
      <c r="B1868" s="84" t="s">
        <v>396</v>
      </c>
      <c r="C1868" s="84">
        <v>3</v>
      </c>
      <c r="D1868" s="84">
        <v>7</v>
      </c>
      <c r="E1868" s="85">
        <v>18340.64</v>
      </c>
      <c r="F1868" s="85">
        <v>19322.38</v>
      </c>
      <c r="G1868" s="85">
        <v>981.74</v>
      </c>
    </row>
    <row r="1869" spans="1:7" x14ac:dyDescent="0.3">
      <c r="A1869" s="84">
        <v>2026</v>
      </c>
      <c r="B1869" s="84" t="s">
        <v>396</v>
      </c>
      <c r="C1869" s="84">
        <v>3</v>
      </c>
      <c r="D1869" s="84">
        <v>8</v>
      </c>
      <c r="E1869" s="85">
        <v>18340.64</v>
      </c>
      <c r="F1869" s="85">
        <v>19519.16</v>
      </c>
      <c r="G1869" s="85">
        <v>1178.52</v>
      </c>
    </row>
    <row r="1870" spans="1:7" x14ac:dyDescent="0.3">
      <c r="A1870" s="84">
        <v>2026</v>
      </c>
      <c r="B1870" s="84" t="s">
        <v>396</v>
      </c>
      <c r="C1870" s="84">
        <v>3</v>
      </c>
      <c r="D1870" s="84">
        <v>9</v>
      </c>
      <c r="E1870" s="85">
        <v>18340.64</v>
      </c>
      <c r="F1870" s="85">
        <v>19716.28</v>
      </c>
      <c r="G1870" s="85">
        <v>1375.64</v>
      </c>
    </row>
    <row r="1871" spans="1:7" x14ac:dyDescent="0.3">
      <c r="A1871" s="84">
        <v>2026</v>
      </c>
      <c r="B1871" s="84" t="s">
        <v>396</v>
      </c>
      <c r="C1871" s="84">
        <v>3</v>
      </c>
      <c r="D1871" s="84">
        <v>10</v>
      </c>
      <c r="E1871" s="85">
        <v>18340.64</v>
      </c>
      <c r="F1871" s="85">
        <v>19912.7</v>
      </c>
      <c r="G1871" s="85">
        <v>1572.06</v>
      </c>
    </row>
    <row r="1872" spans="1:7" x14ac:dyDescent="0.3">
      <c r="A1872" s="84">
        <v>2026</v>
      </c>
      <c r="B1872" s="84" t="s">
        <v>396</v>
      </c>
      <c r="C1872" s="84">
        <v>3</v>
      </c>
      <c r="D1872" s="84">
        <v>11</v>
      </c>
      <c r="E1872" s="85">
        <v>18340.64</v>
      </c>
      <c r="F1872" s="85">
        <v>20305.259999999998</v>
      </c>
      <c r="G1872" s="85">
        <v>1964.62</v>
      </c>
    </row>
    <row r="1873" spans="1:7" x14ac:dyDescent="0.3">
      <c r="A1873" s="84">
        <v>2026</v>
      </c>
      <c r="B1873" s="84" t="s">
        <v>396</v>
      </c>
      <c r="C1873" s="84">
        <v>3</v>
      </c>
      <c r="D1873" s="84">
        <v>12</v>
      </c>
      <c r="E1873" s="85">
        <v>18340.64</v>
      </c>
      <c r="F1873" s="85">
        <v>20698.8</v>
      </c>
      <c r="G1873" s="85">
        <v>2358.16</v>
      </c>
    </row>
    <row r="1874" spans="1:7" x14ac:dyDescent="0.3">
      <c r="A1874" s="84">
        <v>2026</v>
      </c>
      <c r="B1874" s="84" t="s">
        <v>396</v>
      </c>
      <c r="C1874" s="84">
        <v>3</v>
      </c>
      <c r="D1874" s="84">
        <v>13</v>
      </c>
      <c r="E1874" s="85">
        <v>18340.64</v>
      </c>
      <c r="F1874" s="85">
        <v>21092.06</v>
      </c>
      <c r="G1874" s="85">
        <v>2751.42</v>
      </c>
    </row>
    <row r="1875" spans="1:7" x14ac:dyDescent="0.3">
      <c r="A1875" s="84">
        <v>2026</v>
      </c>
      <c r="B1875" s="84" t="s">
        <v>396</v>
      </c>
      <c r="C1875" s="84">
        <v>3</v>
      </c>
      <c r="D1875" s="84">
        <v>14</v>
      </c>
      <c r="E1875" s="85">
        <v>18340.64</v>
      </c>
      <c r="F1875" s="85">
        <v>21485.88</v>
      </c>
      <c r="G1875" s="85">
        <v>3145.24</v>
      </c>
    </row>
    <row r="1876" spans="1:7" x14ac:dyDescent="0.3">
      <c r="A1876" s="84">
        <v>2026</v>
      </c>
      <c r="B1876" s="84" t="s">
        <v>396</v>
      </c>
      <c r="C1876" s="84">
        <v>3</v>
      </c>
      <c r="D1876" s="84">
        <v>15</v>
      </c>
      <c r="E1876" s="85">
        <v>18340.64</v>
      </c>
      <c r="F1876" s="85">
        <v>21878.16</v>
      </c>
      <c r="G1876" s="85">
        <v>3537.52</v>
      </c>
    </row>
    <row r="1877" spans="1:7" x14ac:dyDescent="0.3">
      <c r="A1877" s="84">
        <v>2026</v>
      </c>
      <c r="B1877" s="84" t="s">
        <v>396</v>
      </c>
      <c r="C1877" s="84">
        <v>3</v>
      </c>
      <c r="D1877" s="84">
        <v>16</v>
      </c>
      <c r="E1877" s="85">
        <v>18340.64</v>
      </c>
      <c r="F1877" s="85">
        <v>22272.12</v>
      </c>
      <c r="G1877" s="85">
        <v>3931.48</v>
      </c>
    </row>
    <row r="1878" spans="1:7" x14ac:dyDescent="0.3">
      <c r="A1878" s="84">
        <v>2026</v>
      </c>
      <c r="B1878" s="84" t="s">
        <v>396</v>
      </c>
      <c r="C1878" s="84">
        <v>3</v>
      </c>
      <c r="D1878" s="84">
        <v>17</v>
      </c>
      <c r="E1878" s="85">
        <v>18340.64</v>
      </c>
      <c r="F1878" s="85">
        <v>22664.400000000001</v>
      </c>
      <c r="G1878" s="85">
        <v>4323.76</v>
      </c>
    </row>
    <row r="1879" spans="1:7" x14ac:dyDescent="0.3">
      <c r="A1879" s="84">
        <v>2026</v>
      </c>
      <c r="B1879" s="84" t="s">
        <v>396</v>
      </c>
      <c r="C1879" s="84">
        <v>3</v>
      </c>
      <c r="D1879" s="84">
        <v>18</v>
      </c>
      <c r="E1879" s="85">
        <v>18340.64</v>
      </c>
      <c r="F1879" s="85">
        <v>23057.94</v>
      </c>
      <c r="G1879" s="85">
        <v>4717.3</v>
      </c>
    </row>
    <row r="1880" spans="1:7" x14ac:dyDescent="0.3">
      <c r="A1880" s="84">
        <v>2026</v>
      </c>
      <c r="B1880" s="84" t="s">
        <v>396</v>
      </c>
      <c r="C1880" s="84">
        <v>3</v>
      </c>
      <c r="D1880" s="84">
        <v>19</v>
      </c>
      <c r="E1880" s="85">
        <v>18340.64</v>
      </c>
      <c r="F1880" s="85">
        <v>23451.06</v>
      </c>
      <c r="G1880" s="85">
        <v>5110.42</v>
      </c>
    </row>
    <row r="1881" spans="1:7" x14ac:dyDescent="0.3">
      <c r="A1881" s="84">
        <v>2026</v>
      </c>
      <c r="B1881" s="84" t="s">
        <v>396</v>
      </c>
      <c r="C1881" s="84">
        <v>3</v>
      </c>
      <c r="D1881" s="84">
        <v>20</v>
      </c>
      <c r="E1881" s="85">
        <v>18340.64</v>
      </c>
      <c r="F1881" s="85">
        <v>23844.04</v>
      </c>
      <c r="G1881" s="85">
        <v>5503.4</v>
      </c>
    </row>
    <row r="1882" spans="1:7" x14ac:dyDescent="0.3">
      <c r="A1882" s="84">
        <v>2026</v>
      </c>
      <c r="B1882" s="84" t="s">
        <v>396</v>
      </c>
      <c r="C1882" s="84">
        <v>3</v>
      </c>
      <c r="D1882" s="84">
        <v>21</v>
      </c>
      <c r="E1882" s="85">
        <v>18340.64</v>
      </c>
      <c r="F1882" s="85">
        <v>24433.439999999999</v>
      </c>
      <c r="G1882" s="85">
        <v>6092.8</v>
      </c>
    </row>
    <row r="1883" spans="1:7" x14ac:dyDescent="0.3">
      <c r="A1883" s="84">
        <v>2026</v>
      </c>
      <c r="B1883" s="84" t="s">
        <v>396</v>
      </c>
      <c r="C1883" s="84">
        <v>3</v>
      </c>
      <c r="D1883" s="84">
        <v>22</v>
      </c>
      <c r="E1883" s="85">
        <v>18340.64</v>
      </c>
      <c r="F1883" s="85">
        <v>25072.12</v>
      </c>
      <c r="G1883" s="85">
        <v>6731.48</v>
      </c>
    </row>
    <row r="1884" spans="1:7" x14ac:dyDescent="0.3">
      <c r="A1884" s="84">
        <v>2026</v>
      </c>
      <c r="B1884" s="84" t="s">
        <v>396</v>
      </c>
      <c r="C1884" s="84">
        <v>3</v>
      </c>
      <c r="D1884" s="84">
        <v>23</v>
      </c>
      <c r="E1884" s="85">
        <v>18340.64</v>
      </c>
      <c r="F1884" s="85">
        <v>25712.62</v>
      </c>
      <c r="G1884" s="85">
        <v>7371.98</v>
      </c>
    </row>
    <row r="1885" spans="1:7" x14ac:dyDescent="0.3">
      <c r="A1885" s="84">
        <v>2026</v>
      </c>
      <c r="B1885" s="84" t="s">
        <v>396</v>
      </c>
      <c r="C1885" s="84">
        <v>3</v>
      </c>
      <c r="D1885" s="84">
        <v>24</v>
      </c>
      <c r="E1885" s="85">
        <v>18340.64</v>
      </c>
      <c r="F1885" s="85">
        <v>26351.86</v>
      </c>
      <c r="G1885" s="85">
        <v>8011.22</v>
      </c>
    </row>
    <row r="1886" spans="1:7" x14ac:dyDescent="0.3">
      <c r="A1886" s="84">
        <v>2026</v>
      </c>
      <c r="B1886" s="84" t="s">
        <v>396</v>
      </c>
      <c r="C1886" s="84">
        <v>3</v>
      </c>
      <c r="D1886" s="84">
        <v>25</v>
      </c>
      <c r="E1886" s="85">
        <v>18340.64</v>
      </c>
      <c r="F1886" s="85">
        <v>26991.94</v>
      </c>
      <c r="G1886" s="85">
        <v>8651.2999999999993</v>
      </c>
    </row>
    <row r="1887" spans="1:7" x14ac:dyDescent="0.3">
      <c r="A1887" s="84">
        <v>2026</v>
      </c>
      <c r="B1887" s="84" t="s">
        <v>396</v>
      </c>
      <c r="C1887" s="84">
        <v>3</v>
      </c>
      <c r="D1887" s="84">
        <v>26</v>
      </c>
      <c r="E1887" s="85">
        <v>18340.64</v>
      </c>
      <c r="F1887" s="85">
        <v>28371.22</v>
      </c>
      <c r="G1887" s="85">
        <v>10030.58</v>
      </c>
    </row>
    <row r="1888" spans="1:7" x14ac:dyDescent="0.3">
      <c r="A1888" s="84">
        <v>2026</v>
      </c>
      <c r="B1888" s="84" t="s">
        <v>396</v>
      </c>
      <c r="C1888" s="84">
        <v>3</v>
      </c>
      <c r="D1888" s="84">
        <v>27</v>
      </c>
      <c r="E1888" s="85">
        <v>18340.64</v>
      </c>
      <c r="F1888" s="85">
        <v>30080.48</v>
      </c>
      <c r="G1888" s="85">
        <v>11739.84</v>
      </c>
    </row>
    <row r="1889" spans="1:7" x14ac:dyDescent="0.3">
      <c r="A1889" s="84">
        <v>2026</v>
      </c>
      <c r="B1889" s="84" t="s">
        <v>396</v>
      </c>
      <c r="C1889" s="84">
        <v>3</v>
      </c>
      <c r="D1889" s="84">
        <v>28</v>
      </c>
      <c r="E1889" s="85">
        <v>18340.64</v>
      </c>
      <c r="F1889" s="85">
        <v>30720.98</v>
      </c>
      <c r="G1889" s="85">
        <v>12380.34</v>
      </c>
    </row>
    <row r="1890" spans="1:7" x14ac:dyDescent="0.3">
      <c r="A1890" s="84">
        <v>2026</v>
      </c>
      <c r="B1890" s="84" t="s">
        <v>396</v>
      </c>
      <c r="C1890" s="84">
        <v>3</v>
      </c>
      <c r="D1890" s="84">
        <v>29</v>
      </c>
      <c r="E1890" s="85">
        <v>18340.64</v>
      </c>
      <c r="F1890" s="85">
        <v>31360.36</v>
      </c>
      <c r="G1890" s="85">
        <v>13019.72</v>
      </c>
    </row>
    <row r="1891" spans="1:7" x14ac:dyDescent="0.3">
      <c r="A1891" s="84">
        <v>2026</v>
      </c>
      <c r="B1891" s="84" t="s">
        <v>396</v>
      </c>
      <c r="C1891" s="84">
        <v>3</v>
      </c>
      <c r="D1891" s="84">
        <v>30</v>
      </c>
      <c r="E1891" s="85">
        <v>18340.64</v>
      </c>
      <c r="F1891" s="85">
        <v>33108.68</v>
      </c>
      <c r="G1891" s="85">
        <v>14768.04</v>
      </c>
    </row>
    <row r="1892" spans="1:7" x14ac:dyDescent="0.3">
      <c r="A1892" s="84">
        <v>2026</v>
      </c>
      <c r="B1892" s="84" t="s">
        <v>396</v>
      </c>
      <c r="C1892" s="84">
        <v>4</v>
      </c>
      <c r="D1892" s="84">
        <v>1</v>
      </c>
      <c r="E1892" s="85">
        <v>18634.78</v>
      </c>
      <c r="F1892" s="85">
        <v>17751.240000000002</v>
      </c>
      <c r="G1892" s="85">
        <v>-883.54</v>
      </c>
    </row>
    <row r="1893" spans="1:7" x14ac:dyDescent="0.3">
      <c r="A1893" s="84">
        <v>2026</v>
      </c>
      <c r="B1893" s="84" t="s">
        <v>396</v>
      </c>
      <c r="C1893" s="84">
        <v>4</v>
      </c>
      <c r="D1893" s="84">
        <v>2</v>
      </c>
      <c r="E1893" s="85">
        <v>18634.78</v>
      </c>
      <c r="F1893" s="85">
        <v>18045.66</v>
      </c>
      <c r="G1893" s="85">
        <v>-589.12</v>
      </c>
    </row>
    <row r="1894" spans="1:7" x14ac:dyDescent="0.3">
      <c r="A1894" s="84">
        <v>2026</v>
      </c>
      <c r="B1894" s="84" t="s">
        <v>396</v>
      </c>
      <c r="C1894" s="84">
        <v>4</v>
      </c>
      <c r="D1894" s="84">
        <v>3</v>
      </c>
      <c r="E1894" s="85">
        <v>18634.78</v>
      </c>
      <c r="F1894" s="85">
        <v>18340.64</v>
      </c>
      <c r="G1894" s="85">
        <v>-294.14</v>
      </c>
    </row>
    <row r="1895" spans="1:7" x14ac:dyDescent="0.3">
      <c r="A1895" s="84">
        <v>2026</v>
      </c>
      <c r="B1895" s="84" t="s">
        <v>396</v>
      </c>
      <c r="C1895" s="84">
        <v>4</v>
      </c>
      <c r="D1895" s="84">
        <v>4</v>
      </c>
      <c r="E1895" s="85">
        <v>18634.78</v>
      </c>
      <c r="F1895" s="85">
        <v>18634.78</v>
      </c>
      <c r="G1895" s="85">
        <v>0</v>
      </c>
    </row>
    <row r="1896" spans="1:7" x14ac:dyDescent="0.3">
      <c r="A1896" s="84">
        <v>2026</v>
      </c>
      <c r="B1896" s="84" t="s">
        <v>396</v>
      </c>
      <c r="C1896" s="84">
        <v>4</v>
      </c>
      <c r="D1896" s="84">
        <v>5</v>
      </c>
      <c r="E1896" s="85">
        <v>18634.78</v>
      </c>
      <c r="F1896" s="85">
        <v>18929.48</v>
      </c>
      <c r="G1896" s="85">
        <v>294.7</v>
      </c>
    </row>
    <row r="1897" spans="1:7" x14ac:dyDescent="0.3">
      <c r="A1897" s="84">
        <v>2026</v>
      </c>
      <c r="B1897" s="84" t="s">
        <v>396</v>
      </c>
      <c r="C1897" s="84">
        <v>4</v>
      </c>
      <c r="D1897" s="84">
        <v>6</v>
      </c>
      <c r="E1897" s="85">
        <v>18634.78</v>
      </c>
      <c r="F1897" s="85">
        <v>19126.18</v>
      </c>
      <c r="G1897" s="85">
        <v>491.4</v>
      </c>
    </row>
    <row r="1898" spans="1:7" x14ac:dyDescent="0.3">
      <c r="A1898" s="84">
        <v>2026</v>
      </c>
      <c r="B1898" s="84" t="s">
        <v>396</v>
      </c>
      <c r="C1898" s="84">
        <v>4</v>
      </c>
      <c r="D1898" s="84">
        <v>7</v>
      </c>
      <c r="E1898" s="85">
        <v>18634.78</v>
      </c>
      <c r="F1898" s="85">
        <v>19322.38</v>
      </c>
      <c r="G1898" s="85">
        <v>687.6</v>
      </c>
    </row>
    <row r="1899" spans="1:7" x14ac:dyDescent="0.3">
      <c r="A1899" s="84">
        <v>2026</v>
      </c>
      <c r="B1899" s="84" t="s">
        <v>396</v>
      </c>
      <c r="C1899" s="84">
        <v>4</v>
      </c>
      <c r="D1899" s="84">
        <v>8</v>
      </c>
      <c r="E1899" s="85">
        <v>18634.78</v>
      </c>
      <c r="F1899" s="85">
        <v>19519.16</v>
      </c>
      <c r="G1899" s="85">
        <v>884.38</v>
      </c>
    </row>
    <row r="1900" spans="1:7" x14ac:dyDescent="0.3">
      <c r="A1900" s="84">
        <v>2026</v>
      </c>
      <c r="B1900" s="84" t="s">
        <v>396</v>
      </c>
      <c r="C1900" s="84">
        <v>4</v>
      </c>
      <c r="D1900" s="84">
        <v>9</v>
      </c>
      <c r="E1900" s="85">
        <v>18634.78</v>
      </c>
      <c r="F1900" s="85">
        <v>19716.28</v>
      </c>
      <c r="G1900" s="85">
        <v>1081.5</v>
      </c>
    </row>
    <row r="1901" spans="1:7" x14ac:dyDescent="0.3">
      <c r="A1901" s="84">
        <v>2026</v>
      </c>
      <c r="B1901" s="84" t="s">
        <v>396</v>
      </c>
      <c r="C1901" s="84">
        <v>4</v>
      </c>
      <c r="D1901" s="84">
        <v>10</v>
      </c>
      <c r="E1901" s="85">
        <v>18634.78</v>
      </c>
      <c r="F1901" s="85">
        <v>19912.7</v>
      </c>
      <c r="G1901" s="85">
        <v>1277.92</v>
      </c>
    </row>
    <row r="1902" spans="1:7" x14ac:dyDescent="0.3">
      <c r="A1902" s="84">
        <v>2026</v>
      </c>
      <c r="B1902" s="84" t="s">
        <v>396</v>
      </c>
      <c r="C1902" s="84">
        <v>4</v>
      </c>
      <c r="D1902" s="84">
        <v>11</v>
      </c>
      <c r="E1902" s="85">
        <v>18634.78</v>
      </c>
      <c r="F1902" s="85">
        <v>20305.259999999998</v>
      </c>
      <c r="G1902" s="85">
        <v>1670.48</v>
      </c>
    </row>
    <row r="1903" spans="1:7" x14ac:dyDescent="0.3">
      <c r="A1903" s="84">
        <v>2026</v>
      </c>
      <c r="B1903" s="84" t="s">
        <v>396</v>
      </c>
      <c r="C1903" s="84">
        <v>4</v>
      </c>
      <c r="D1903" s="84">
        <v>12</v>
      </c>
      <c r="E1903" s="85">
        <v>18634.78</v>
      </c>
      <c r="F1903" s="85">
        <v>20698.8</v>
      </c>
      <c r="G1903" s="85">
        <v>2064.02</v>
      </c>
    </row>
    <row r="1904" spans="1:7" x14ac:dyDescent="0.3">
      <c r="A1904" s="84">
        <v>2026</v>
      </c>
      <c r="B1904" s="84" t="s">
        <v>396</v>
      </c>
      <c r="C1904" s="84">
        <v>4</v>
      </c>
      <c r="D1904" s="84">
        <v>13</v>
      </c>
      <c r="E1904" s="85">
        <v>18634.78</v>
      </c>
      <c r="F1904" s="85">
        <v>21092.06</v>
      </c>
      <c r="G1904" s="85">
        <v>2457.2800000000002</v>
      </c>
    </row>
    <row r="1905" spans="1:7" x14ac:dyDescent="0.3">
      <c r="A1905" s="84">
        <v>2026</v>
      </c>
      <c r="B1905" s="84" t="s">
        <v>396</v>
      </c>
      <c r="C1905" s="84">
        <v>4</v>
      </c>
      <c r="D1905" s="84">
        <v>14</v>
      </c>
      <c r="E1905" s="85">
        <v>18634.78</v>
      </c>
      <c r="F1905" s="85">
        <v>21485.88</v>
      </c>
      <c r="G1905" s="85">
        <v>2851.1</v>
      </c>
    </row>
    <row r="1906" spans="1:7" x14ac:dyDescent="0.3">
      <c r="A1906" s="84">
        <v>2026</v>
      </c>
      <c r="B1906" s="84" t="s">
        <v>396</v>
      </c>
      <c r="C1906" s="84">
        <v>4</v>
      </c>
      <c r="D1906" s="84">
        <v>15</v>
      </c>
      <c r="E1906" s="85">
        <v>18634.78</v>
      </c>
      <c r="F1906" s="85">
        <v>21878.16</v>
      </c>
      <c r="G1906" s="85">
        <v>3243.38</v>
      </c>
    </row>
    <row r="1907" spans="1:7" x14ac:dyDescent="0.3">
      <c r="A1907" s="84">
        <v>2026</v>
      </c>
      <c r="B1907" s="84" t="s">
        <v>396</v>
      </c>
      <c r="C1907" s="84">
        <v>4</v>
      </c>
      <c r="D1907" s="84">
        <v>16</v>
      </c>
      <c r="E1907" s="85">
        <v>18634.78</v>
      </c>
      <c r="F1907" s="85">
        <v>22272.12</v>
      </c>
      <c r="G1907" s="85">
        <v>3637.34</v>
      </c>
    </row>
    <row r="1908" spans="1:7" x14ac:dyDescent="0.3">
      <c r="A1908" s="84">
        <v>2026</v>
      </c>
      <c r="B1908" s="84" t="s">
        <v>396</v>
      </c>
      <c r="C1908" s="84">
        <v>4</v>
      </c>
      <c r="D1908" s="84">
        <v>17</v>
      </c>
      <c r="E1908" s="85">
        <v>18634.78</v>
      </c>
      <c r="F1908" s="85">
        <v>22664.400000000001</v>
      </c>
      <c r="G1908" s="85">
        <v>4029.62</v>
      </c>
    </row>
    <row r="1909" spans="1:7" x14ac:dyDescent="0.3">
      <c r="A1909" s="84">
        <v>2026</v>
      </c>
      <c r="B1909" s="84" t="s">
        <v>396</v>
      </c>
      <c r="C1909" s="84">
        <v>4</v>
      </c>
      <c r="D1909" s="84">
        <v>18</v>
      </c>
      <c r="E1909" s="85">
        <v>18634.78</v>
      </c>
      <c r="F1909" s="85">
        <v>23057.94</v>
      </c>
      <c r="G1909" s="85">
        <v>4423.16</v>
      </c>
    </row>
    <row r="1910" spans="1:7" x14ac:dyDescent="0.3">
      <c r="A1910" s="84">
        <v>2026</v>
      </c>
      <c r="B1910" s="84" t="s">
        <v>396</v>
      </c>
      <c r="C1910" s="84">
        <v>4</v>
      </c>
      <c r="D1910" s="84">
        <v>19</v>
      </c>
      <c r="E1910" s="85">
        <v>18634.78</v>
      </c>
      <c r="F1910" s="85">
        <v>23451.06</v>
      </c>
      <c r="G1910" s="85">
        <v>4816.28</v>
      </c>
    </row>
    <row r="1911" spans="1:7" x14ac:dyDescent="0.3">
      <c r="A1911" s="84">
        <v>2026</v>
      </c>
      <c r="B1911" s="84" t="s">
        <v>396</v>
      </c>
      <c r="C1911" s="84">
        <v>4</v>
      </c>
      <c r="D1911" s="84">
        <v>20</v>
      </c>
      <c r="E1911" s="85">
        <v>18634.78</v>
      </c>
      <c r="F1911" s="85">
        <v>23844.04</v>
      </c>
      <c r="G1911" s="85">
        <v>5209.26</v>
      </c>
    </row>
    <row r="1912" spans="1:7" x14ac:dyDescent="0.3">
      <c r="A1912" s="84">
        <v>2026</v>
      </c>
      <c r="B1912" s="84" t="s">
        <v>396</v>
      </c>
      <c r="C1912" s="84">
        <v>4</v>
      </c>
      <c r="D1912" s="84">
        <v>21</v>
      </c>
      <c r="E1912" s="85">
        <v>18634.78</v>
      </c>
      <c r="F1912" s="85">
        <v>24433.439999999999</v>
      </c>
      <c r="G1912" s="85">
        <v>5798.66</v>
      </c>
    </row>
    <row r="1913" spans="1:7" x14ac:dyDescent="0.3">
      <c r="A1913" s="84">
        <v>2026</v>
      </c>
      <c r="B1913" s="84" t="s">
        <v>396</v>
      </c>
      <c r="C1913" s="84">
        <v>4</v>
      </c>
      <c r="D1913" s="84">
        <v>22</v>
      </c>
      <c r="E1913" s="85">
        <v>18634.78</v>
      </c>
      <c r="F1913" s="85">
        <v>25072.12</v>
      </c>
      <c r="G1913" s="85">
        <v>6437.34</v>
      </c>
    </row>
    <row r="1914" spans="1:7" x14ac:dyDescent="0.3">
      <c r="A1914" s="84">
        <v>2026</v>
      </c>
      <c r="B1914" s="84" t="s">
        <v>396</v>
      </c>
      <c r="C1914" s="84">
        <v>4</v>
      </c>
      <c r="D1914" s="84">
        <v>23</v>
      </c>
      <c r="E1914" s="85">
        <v>18634.78</v>
      </c>
      <c r="F1914" s="85">
        <v>25712.62</v>
      </c>
      <c r="G1914" s="85">
        <v>7077.84</v>
      </c>
    </row>
    <row r="1915" spans="1:7" x14ac:dyDescent="0.3">
      <c r="A1915" s="84">
        <v>2026</v>
      </c>
      <c r="B1915" s="84" t="s">
        <v>396</v>
      </c>
      <c r="C1915" s="84">
        <v>4</v>
      </c>
      <c r="D1915" s="84">
        <v>24</v>
      </c>
      <c r="E1915" s="85">
        <v>18634.78</v>
      </c>
      <c r="F1915" s="85">
        <v>26351.86</v>
      </c>
      <c r="G1915" s="85">
        <v>7717.08</v>
      </c>
    </row>
    <row r="1916" spans="1:7" x14ac:dyDescent="0.3">
      <c r="A1916" s="84">
        <v>2026</v>
      </c>
      <c r="B1916" s="84" t="s">
        <v>396</v>
      </c>
      <c r="C1916" s="84">
        <v>4</v>
      </c>
      <c r="D1916" s="84">
        <v>25</v>
      </c>
      <c r="E1916" s="85">
        <v>18634.78</v>
      </c>
      <c r="F1916" s="85">
        <v>26991.94</v>
      </c>
      <c r="G1916" s="85">
        <v>8357.16</v>
      </c>
    </row>
    <row r="1917" spans="1:7" x14ac:dyDescent="0.3">
      <c r="A1917" s="84">
        <v>2026</v>
      </c>
      <c r="B1917" s="84" t="s">
        <v>396</v>
      </c>
      <c r="C1917" s="84">
        <v>4</v>
      </c>
      <c r="D1917" s="84">
        <v>26</v>
      </c>
      <c r="E1917" s="85">
        <v>18634.78</v>
      </c>
      <c r="F1917" s="85">
        <v>28371.22</v>
      </c>
      <c r="G1917" s="85">
        <v>9736.44</v>
      </c>
    </row>
    <row r="1918" spans="1:7" x14ac:dyDescent="0.3">
      <c r="A1918" s="84">
        <v>2026</v>
      </c>
      <c r="B1918" s="84" t="s">
        <v>396</v>
      </c>
      <c r="C1918" s="84">
        <v>4</v>
      </c>
      <c r="D1918" s="84">
        <v>27</v>
      </c>
      <c r="E1918" s="85">
        <v>18634.78</v>
      </c>
      <c r="F1918" s="85">
        <v>30080.48</v>
      </c>
      <c r="G1918" s="85">
        <v>11445.7</v>
      </c>
    </row>
    <row r="1919" spans="1:7" x14ac:dyDescent="0.3">
      <c r="A1919" s="84">
        <v>2026</v>
      </c>
      <c r="B1919" s="84" t="s">
        <v>396</v>
      </c>
      <c r="C1919" s="84">
        <v>4</v>
      </c>
      <c r="D1919" s="84">
        <v>28</v>
      </c>
      <c r="E1919" s="85">
        <v>18634.78</v>
      </c>
      <c r="F1919" s="85">
        <v>30720.98</v>
      </c>
      <c r="G1919" s="85">
        <v>12086.2</v>
      </c>
    </row>
    <row r="1920" spans="1:7" x14ac:dyDescent="0.3">
      <c r="A1920" s="84">
        <v>2026</v>
      </c>
      <c r="B1920" s="84" t="s">
        <v>396</v>
      </c>
      <c r="C1920" s="84">
        <v>4</v>
      </c>
      <c r="D1920" s="84">
        <v>29</v>
      </c>
      <c r="E1920" s="85">
        <v>18634.78</v>
      </c>
      <c r="F1920" s="85">
        <v>31360.36</v>
      </c>
      <c r="G1920" s="85">
        <v>12725.58</v>
      </c>
    </row>
    <row r="1921" spans="1:7" x14ac:dyDescent="0.3">
      <c r="A1921" s="84">
        <v>2026</v>
      </c>
      <c r="B1921" s="84" t="s">
        <v>396</v>
      </c>
      <c r="C1921" s="84">
        <v>4</v>
      </c>
      <c r="D1921" s="84">
        <v>30</v>
      </c>
      <c r="E1921" s="85">
        <v>18634.78</v>
      </c>
      <c r="F1921" s="85">
        <v>33108.68</v>
      </c>
      <c r="G1921" s="85">
        <v>14473.9</v>
      </c>
    </row>
    <row r="1922" spans="1:7" x14ac:dyDescent="0.3">
      <c r="A1922" s="84">
        <v>2026</v>
      </c>
      <c r="B1922" s="84" t="s">
        <v>396</v>
      </c>
      <c r="C1922" s="84">
        <v>5</v>
      </c>
      <c r="D1922" s="84">
        <v>1</v>
      </c>
      <c r="E1922" s="85">
        <v>18929.48</v>
      </c>
      <c r="F1922" s="85">
        <v>17751.240000000002</v>
      </c>
      <c r="G1922" s="85">
        <v>-1178.24</v>
      </c>
    </row>
    <row r="1923" spans="1:7" x14ac:dyDescent="0.3">
      <c r="A1923" s="84">
        <v>2026</v>
      </c>
      <c r="B1923" s="84" t="s">
        <v>396</v>
      </c>
      <c r="C1923" s="84">
        <v>5</v>
      </c>
      <c r="D1923" s="84">
        <v>2</v>
      </c>
      <c r="E1923" s="85">
        <v>18929.48</v>
      </c>
      <c r="F1923" s="85">
        <v>18045.66</v>
      </c>
      <c r="G1923" s="85">
        <v>-883.82</v>
      </c>
    </row>
    <row r="1924" spans="1:7" x14ac:dyDescent="0.3">
      <c r="A1924" s="84">
        <v>2026</v>
      </c>
      <c r="B1924" s="84" t="s">
        <v>396</v>
      </c>
      <c r="C1924" s="84">
        <v>5</v>
      </c>
      <c r="D1924" s="84">
        <v>3</v>
      </c>
      <c r="E1924" s="85">
        <v>18929.48</v>
      </c>
      <c r="F1924" s="85">
        <v>18340.64</v>
      </c>
      <c r="G1924" s="85">
        <v>-588.84</v>
      </c>
    </row>
    <row r="1925" spans="1:7" x14ac:dyDescent="0.3">
      <c r="A1925" s="84">
        <v>2026</v>
      </c>
      <c r="B1925" s="84" t="s">
        <v>396</v>
      </c>
      <c r="C1925" s="84">
        <v>5</v>
      </c>
      <c r="D1925" s="84">
        <v>4</v>
      </c>
      <c r="E1925" s="85">
        <v>18929.48</v>
      </c>
      <c r="F1925" s="85">
        <v>18634.78</v>
      </c>
      <c r="G1925" s="85">
        <v>-294.7</v>
      </c>
    </row>
    <row r="1926" spans="1:7" x14ac:dyDescent="0.3">
      <c r="A1926" s="84">
        <v>2026</v>
      </c>
      <c r="B1926" s="84" t="s">
        <v>396</v>
      </c>
      <c r="C1926" s="84">
        <v>5</v>
      </c>
      <c r="D1926" s="84">
        <v>5</v>
      </c>
      <c r="E1926" s="85">
        <v>18929.48</v>
      </c>
      <c r="F1926" s="85">
        <v>18929.48</v>
      </c>
      <c r="G1926" s="85">
        <v>0</v>
      </c>
    </row>
    <row r="1927" spans="1:7" x14ac:dyDescent="0.3">
      <c r="A1927" s="84">
        <v>2026</v>
      </c>
      <c r="B1927" s="84" t="s">
        <v>396</v>
      </c>
      <c r="C1927" s="84">
        <v>5</v>
      </c>
      <c r="D1927" s="84">
        <v>6</v>
      </c>
      <c r="E1927" s="85">
        <v>18929.48</v>
      </c>
      <c r="F1927" s="85">
        <v>19126.18</v>
      </c>
      <c r="G1927" s="85">
        <v>196.7</v>
      </c>
    </row>
    <row r="1928" spans="1:7" x14ac:dyDescent="0.3">
      <c r="A1928" s="84">
        <v>2026</v>
      </c>
      <c r="B1928" s="84" t="s">
        <v>396</v>
      </c>
      <c r="C1928" s="84">
        <v>5</v>
      </c>
      <c r="D1928" s="84">
        <v>7</v>
      </c>
      <c r="E1928" s="85">
        <v>18929.48</v>
      </c>
      <c r="F1928" s="85">
        <v>19322.38</v>
      </c>
      <c r="G1928" s="85">
        <v>392.9</v>
      </c>
    </row>
    <row r="1929" spans="1:7" x14ac:dyDescent="0.3">
      <c r="A1929" s="84">
        <v>2026</v>
      </c>
      <c r="B1929" s="84" t="s">
        <v>396</v>
      </c>
      <c r="C1929" s="84">
        <v>5</v>
      </c>
      <c r="D1929" s="84">
        <v>8</v>
      </c>
      <c r="E1929" s="85">
        <v>18929.48</v>
      </c>
      <c r="F1929" s="85">
        <v>19519.16</v>
      </c>
      <c r="G1929" s="85">
        <v>589.67999999999995</v>
      </c>
    </row>
    <row r="1930" spans="1:7" x14ac:dyDescent="0.3">
      <c r="A1930" s="84">
        <v>2026</v>
      </c>
      <c r="B1930" s="84" t="s">
        <v>396</v>
      </c>
      <c r="C1930" s="84">
        <v>5</v>
      </c>
      <c r="D1930" s="84">
        <v>9</v>
      </c>
      <c r="E1930" s="85">
        <v>18929.48</v>
      </c>
      <c r="F1930" s="85">
        <v>19716.28</v>
      </c>
      <c r="G1930" s="85">
        <v>786.8</v>
      </c>
    </row>
    <row r="1931" spans="1:7" x14ac:dyDescent="0.3">
      <c r="A1931" s="84">
        <v>2026</v>
      </c>
      <c r="B1931" s="84" t="s">
        <v>396</v>
      </c>
      <c r="C1931" s="84">
        <v>5</v>
      </c>
      <c r="D1931" s="84">
        <v>10</v>
      </c>
      <c r="E1931" s="85">
        <v>18929.48</v>
      </c>
      <c r="F1931" s="85">
        <v>19912.7</v>
      </c>
      <c r="G1931" s="85">
        <v>983.22</v>
      </c>
    </row>
    <row r="1932" spans="1:7" x14ac:dyDescent="0.3">
      <c r="A1932" s="84">
        <v>2026</v>
      </c>
      <c r="B1932" s="84" t="s">
        <v>396</v>
      </c>
      <c r="C1932" s="84">
        <v>5</v>
      </c>
      <c r="D1932" s="84">
        <v>11</v>
      </c>
      <c r="E1932" s="85">
        <v>18929.48</v>
      </c>
      <c r="F1932" s="85">
        <v>20305.259999999998</v>
      </c>
      <c r="G1932" s="85">
        <v>1375.78</v>
      </c>
    </row>
    <row r="1933" spans="1:7" x14ac:dyDescent="0.3">
      <c r="A1933" s="84">
        <v>2026</v>
      </c>
      <c r="B1933" s="84" t="s">
        <v>396</v>
      </c>
      <c r="C1933" s="84">
        <v>5</v>
      </c>
      <c r="D1933" s="84">
        <v>12</v>
      </c>
      <c r="E1933" s="85">
        <v>18929.48</v>
      </c>
      <c r="F1933" s="85">
        <v>20698.8</v>
      </c>
      <c r="G1933" s="85">
        <v>1769.32</v>
      </c>
    </row>
    <row r="1934" spans="1:7" x14ac:dyDescent="0.3">
      <c r="A1934" s="84">
        <v>2026</v>
      </c>
      <c r="B1934" s="84" t="s">
        <v>396</v>
      </c>
      <c r="C1934" s="84">
        <v>5</v>
      </c>
      <c r="D1934" s="84">
        <v>13</v>
      </c>
      <c r="E1934" s="85">
        <v>18929.48</v>
      </c>
      <c r="F1934" s="85">
        <v>21092.06</v>
      </c>
      <c r="G1934" s="85">
        <v>2162.58</v>
      </c>
    </row>
    <row r="1935" spans="1:7" x14ac:dyDescent="0.3">
      <c r="A1935" s="84">
        <v>2026</v>
      </c>
      <c r="B1935" s="84" t="s">
        <v>396</v>
      </c>
      <c r="C1935" s="84">
        <v>5</v>
      </c>
      <c r="D1935" s="84">
        <v>14</v>
      </c>
      <c r="E1935" s="85">
        <v>18929.48</v>
      </c>
      <c r="F1935" s="85">
        <v>21485.88</v>
      </c>
      <c r="G1935" s="85">
        <v>2556.4</v>
      </c>
    </row>
    <row r="1936" spans="1:7" x14ac:dyDescent="0.3">
      <c r="A1936" s="84">
        <v>2026</v>
      </c>
      <c r="B1936" s="84" t="s">
        <v>396</v>
      </c>
      <c r="C1936" s="84">
        <v>5</v>
      </c>
      <c r="D1936" s="84">
        <v>15</v>
      </c>
      <c r="E1936" s="85">
        <v>18929.48</v>
      </c>
      <c r="F1936" s="85">
        <v>21878.16</v>
      </c>
      <c r="G1936" s="85">
        <v>2948.68</v>
      </c>
    </row>
    <row r="1937" spans="1:7" x14ac:dyDescent="0.3">
      <c r="A1937" s="84">
        <v>2026</v>
      </c>
      <c r="B1937" s="84" t="s">
        <v>396</v>
      </c>
      <c r="C1937" s="84">
        <v>5</v>
      </c>
      <c r="D1937" s="84">
        <v>16</v>
      </c>
      <c r="E1937" s="85">
        <v>18929.48</v>
      </c>
      <c r="F1937" s="85">
        <v>22272.12</v>
      </c>
      <c r="G1937" s="85">
        <v>3342.64</v>
      </c>
    </row>
    <row r="1938" spans="1:7" x14ac:dyDescent="0.3">
      <c r="A1938" s="84">
        <v>2026</v>
      </c>
      <c r="B1938" s="84" t="s">
        <v>396</v>
      </c>
      <c r="C1938" s="84">
        <v>5</v>
      </c>
      <c r="D1938" s="84">
        <v>17</v>
      </c>
      <c r="E1938" s="85">
        <v>18929.48</v>
      </c>
      <c r="F1938" s="85">
        <v>22664.400000000001</v>
      </c>
      <c r="G1938" s="85">
        <v>3734.92</v>
      </c>
    </row>
    <row r="1939" spans="1:7" x14ac:dyDescent="0.3">
      <c r="A1939" s="84">
        <v>2026</v>
      </c>
      <c r="B1939" s="84" t="s">
        <v>396</v>
      </c>
      <c r="C1939" s="84">
        <v>5</v>
      </c>
      <c r="D1939" s="84">
        <v>18</v>
      </c>
      <c r="E1939" s="85">
        <v>18929.48</v>
      </c>
      <c r="F1939" s="85">
        <v>23057.94</v>
      </c>
      <c r="G1939" s="85">
        <v>4128.46</v>
      </c>
    </row>
    <row r="1940" spans="1:7" x14ac:dyDescent="0.3">
      <c r="A1940" s="84">
        <v>2026</v>
      </c>
      <c r="B1940" s="84" t="s">
        <v>396</v>
      </c>
      <c r="C1940" s="84">
        <v>5</v>
      </c>
      <c r="D1940" s="84">
        <v>19</v>
      </c>
      <c r="E1940" s="85">
        <v>18929.48</v>
      </c>
      <c r="F1940" s="85">
        <v>23451.06</v>
      </c>
      <c r="G1940" s="85">
        <v>4521.58</v>
      </c>
    </row>
    <row r="1941" spans="1:7" x14ac:dyDescent="0.3">
      <c r="A1941" s="84">
        <v>2026</v>
      </c>
      <c r="B1941" s="84" t="s">
        <v>396</v>
      </c>
      <c r="C1941" s="84">
        <v>5</v>
      </c>
      <c r="D1941" s="84">
        <v>20</v>
      </c>
      <c r="E1941" s="85">
        <v>18929.48</v>
      </c>
      <c r="F1941" s="85">
        <v>23844.04</v>
      </c>
      <c r="G1941" s="85">
        <v>4914.5600000000004</v>
      </c>
    </row>
    <row r="1942" spans="1:7" x14ac:dyDescent="0.3">
      <c r="A1942" s="84">
        <v>2026</v>
      </c>
      <c r="B1942" s="84" t="s">
        <v>396</v>
      </c>
      <c r="C1942" s="84">
        <v>5</v>
      </c>
      <c r="D1942" s="84">
        <v>21</v>
      </c>
      <c r="E1942" s="85">
        <v>18929.48</v>
      </c>
      <c r="F1942" s="85">
        <v>24433.439999999999</v>
      </c>
      <c r="G1942" s="85">
        <v>5503.96</v>
      </c>
    </row>
    <row r="1943" spans="1:7" x14ac:dyDescent="0.3">
      <c r="A1943" s="84">
        <v>2026</v>
      </c>
      <c r="B1943" s="84" t="s">
        <v>396</v>
      </c>
      <c r="C1943" s="84">
        <v>5</v>
      </c>
      <c r="D1943" s="84">
        <v>22</v>
      </c>
      <c r="E1943" s="85">
        <v>18929.48</v>
      </c>
      <c r="F1943" s="85">
        <v>25072.12</v>
      </c>
      <c r="G1943" s="85">
        <v>6142.64</v>
      </c>
    </row>
    <row r="1944" spans="1:7" x14ac:dyDescent="0.3">
      <c r="A1944" s="84">
        <v>2026</v>
      </c>
      <c r="B1944" s="84" t="s">
        <v>396</v>
      </c>
      <c r="C1944" s="84">
        <v>5</v>
      </c>
      <c r="D1944" s="84">
        <v>23</v>
      </c>
      <c r="E1944" s="85">
        <v>18929.48</v>
      </c>
      <c r="F1944" s="85">
        <v>25712.62</v>
      </c>
      <c r="G1944" s="85">
        <v>6783.14</v>
      </c>
    </row>
    <row r="1945" spans="1:7" x14ac:dyDescent="0.3">
      <c r="A1945" s="84">
        <v>2026</v>
      </c>
      <c r="B1945" s="84" t="s">
        <v>396</v>
      </c>
      <c r="C1945" s="84">
        <v>5</v>
      </c>
      <c r="D1945" s="84">
        <v>24</v>
      </c>
      <c r="E1945" s="85">
        <v>18929.48</v>
      </c>
      <c r="F1945" s="85">
        <v>26351.86</v>
      </c>
      <c r="G1945" s="85">
        <v>7422.38</v>
      </c>
    </row>
    <row r="1946" spans="1:7" x14ac:dyDescent="0.3">
      <c r="A1946" s="84">
        <v>2026</v>
      </c>
      <c r="B1946" s="84" t="s">
        <v>396</v>
      </c>
      <c r="C1946" s="84">
        <v>5</v>
      </c>
      <c r="D1946" s="84">
        <v>25</v>
      </c>
      <c r="E1946" s="85">
        <v>18929.48</v>
      </c>
      <c r="F1946" s="85">
        <v>26991.94</v>
      </c>
      <c r="G1946" s="85">
        <v>8062.46</v>
      </c>
    </row>
    <row r="1947" spans="1:7" x14ac:dyDescent="0.3">
      <c r="A1947" s="84">
        <v>2026</v>
      </c>
      <c r="B1947" s="84" t="s">
        <v>396</v>
      </c>
      <c r="C1947" s="84">
        <v>5</v>
      </c>
      <c r="D1947" s="84">
        <v>26</v>
      </c>
      <c r="E1947" s="85">
        <v>18929.48</v>
      </c>
      <c r="F1947" s="85">
        <v>28371.22</v>
      </c>
      <c r="G1947" s="85">
        <v>9441.74</v>
      </c>
    </row>
    <row r="1948" spans="1:7" x14ac:dyDescent="0.3">
      <c r="A1948" s="84">
        <v>2026</v>
      </c>
      <c r="B1948" s="84" t="s">
        <v>396</v>
      </c>
      <c r="C1948" s="84">
        <v>5</v>
      </c>
      <c r="D1948" s="84">
        <v>27</v>
      </c>
      <c r="E1948" s="85">
        <v>18929.48</v>
      </c>
      <c r="F1948" s="85">
        <v>30080.48</v>
      </c>
      <c r="G1948" s="85">
        <v>11151</v>
      </c>
    </row>
    <row r="1949" spans="1:7" x14ac:dyDescent="0.3">
      <c r="A1949" s="84">
        <v>2026</v>
      </c>
      <c r="B1949" s="84" t="s">
        <v>396</v>
      </c>
      <c r="C1949" s="84">
        <v>5</v>
      </c>
      <c r="D1949" s="84">
        <v>28</v>
      </c>
      <c r="E1949" s="85">
        <v>18929.48</v>
      </c>
      <c r="F1949" s="85">
        <v>30720.98</v>
      </c>
      <c r="G1949" s="85">
        <v>11791.5</v>
      </c>
    </row>
    <row r="1950" spans="1:7" x14ac:dyDescent="0.3">
      <c r="A1950" s="84">
        <v>2026</v>
      </c>
      <c r="B1950" s="84" t="s">
        <v>396</v>
      </c>
      <c r="C1950" s="84">
        <v>5</v>
      </c>
      <c r="D1950" s="84">
        <v>29</v>
      </c>
      <c r="E1950" s="85">
        <v>18929.48</v>
      </c>
      <c r="F1950" s="85">
        <v>31360.36</v>
      </c>
      <c r="G1950" s="85">
        <v>12430.88</v>
      </c>
    </row>
    <row r="1951" spans="1:7" x14ac:dyDescent="0.3">
      <c r="A1951" s="84">
        <v>2026</v>
      </c>
      <c r="B1951" s="84" t="s">
        <v>396</v>
      </c>
      <c r="C1951" s="84">
        <v>5</v>
      </c>
      <c r="D1951" s="84">
        <v>30</v>
      </c>
      <c r="E1951" s="85">
        <v>18929.48</v>
      </c>
      <c r="F1951" s="85">
        <v>33108.68</v>
      </c>
      <c r="G1951" s="85">
        <v>14179.2</v>
      </c>
    </row>
    <row r="1952" spans="1:7" x14ac:dyDescent="0.3">
      <c r="A1952" s="84">
        <v>2026</v>
      </c>
      <c r="B1952" s="84" t="s">
        <v>396</v>
      </c>
      <c r="C1952" s="84">
        <v>6</v>
      </c>
      <c r="D1952" s="84">
        <v>1</v>
      </c>
      <c r="E1952" s="85">
        <v>19126.18</v>
      </c>
      <c r="F1952" s="85">
        <v>17751.240000000002</v>
      </c>
      <c r="G1952" s="85">
        <v>-1374.94</v>
      </c>
    </row>
    <row r="1953" spans="1:7" x14ac:dyDescent="0.3">
      <c r="A1953" s="84">
        <v>2026</v>
      </c>
      <c r="B1953" s="84" t="s">
        <v>396</v>
      </c>
      <c r="C1953" s="84">
        <v>6</v>
      </c>
      <c r="D1953" s="84">
        <v>2</v>
      </c>
      <c r="E1953" s="85">
        <v>19126.18</v>
      </c>
      <c r="F1953" s="85">
        <v>18045.66</v>
      </c>
      <c r="G1953" s="85">
        <v>-1080.52</v>
      </c>
    </row>
    <row r="1954" spans="1:7" x14ac:dyDescent="0.3">
      <c r="A1954" s="84">
        <v>2026</v>
      </c>
      <c r="B1954" s="84" t="s">
        <v>396</v>
      </c>
      <c r="C1954" s="84">
        <v>6</v>
      </c>
      <c r="D1954" s="84">
        <v>3</v>
      </c>
      <c r="E1954" s="85">
        <v>19126.18</v>
      </c>
      <c r="F1954" s="85">
        <v>18340.64</v>
      </c>
      <c r="G1954" s="85">
        <v>-785.54</v>
      </c>
    </row>
    <row r="1955" spans="1:7" x14ac:dyDescent="0.3">
      <c r="A1955" s="84">
        <v>2026</v>
      </c>
      <c r="B1955" s="84" t="s">
        <v>396</v>
      </c>
      <c r="C1955" s="84">
        <v>6</v>
      </c>
      <c r="D1955" s="84">
        <v>4</v>
      </c>
      <c r="E1955" s="85">
        <v>19126.18</v>
      </c>
      <c r="F1955" s="85">
        <v>18634.78</v>
      </c>
      <c r="G1955" s="85">
        <v>-491.4</v>
      </c>
    </row>
    <row r="1956" spans="1:7" x14ac:dyDescent="0.3">
      <c r="A1956" s="84">
        <v>2026</v>
      </c>
      <c r="B1956" s="84" t="s">
        <v>396</v>
      </c>
      <c r="C1956" s="84">
        <v>6</v>
      </c>
      <c r="D1956" s="84">
        <v>5</v>
      </c>
      <c r="E1956" s="85">
        <v>19126.18</v>
      </c>
      <c r="F1956" s="85">
        <v>18929.48</v>
      </c>
      <c r="G1956" s="85">
        <v>-196.7</v>
      </c>
    </row>
    <row r="1957" spans="1:7" x14ac:dyDescent="0.3">
      <c r="A1957" s="84">
        <v>2026</v>
      </c>
      <c r="B1957" s="84" t="s">
        <v>396</v>
      </c>
      <c r="C1957" s="84">
        <v>6</v>
      </c>
      <c r="D1957" s="84">
        <v>6</v>
      </c>
      <c r="E1957" s="85">
        <v>19126.18</v>
      </c>
      <c r="F1957" s="85">
        <v>19126.18</v>
      </c>
      <c r="G1957" s="85">
        <v>0</v>
      </c>
    </row>
    <row r="1958" spans="1:7" x14ac:dyDescent="0.3">
      <c r="A1958" s="84">
        <v>2026</v>
      </c>
      <c r="B1958" s="84" t="s">
        <v>396</v>
      </c>
      <c r="C1958" s="84">
        <v>6</v>
      </c>
      <c r="D1958" s="84">
        <v>7</v>
      </c>
      <c r="E1958" s="85">
        <v>19126.18</v>
      </c>
      <c r="F1958" s="85">
        <v>19322.38</v>
      </c>
      <c r="G1958" s="85">
        <v>196.2</v>
      </c>
    </row>
    <row r="1959" spans="1:7" x14ac:dyDescent="0.3">
      <c r="A1959" s="84">
        <v>2026</v>
      </c>
      <c r="B1959" s="84" t="s">
        <v>396</v>
      </c>
      <c r="C1959" s="84">
        <v>6</v>
      </c>
      <c r="D1959" s="84">
        <v>8</v>
      </c>
      <c r="E1959" s="85">
        <v>19126.18</v>
      </c>
      <c r="F1959" s="85">
        <v>19519.16</v>
      </c>
      <c r="G1959" s="85">
        <v>392.98</v>
      </c>
    </row>
    <row r="1960" spans="1:7" x14ac:dyDescent="0.3">
      <c r="A1960" s="84">
        <v>2026</v>
      </c>
      <c r="B1960" s="84" t="s">
        <v>396</v>
      </c>
      <c r="C1960" s="84">
        <v>6</v>
      </c>
      <c r="D1960" s="84">
        <v>9</v>
      </c>
      <c r="E1960" s="85">
        <v>19126.18</v>
      </c>
      <c r="F1960" s="85">
        <v>19716.28</v>
      </c>
      <c r="G1960" s="85">
        <v>590.1</v>
      </c>
    </row>
    <row r="1961" spans="1:7" x14ac:dyDescent="0.3">
      <c r="A1961" s="84">
        <v>2026</v>
      </c>
      <c r="B1961" s="84" t="s">
        <v>396</v>
      </c>
      <c r="C1961" s="84">
        <v>6</v>
      </c>
      <c r="D1961" s="84">
        <v>10</v>
      </c>
      <c r="E1961" s="85">
        <v>19126.18</v>
      </c>
      <c r="F1961" s="85">
        <v>19912.7</v>
      </c>
      <c r="G1961" s="85">
        <v>786.52</v>
      </c>
    </row>
    <row r="1962" spans="1:7" x14ac:dyDescent="0.3">
      <c r="A1962" s="84">
        <v>2026</v>
      </c>
      <c r="B1962" s="84" t="s">
        <v>396</v>
      </c>
      <c r="C1962" s="84">
        <v>6</v>
      </c>
      <c r="D1962" s="84">
        <v>11</v>
      </c>
      <c r="E1962" s="85">
        <v>19126.18</v>
      </c>
      <c r="F1962" s="85">
        <v>20305.259999999998</v>
      </c>
      <c r="G1962" s="85">
        <v>1179.08</v>
      </c>
    </row>
    <row r="1963" spans="1:7" x14ac:dyDescent="0.3">
      <c r="A1963" s="84">
        <v>2026</v>
      </c>
      <c r="B1963" s="84" t="s">
        <v>396</v>
      </c>
      <c r="C1963" s="84">
        <v>6</v>
      </c>
      <c r="D1963" s="84">
        <v>12</v>
      </c>
      <c r="E1963" s="85">
        <v>19126.18</v>
      </c>
      <c r="F1963" s="85">
        <v>20698.8</v>
      </c>
      <c r="G1963" s="85">
        <v>1572.62</v>
      </c>
    </row>
    <row r="1964" spans="1:7" x14ac:dyDescent="0.3">
      <c r="A1964" s="84">
        <v>2026</v>
      </c>
      <c r="B1964" s="84" t="s">
        <v>396</v>
      </c>
      <c r="C1964" s="84">
        <v>6</v>
      </c>
      <c r="D1964" s="84">
        <v>13</v>
      </c>
      <c r="E1964" s="85">
        <v>19126.18</v>
      </c>
      <c r="F1964" s="85">
        <v>21092.06</v>
      </c>
      <c r="G1964" s="85">
        <v>1965.88</v>
      </c>
    </row>
    <row r="1965" spans="1:7" x14ac:dyDescent="0.3">
      <c r="A1965" s="84">
        <v>2026</v>
      </c>
      <c r="B1965" s="84" t="s">
        <v>396</v>
      </c>
      <c r="C1965" s="84">
        <v>6</v>
      </c>
      <c r="D1965" s="84">
        <v>14</v>
      </c>
      <c r="E1965" s="85">
        <v>19126.18</v>
      </c>
      <c r="F1965" s="85">
        <v>21485.88</v>
      </c>
      <c r="G1965" s="85">
        <v>2359.6999999999998</v>
      </c>
    </row>
    <row r="1966" spans="1:7" x14ac:dyDescent="0.3">
      <c r="A1966" s="84">
        <v>2026</v>
      </c>
      <c r="B1966" s="84" t="s">
        <v>396</v>
      </c>
      <c r="C1966" s="84">
        <v>6</v>
      </c>
      <c r="D1966" s="84">
        <v>15</v>
      </c>
      <c r="E1966" s="85">
        <v>19126.18</v>
      </c>
      <c r="F1966" s="85">
        <v>21878.16</v>
      </c>
      <c r="G1966" s="85">
        <v>2751.98</v>
      </c>
    </row>
    <row r="1967" spans="1:7" x14ac:dyDescent="0.3">
      <c r="A1967" s="84">
        <v>2026</v>
      </c>
      <c r="B1967" s="84" t="s">
        <v>396</v>
      </c>
      <c r="C1967" s="84">
        <v>6</v>
      </c>
      <c r="D1967" s="84">
        <v>16</v>
      </c>
      <c r="E1967" s="85">
        <v>19126.18</v>
      </c>
      <c r="F1967" s="85">
        <v>22272.12</v>
      </c>
      <c r="G1967" s="85">
        <v>3145.94</v>
      </c>
    </row>
    <row r="1968" spans="1:7" x14ac:dyDescent="0.3">
      <c r="A1968" s="84">
        <v>2026</v>
      </c>
      <c r="B1968" s="84" t="s">
        <v>396</v>
      </c>
      <c r="C1968" s="84">
        <v>6</v>
      </c>
      <c r="D1968" s="84">
        <v>17</v>
      </c>
      <c r="E1968" s="85">
        <v>19126.18</v>
      </c>
      <c r="F1968" s="85">
        <v>22664.400000000001</v>
      </c>
      <c r="G1968" s="85">
        <v>3538.22</v>
      </c>
    </row>
    <row r="1969" spans="1:7" x14ac:dyDescent="0.3">
      <c r="A1969" s="84">
        <v>2026</v>
      </c>
      <c r="B1969" s="84" t="s">
        <v>396</v>
      </c>
      <c r="C1969" s="84">
        <v>6</v>
      </c>
      <c r="D1969" s="84">
        <v>18</v>
      </c>
      <c r="E1969" s="85">
        <v>19126.18</v>
      </c>
      <c r="F1969" s="85">
        <v>23057.94</v>
      </c>
      <c r="G1969" s="85">
        <v>3931.76</v>
      </c>
    </row>
    <row r="1970" spans="1:7" x14ac:dyDescent="0.3">
      <c r="A1970" s="84">
        <v>2026</v>
      </c>
      <c r="B1970" s="84" t="s">
        <v>396</v>
      </c>
      <c r="C1970" s="84">
        <v>6</v>
      </c>
      <c r="D1970" s="84">
        <v>19</v>
      </c>
      <c r="E1970" s="85">
        <v>19126.18</v>
      </c>
      <c r="F1970" s="85">
        <v>23451.06</v>
      </c>
      <c r="G1970" s="85">
        <v>4324.88</v>
      </c>
    </row>
    <row r="1971" spans="1:7" x14ac:dyDescent="0.3">
      <c r="A1971" s="84">
        <v>2026</v>
      </c>
      <c r="B1971" s="84" t="s">
        <v>396</v>
      </c>
      <c r="C1971" s="84">
        <v>6</v>
      </c>
      <c r="D1971" s="84">
        <v>20</v>
      </c>
      <c r="E1971" s="85">
        <v>19126.18</v>
      </c>
      <c r="F1971" s="85">
        <v>23844.04</v>
      </c>
      <c r="G1971" s="85">
        <v>4717.8599999999997</v>
      </c>
    </row>
    <row r="1972" spans="1:7" x14ac:dyDescent="0.3">
      <c r="A1972" s="84">
        <v>2026</v>
      </c>
      <c r="B1972" s="84" t="s">
        <v>396</v>
      </c>
      <c r="C1972" s="84">
        <v>6</v>
      </c>
      <c r="D1972" s="84">
        <v>21</v>
      </c>
      <c r="E1972" s="85">
        <v>19126.18</v>
      </c>
      <c r="F1972" s="85">
        <v>24433.439999999999</v>
      </c>
      <c r="G1972" s="85">
        <v>5307.26</v>
      </c>
    </row>
    <row r="1973" spans="1:7" x14ac:dyDescent="0.3">
      <c r="A1973" s="84">
        <v>2026</v>
      </c>
      <c r="B1973" s="84" t="s">
        <v>396</v>
      </c>
      <c r="C1973" s="84">
        <v>6</v>
      </c>
      <c r="D1973" s="84">
        <v>22</v>
      </c>
      <c r="E1973" s="85">
        <v>19126.18</v>
      </c>
      <c r="F1973" s="85">
        <v>25072.12</v>
      </c>
      <c r="G1973" s="85">
        <v>5945.94</v>
      </c>
    </row>
    <row r="1974" spans="1:7" x14ac:dyDescent="0.3">
      <c r="A1974" s="84">
        <v>2026</v>
      </c>
      <c r="B1974" s="84" t="s">
        <v>396</v>
      </c>
      <c r="C1974" s="84">
        <v>6</v>
      </c>
      <c r="D1974" s="84">
        <v>23</v>
      </c>
      <c r="E1974" s="85">
        <v>19126.18</v>
      </c>
      <c r="F1974" s="85">
        <v>25712.62</v>
      </c>
      <c r="G1974" s="85">
        <v>6586.44</v>
      </c>
    </row>
    <row r="1975" spans="1:7" x14ac:dyDescent="0.3">
      <c r="A1975" s="84">
        <v>2026</v>
      </c>
      <c r="B1975" s="84" t="s">
        <v>396</v>
      </c>
      <c r="C1975" s="84">
        <v>6</v>
      </c>
      <c r="D1975" s="84">
        <v>24</v>
      </c>
      <c r="E1975" s="85">
        <v>19126.18</v>
      </c>
      <c r="F1975" s="85">
        <v>26351.86</v>
      </c>
      <c r="G1975" s="85">
        <v>7225.68</v>
      </c>
    </row>
    <row r="1976" spans="1:7" x14ac:dyDescent="0.3">
      <c r="A1976" s="84">
        <v>2026</v>
      </c>
      <c r="B1976" s="84" t="s">
        <v>396</v>
      </c>
      <c r="C1976" s="84">
        <v>6</v>
      </c>
      <c r="D1976" s="84">
        <v>25</v>
      </c>
      <c r="E1976" s="85">
        <v>19126.18</v>
      </c>
      <c r="F1976" s="85">
        <v>26991.94</v>
      </c>
      <c r="G1976" s="85">
        <v>7865.76</v>
      </c>
    </row>
    <row r="1977" spans="1:7" x14ac:dyDescent="0.3">
      <c r="A1977" s="84">
        <v>2026</v>
      </c>
      <c r="B1977" s="84" t="s">
        <v>396</v>
      </c>
      <c r="C1977" s="84">
        <v>6</v>
      </c>
      <c r="D1977" s="84">
        <v>26</v>
      </c>
      <c r="E1977" s="85">
        <v>19126.18</v>
      </c>
      <c r="F1977" s="85">
        <v>28371.22</v>
      </c>
      <c r="G1977" s="85">
        <v>9245.0400000000009</v>
      </c>
    </row>
    <row r="1978" spans="1:7" x14ac:dyDescent="0.3">
      <c r="A1978" s="84">
        <v>2026</v>
      </c>
      <c r="B1978" s="84" t="s">
        <v>396</v>
      </c>
      <c r="C1978" s="84">
        <v>6</v>
      </c>
      <c r="D1978" s="84">
        <v>27</v>
      </c>
      <c r="E1978" s="85">
        <v>19126.18</v>
      </c>
      <c r="F1978" s="85">
        <v>30080.48</v>
      </c>
      <c r="G1978" s="85">
        <v>10954.3</v>
      </c>
    </row>
    <row r="1979" spans="1:7" x14ac:dyDescent="0.3">
      <c r="A1979" s="84">
        <v>2026</v>
      </c>
      <c r="B1979" s="84" t="s">
        <v>396</v>
      </c>
      <c r="C1979" s="84">
        <v>6</v>
      </c>
      <c r="D1979" s="84">
        <v>28</v>
      </c>
      <c r="E1979" s="85">
        <v>19126.18</v>
      </c>
      <c r="F1979" s="85">
        <v>30720.98</v>
      </c>
      <c r="G1979" s="85">
        <v>11594.8</v>
      </c>
    </row>
    <row r="1980" spans="1:7" x14ac:dyDescent="0.3">
      <c r="A1980" s="84">
        <v>2026</v>
      </c>
      <c r="B1980" s="84" t="s">
        <v>396</v>
      </c>
      <c r="C1980" s="84">
        <v>6</v>
      </c>
      <c r="D1980" s="84">
        <v>29</v>
      </c>
      <c r="E1980" s="85">
        <v>19126.18</v>
      </c>
      <c r="F1980" s="85">
        <v>31360.36</v>
      </c>
      <c r="G1980" s="85">
        <v>12234.18</v>
      </c>
    </row>
    <row r="1981" spans="1:7" x14ac:dyDescent="0.3">
      <c r="A1981" s="84">
        <v>2026</v>
      </c>
      <c r="B1981" s="84" t="s">
        <v>396</v>
      </c>
      <c r="C1981" s="84">
        <v>6</v>
      </c>
      <c r="D1981" s="84">
        <v>30</v>
      </c>
      <c r="E1981" s="85">
        <v>19126.18</v>
      </c>
      <c r="F1981" s="85">
        <v>33108.68</v>
      </c>
      <c r="G1981" s="85">
        <v>13982.5</v>
      </c>
    </row>
    <row r="1982" spans="1:7" x14ac:dyDescent="0.3">
      <c r="A1982" s="84">
        <v>2026</v>
      </c>
      <c r="B1982" s="84" t="s">
        <v>396</v>
      </c>
      <c r="C1982" s="84">
        <v>7</v>
      </c>
      <c r="D1982" s="84">
        <v>1</v>
      </c>
      <c r="E1982" s="85">
        <v>19322.38</v>
      </c>
      <c r="F1982" s="85">
        <v>17751.240000000002</v>
      </c>
      <c r="G1982" s="85">
        <v>-1571.14</v>
      </c>
    </row>
    <row r="1983" spans="1:7" x14ac:dyDescent="0.3">
      <c r="A1983" s="84">
        <v>2026</v>
      </c>
      <c r="B1983" s="84" t="s">
        <v>396</v>
      </c>
      <c r="C1983" s="84">
        <v>7</v>
      </c>
      <c r="D1983" s="84">
        <v>2</v>
      </c>
      <c r="E1983" s="85">
        <v>19322.38</v>
      </c>
      <c r="F1983" s="85">
        <v>18045.66</v>
      </c>
      <c r="G1983" s="85">
        <v>-1276.72</v>
      </c>
    </row>
    <row r="1984" spans="1:7" x14ac:dyDescent="0.3">
      <c r="A1984" s="84">
        <v>2026</v>
      </c>
      <c r="B1984" s="84" t="s">
        <v>396</v>
      </c>
      <c r="C1984" s="84">
        <v>7</v>
      </c>
      <c r="D1984" s="84">
        <v>3</v>
      </c>
      <c r="E1984" s="85">
        <v>19322.38</v>
      </c>
      <c r="F1984" s="85">
        <v>18340.64</v>
      </c>
      <c r="G1984" s="85">
        <v>-981.74</v>
      </c>
    </row>
    <row r="1985" spans="1:7" x14ac:dyDescent="0.3">
      <c r="A1985" s="84">
        <v>2026</v>
      </c>
      <c r="B1985" s="84" t="s">
        <v>396</v>
      </c>
      <c r="C1985" s="84">
        <v>7</v>
      </c>
      <c r="D1985" s="84">
        <v>4</v>
      </c>
      <c r="E1985" s="85">
        <v>19322.38</v>
      </c>
      <c r="F1985" s="85">
        <v>18634.78</v>
      </c>
      <c r="G1985" s="85">
        <v>-687.6</v>
      </c>
    </row>
    <row r="1986" spans="1:7" x14ac:dyDescent="0.3">
      <c r="A1986" s="84">
        <v>2026</v>
      </c>
      <c r="B1986" s="84" t="s">
        <v>396</v>
      </c>
      <c r="C1986" s="84">
        <v>7</v>
      </c>
      <c r="D1986" s="84">
        <v>5</v>
      </c>
      <c r="E1986" s="85">
        <v>19322.38</v>
      </c>
      <c r="F1986" s="85">
        <v>18929.48</v>
      </c>
      <c r="G1986" s="85">
        <v>-392.9</v>
      </c>
    </row>
    <row r="1987" spans="1:7" x14ac:dyDescent="0.3">
      <c r="A1987" s="84">
        <v>2026</v>
      </c>
      <c r="B1987" s="84" t="s">
        <v>396</v>
      </c>
      <c r="C1987" s="84">
        <v>7</v>
      </c>
      <c r="D1987" s="84">
        <v>6</v>
      </c>
      <c r="E1987" s="85">
        <v>19322.38</v>
      </c>
      <c r="F1987" s="85">
        <v>19126.18</v>
      </c>
      <c r="G1987" s="85">
        <v>-196.2</v>
      </c>
    </row>
    <row r="1988" spans="1:7" x14ac:dyDescent="0.3">
      <c r="A1988" s="84">
        <v>2026</v>
      </c>
      <c r="B1988" s="84" t="s">
        <v>396</v>
      </c>
      <c r="C1988" s="84">
        <v>7</v>
      </c>
      <c r="D1988" s="84">
        <v>7</v>
      </c>
      <c r="E1988" s="85">
        <v>19322.38</v>
      </c>
      <c r="F1988" s="85">
        <v>19322.38</v>
      </c>
      <c r="G1988" s="85">
        <v>0</v>
      </c>
    </row>
    <row r="1989" spans="1:7" x14ac:dyDescent="0.3">
      <c r="A1989" s="84">
        <v>2026</v>
      </c>
      <c r="B1989" s="84" t="s">
        <v>396</v>
      </c>
      <c r="C1989" s="84">
        <v>7</v>
      </c>
      <c r="D1989" s="84">
        <v>8</v>
      </c>
      <c r="E1989" s="85">
        <v>19322.38</v>
      </c>
      <c r="F1989" s="85">
        <v>19519.16</v>
      </c>
      <c r="G1989" s="85">
        <v>196.78</v>
      </c>
    </row>
    <row r="1990" spans="1:7" x14ac:dyDescent="0.3">
      <c r="A1990" s="84">
        <v>2026</v>
      </c>
      <c r="B1990" s="84" t="s">
        <v>396</v>
      </c>
      <c r="C1990" s="84">
        <v>7</v>
      </c>
      <c r="D1990" s="84">
        <v>9</v>
      </c>
      <c r="E1990" s="85">
        <v>19322.38</v>
      </c>
      <c r="F1990" s="85">
        <v>19716.28</v>
      </c>
      <c r="G1990" s="85">
        <v>393.9</v>
      </c>
    </row>
    <row r="1991" spans="1:7" x14ac:dyDescent="0.3">
      <c r="A1991" s="84">
        <v>2026</v>
      </c>
      <c r="B1991" s="84" t="s">
        <v>396</v>
      </c>
      <c r="C1991" s="84">
        <v>7</v>
      </c>
      <c r="D1991" s="84">
        <v>10</v>
      </c>
      <c r="E1991" s="85">
        <v>19322.38</v>
      </c>
      <c r="F1991" s="85">
        <v>19912.7</v>
      </c>
      <c r="G1991" s="85">
        <v>590.32000000000005</v>
      </c>
    </row>
    <row r="1992" spans="1:7" x14ac:dyDescent="0.3">
      <c r="A1992" s="84">
        <v>2026</v>
      </c>
      <c r="B1992" s="84" t="s">
        <v>396</v>
      </c>
      <c r="C1992" s="84">
        <v>7</v>
      </c>
      <c r="D1992" s="84">
        <v>11</v>
      </c>
      <c r="E1992" s="85">
        <v>19322.38</v>
      </c>
      <c r="F1992" s="85">
        <v>20305.259999999998</v>
      </c>
      <c r="G1992" s="85">
        <v>982.88</v>
      </c>
    </row>
    <row r="1993" spans="1:7" x14ac:dyDescent="0.3">
      <c r="A1993" s="84">
        <v>2026</v>
      </c>
      <c r="B1993" s="84" t="s">
        <v>396</v>
      </c>
      <c r="C1993" s="84">
        <v>7</v>
      </c>
      <c r="D1993" s="84">
        <v>12</v>
      </c>
      <c r="E1993" s="85">
        <v>19322.38</v>
      </c>
      <c r="F1993" s="85">
        <v>20698.8</v>
      </c>
      <c r="G1993" s="85">
        <v>1376.42</v>
      </c>
    </row>
    <row r="1994" spans="1:7" x14ac:dyDescent="0.3">
      <c r="A1994" s="84">
        <v>2026</v>
      </c>
      <c r="B1994" s="84" t="s">
        <v>396</v>
      </c>
      <c r="C1994" s="84">
        <v>7</v>
      </c>
      <c r="D1994" s="84">
        <v>13</v>
      </c>
      <c r="E1994" s="85">
        <v>19322.38</v>
      </c>
      <c r="F1994" s="85">
        <v>21092.06</v>
      </c>
      <c r="G1994" s="85">
        <v>1769.68</v>
      </c>
    </row>
    <row r="1995" spans="1:7" x14ac:dyDescent="0.3">
      <c r="A1995" s="84">
        <v>2026</v>
      </c>
      <c r="B1995" s="84" t="s">
        <v>396</v>
      </c>
      <c r="C1995" s="84">
        <v>7</v>
      </c>
      <c r="D1995" s="84">
        <v>14</v>
      </c>
      <c r="E1995" s="85">
        <v>19322.38</v>
      </c>
      <c r="F1995" s="85">
        <v>21485.88</v>
      </c>
      <c r="G1995" s="85">
        <v>2163.5</v>
      </c>
    </row>
    <row r="1996" spans="1:7" x14ac:dyDescent="0.3">
      <c r="A1996" s="84">
        <v>2026</v>
      </c>
      <c r="B1996" s="84" t="s">
        <v>396</v>
      </c>
      <c r="C1996" s="84">
        <v>7</v>
      </c>
      <c r="D1996" s="84">
        <v>15</v>
      </c>
      <c r="E1996" s="85">
        <v>19322.38</v>
      </c>
      <c r="F1996" s="85">
        <v>21878.16</v>
      </c>
      <c r="G1996" s="85">
        <v>2555.7800000000002</v>
      </c>
    </row>
    <row r="1997" spans="1:7" x14ac:dyDescent="0.3">
      <c r="A1997" s="84">
        <v>2026</v>
      </c>
      <c r="B1997" s="84" t="s">
        <v>396</v>
      </c>
      <c r="C1997" s="84">
        <v>7</v>
      </c>
      <c r="D1997" s="84">
        <v>16</v>
      </c>
      <c r="E1997" s="85">
        <v>19322.38</v>
      </c>
      <c r="F1997" s="85">
        <v>22272.12</v>
      </c>
      <c r="G1997" s="85">
        <v>2949.74</v>
      </c>
    </row>
    <row r="1998" spans="1:7" x14ac:dyDescent="0.3">
      <c r="A1998" s="84">
        <v>2026</v>
      </c>
      <c r="B1998" s="84" t="s">
        <v>396</v>
      </c>
      <c r="C1998" s="84">
        <v>7</v>
      </c>
      <c r="D1998" s="84">
        <v>17</v>
      </c>
      <c r="E1998" s="85">
        <v>19322.38</v>
      </c>
      <c r="F1998" s="85">
        <v>22664.400000000001</v>
      </c>
      <c r="G1998" s="85">
        <v>3342.02</v>
      </c>
    </row>
    <row r="1999" spans="1:7" x14ac:dyDescent="0.3">
      <c r="A1999" s="84">
        <v>2026</v>
      </c>
      <c r="B1999" s="84" t="s">
        <v>396</v>
      </c>
      <c r="C1999" s="84">
        <v>7</v>
      </c>
      <c r="D1999" s="84">
        <v>18</v>
      </c>
      <c r="E1999" s="85">
        <v>19322.38</v>
      </c>
      <c r="F1999" s="85">
        <v>23057.94</v>
      </c>
      <c r="G1999" s="85">
        <v>3735.56</v>
      </c>
    </row>
    <row r="2000" spans="1:7" x14ac:dyDescent="0.3">
      <c r="A2000" s="84">
        <v>2026</v>
      </c>
      <c r="B2000" s="84" t="s">
        <v>396</v>
      </c>
      <c r="C2000" s="84">
        <v>7</v>
      </c>
      <c r="D2000" s="84">
        <v>19</v>
      </c>
      <c r="E2000" s="85">
        <v>19322.38</v>
      </c>
      <c r="F2000" s="85">
        <v>23451.06</v>
      </c>
      <c r="G2000" s="85">
        <v>4128.68</v>
      </c>
    </row>
    <row r="2001" spans="1:7" x14ac:dyDescent="0.3">
      <c r="A2001" s="84">
        <v>2026</v>
      </c>
      <c r="B2001" s="84" t="s">
        <v>396</v>
      </c>
      <c r="C2001" s="84">
        <v>7</v>
      </c>
      <c r="D2001" s="84">
        <v>20</v>
      </c>
      <c r="E2001" s="85">
        <v>19322.38</v>
      </c>
      <c r="F2001" s="85">
        <v>23844.04</v>
      </c>
      <c r="G2001" s="85">
        <v>4521.66</v>
      </c>
    </row>
    <row r="2002" spans="1:7" x14ac:dyDescent="0.3">
      <c r="A2002" s="84">
        <v>2026</v>
      </c>
      <c r="B2002" s="84" t="s">
        <v>396</v>
      </c>
      <c r="C2002" s="84">
        <v>7</v>
      </c>
      <c r="D2002" s="84">
        <v>21</v>
      </c>
      <c r="E2002" s="85">
        <v>19322.38</v>
      </c>
      <c r="F2002" s="85">
        <v>24433.439999999999</v>
      </c>
      <c r="G2002" s="85">
        <v>5111.0600000000004</v>
      </c>
    </row>
    <row r="2003" spans="1:7" x14ac:dyDescent="0.3">
      <c r="A2003" s="84">
        <v>2026</v>
      </c>
      <c r="B2003" s="84" t="s">
        <v>396</v>
      </c>
      <c r="C2003" s="84">
        <v>7</v>
      </c>
      <c r="D2003" s="84">
        <v>22</v>
      </c>
      <c r="E2003" s="85">
        <v>19322.38</v>
      </c>
      <c r="F2003" s="85">
        <v>25072.12</v>
      </c>
      <c r="G2003" s="85">
        <v>5749.74</v>
      </c>
    </row>
    <row r="2004" spans="1:7" x14ac:dyDescent="0.3">
      <c r="A2004" s="84">
        <v>2026</v>
      </c>
      <c r="B2004" s="84" t="s">
        <v>396</v>
      </c>
      <c r="C2004" s="84">
        <v>7</v>
      </c>
      <c r="D2004" s="84">
        <v>23</v>
      </c>
      <c r="E2004" s="85">
        <v>19322.38</v>
      </c>
      <c r="F2004" s="85">
        <v>25712.62</v>
      </c>
      <c r="G2004" s="85">
        <v>6390.24</v>
      </c>
    </row>
    <row r="2005" spans="1:7" x14ac:dyDescent="0.3">
      <c r="A2005" s="84">
        <v>2026</v>
      </c>
      <c r="B2005" s="84" t="s">
        <v>396</v>
      </c>
      <c r="C2005" s="84">
        <v>7</v>
      </c>
      <c r="D2005" s="84">
        <v>24</v>
      </c>
      <c r="E2005" s="85">
        <v>19322.38</v>
      </c>
      <c r="F2005" s="85">
        <v>26351.86</v>
      </c>
      <c r="G2005" s="85">
        <v>7029.48</v>
      </c>
    </row>
    <row r="2006" spans="1:7" x14ac:dyDescent="0.3">
      <c r="A2006" s="84">
        <v>2026</v>
      </c>
      <c r="B2006" s="84" t="s">
        <v>396</v>
      </c>
      <c r="C2006" s="84">
        <v>7</v>
      </c>
      <c r="D2006" s="84">
        <v>25</v>
      </c>
      <c r="E2006" s="85">
        <v>19322.38</v>
      </c>
      <c r="F2006" s="85">
        <v>26991.94</v>
      </c>
      <c r="G2006" s="85">
        <v>7669.56</v>
      </c>
    </row>
    <row r="2007" spans="1:7" x14ac:dyDescent="0.3">
      <c r="A2007" s="84">
        <v>2026</v>
      </c>
      <c r="B2007" s="84" t="s">
        <v>396</v>
      </c>
      <c r="C2007" s="84">
        <v>7</v>
      </c>
      <c r="D2007" s="84">
        <v>26</v>
      </c>
      <c r="E2007" s="85">
        <v>19322.38</v>
      </c>
      <c r="F2007" s="85">
        <v>28371.22</v>
      </c>
      <c r="G2007" s="85">
        <v>9048.84</v>
      </c>
    </row>
    <row r="2008" spans="1:7" x14ac:dyDescent="0.3">
      <c r="A2008" s="84">
        <v>2026</v>
      </c>
      <c r="B2008" s="84" t="s">
        <v>396</v>
      </c>
      <c r="C2008" s="84">
        <v>7</v>
      </c>
      <c r="D2008" s="84">
        <v>27</v>
      </c>
      <c r="E2008" s="85">
        <v>19322.38</v>
      </c>
      <c r="F2008" s="85">
        <v>30080.48</v>
      </c>
      <c r="G2008" s="85">
        <v>10758.1</v>
      </c>
    </row>
    <row r="2009" spans="1:7" x14ac:dyDescent="0.3">
      <c r="A2009" s="84">
        <v>2026</v>
      </c>
      <c r="B2009" s="84" t="s">
        <v>396</v>
      </c>
      <c r="C2009" s="84">
        <v>7</v>
      </c>
      <c r="D2009" s="84">
        <v>28</v>
      </c>
      <c r="E2009" s="85">
        <v>19322.38</v>
      </c>
      <c r="F2009" s="85">
        <v>30720.98</v>
      </c>
      <c r="G2009" s="85">
        <v>11398.6</v>
      </c>
    </row>
    <row r="2010" spans="1:7" x14ac:dyDescent="0.3">
      <c r="A2010" s="84">
        <v>2026</v>
      </c>
      <c r="B2010" s="84" t="s">
        <v>396</v>
      </c>
      <c r="C2010" s="84">
        <v>7</v>
      </c>
      <c r="D2010" s="84">
        <v>29</v>
      </c>
      <c r="E2010" s="85">
        <v>19322.38</v>
      </c>
      <c r="F2010" s="85">
        <v>31360.36</v>
      </c>
      <c r="G2010" s="85">
        <v>12037.98</v>
      </c>
    </row>
    <row r="2011" spans="1:7" x14ac:dyDescent="0.3">
      <c r="A2011" s="84">
        <v>2026</v>
      </c>
      <c r="B2011" s="84" t="s">
        <v>396</v>
      </c>
      <c r="C2011" s="84">
        <v>7</v>
      </c>
      <c r="D2011" s="84">
        <v>30</v>
      </c>
      <c r="E2011" s="85">
        <v>19322.38</v>
      </c>
      <c r="F2011" s="85">
        <v>33108.68</v>
      </c>
      <c r="G2011" s="85">
        <v>13786.3</v>
      </c>
    </row>
    <row r="2012" spans="1:7" x14ac:dyDescent="0.3">
      <c r="A2012" s="84">
        <v>2026</v>
      </c>
      <c r="B2012" s="84" t="s">
        <v>396</v>
      </c>
      <c r="C2012" s="84">
        <v>8</v>
      </c>
      <c r="D2012" s="84">
        <v>1</v>
      </c>
      <c r="E2012" s="85">
        <v>19519.16</v>
      </c>
      <c r="F2012" s="85">
        <v>17751.240000000002</v>
      </c>
      <c r="G2012" s="85">
        <v>-1767.92</v>
      </c>
    </row>
    <row r="2013" spans="1:7" x14ac:dyDescent="0.3">
      <c r="A2013" s="84">
        <v>2026</v>
      </c>
      <c r="B2013" s="84" t="s">
        <v>396</v>
      </c>
      <c r="C2013" s="84">
        <v>8</v>
      </c>
      <c r="D2013" s="84">
        <v>2</v>
      </c>
      <c r="E2013" s="85">
        <v>19519.16</v>
      </c>
      <c r="F2013" s="85">
        <v>18045.66</v>
      </c>
      <c r="G2013" s="85">
        <v>-1473.5</v>
      </c>
    </row>
    <row r="2014" spans="1:7" x14ac:dyDescent="0.3">
      <c r="A2014" s="84">
        <v>2026</v>
      </c>
      <c r="B2014" s="84" t="s">
        <v>396</v>
      </c>
      <c r="C2014" s="84">
        <v>8</v>
      </c>
      <c r="D2014" s="84">
        <v>3</v>
      </c>
      <c r="E2014" s="85">
        <v>19519.16</v>
      </c>
      <c r="F2014" s="85">
        <v>18340.64</v>
      </c>
      <c r="G2014" s="85">
        <v>-1178.52</v>
      </c>
    </row>
    <row r="2015" spans="1:7" x14ac:dyDescent="0.3">
      <c r="A2015" s="84">
        <v>2026</v>
      </c>
      <c r="B2015" s="84" t="s">
        <v>396</v>
      </c>
      <c r="C2015" s="84">
        <v>8</v>
      </c>
      <c r="D2015" s="84">
        <v>4</v>
      </c>
      <c r="E2015" s="85">
        <v>19519.16</v>
      </c>
      <c r="F2015" s="85">
        <v>18634.78</v>
      </c>
      <c r="G2015" s="85">
        <v>-884.38</v>
      </c>
    </row>
    <row r="2016" spans="1:7" x14ac:dyDescent="0.3">
      <c r="A2016" s="84">
        <v>2026</v>
      </c>
      <c r="B2016" s="84" t="s">
        <v>396</v>
      </c>
      <c r="C2016" s="84">
        <v>8</v>
      </c>
      <c r="D2016" s="84">
        <v>5</v>
      </c>
      <c r="E2016" s="85">
        <v>19519.16</v>
      </c>
      <c r="F2016" s="85">
        <v>18929.48</v>
      </c>
      <c r="G2016" s="85">
        <v>-589.67999999999995</v>
      </c>
    </row>
    <row r="2017" spans="1:7" x14ac:dyDescent="0.3">
      <c r="A2017" s="84">
        <v>2026</v>
      </c>
      <c r="B2017" s="84" t="s">
        <v>396</v>
      </c>
      <c r="C2017" s="84">
        <v>8</v>
      </c>
      <c r="D2017" s="84">
        <v>6</v>
      </c>
      <c r="E2017" s="85">
        <v>19519.16</v>
      </c>
      <c r="F2017" s="85">
        <v>19126.18</v>
      </c>
      <c r="G2017" s="85">
        <v>-392.98</v>
      </c>
    </row>
    <row r="2018" spans="1:7" x14ac:dyDescent="0.3">
      <c r="A2018" s="84">
        <v>2026</v>
      </c>
      <c r="B2018" s="84" t="s">
        <v>396</v>
      </c>
      <c r="C2018" s="84">
        <v>8</v>
      </c>
      <c r="D2018" s="84">
        <v>7</v>
      </c>
      <c r="E2018" s="85">
        <v>19519.16</v>
      </c>
      <c r="F2018" s="85">
        <v>19322.38</v>
      </c>
      <c r="G2018" s="85">
        <v>-196.78</v>
      </c>
    </row>
    <row r="2019" spans="1:7" x14ac:dyDescent="0.3">
      <c r="A2019" s="84">
        <v>2026</v>
      </c>
      <c r="B2019" s="84" t="s">
        <v>396</v>
      </c>
      <c r="C2019" s="84">
        <v>8</v>
      </c>
      <c r="D2019" s="84">
        <v>8</v>
      </c>
      <c r="E2019" s="85">
        <v>19519.16</v>
      </c>
      <c r="F2019" s="85">
        <v>19519.16</v>
      </c>
      <c r="G2019" s="85">
        <v>0</v>
      </c>
    </row>
    <row r="2020" spans="1:7" x14ac:dyDescent="0.3">
      <c r="A2020" s="84">
        <v>2026</v>
      </c>
      <c r="B2020" s="84" t="s">
        <v>396</v>
      </c>
      <c r="C2020" s="84">
        <v>8</v>
      </c>
      <c r="D2020" s="84">
        <v>9</v>
      </c>
      <c r="E2020" s="85">
        <v>19519.16</v>
      </c>
      <c r="F2020" s="85">
        <v>19716.28</v>
      </c>
      <c r="G2020" s="85">
        <v>197.12</v>
      </c>
    </row>
    <row r="2021" spans="1:7" x14ac:dyDescent="0.3">
      <c r="A2021" s="84">
        <v>2026</v>
      </c>
      <c r="B2021" s="84" t="s">
        <v>396</v>
      </c>
      <c r="C2021" s="84">
        <v>8</v>
      </c>
      <c r="D2021" s="84">
        <v>10</v>
      </c>
      <c r="E2021" s="85">
        <v>19519.16</v>
      </c>
      <c r="F2021" s="85">
        <v>19912.7</v>
      </c>
      <c r="G2021" s="85">
        <v>393.54</v>
      </c>
    </row>
    <row r="2022" spans="1:7" x14ac:dyDescent="0.3">
      <c r="A2022" s="84">
        <v>2026</v>
      </c>
      <c r="B2022" s="84" t="s">
        <v>396</v>
      </c>
      <c r="C2022" s="84">
        <v>8</v>
      </c>
      <c r="D2022" s="84">
        <v>11</v>
      </c>
      <c r="E2022" s="85">
        <v>19519.16</v>
      </c>
      <c r="F2022" s="85">
        <v>20305.259999999998</v>
      </c>
      <c r="G2022" s="85">
        <v>786.1</v>
      </c>
    </row>
    <row r="2023" spans="1:7" x14ac:dyDescent="0.3">
      <c r="A2023" s="84">
        <v>2026</v>
      </c>
      <c r="B2023" s="84" t="s">
        <v>396</v>
      </c>
      <c r="C2023" s="84">
        <v>8</v>
      </c>
      <c r="D2023" s="84">
        <v>12</v>
      </c>
      <c r="E2023" s="85">
        <v>19519.16</v>
      </c>
      <c r="F2023" s="85">
        <v>20698.8</v>
      </c>
      <c r="G2023" s="85">
        <v>1179.6400000000001</v>
      </c>
    </row>
    <row r="2024" spans="1:7" x14ac:dyDescent="0.3">
      <c r="A2024" s="84">
        <v>2026</v>
      </c>
      <c r="B2024" s="84" t="s">
        <v>396</v>
      </c>
      <c r="C2024" s="84">
        <v>8</v>
      </c>
      <c r="D2024" s="84">
        <v>13</v>
      </c>
      <c r="E2024" s="85">
        <v>19519.16</v>
      </c>
      <c r="F2024" s="85">
        <v>21092.06</v>
      </c>
      <c r="G2024" s="85">
        <v>1572.9</v>
      </c>
    </row>
    <row r="2025" spans="1:7" x14ac:dyDescent="0.3">
      <c r="A2025" s="84">
        <v>2026</v>
      </c>
      <c r="B2025" s="84" t="s">
        <v>396</v>
      </c>
      <c r="C2025" s="84">
        <v>8</v>
      </c>
      <c r="D2025" s="84">
        <v>14</v>
      </c>
      <c r="E2025" s="85">
        <v>19519.16</v>
      </c>
      <c r="F2025" s="85">
        <v>21485.88</v>
      </c>
      <c r="G2025" s="85">
        <v>1966.72</v>
      </c>
    </row>
    <row r="2026" spans="1:7" x14ac:dyDescent="0.3">
      <c r="A2026" s="84">
        <v>2026</v>
      </c>
      <c r="B2026" s="84" t="s">
        <v>396</v>
      </c>
      <c r="C2026" s="84">
        <v>8</v>
      </c>
      <c r="D2026" s="84">
        <v>15</v>
      </c>
      <c r="E2026" s="85">
        <v>19519.16</v>
      </c>
      <c r="F2026" s="85">
        <v>21878.16</v>
      </c>
      <c r="G2026" s="85">
        <v>2359</v>
      </c>
    </row>
    <row r="2027" spans="1:7" x14ac:dyDescent="0.3">
      <c r="A2027" s="84">
        <v>2026</v>
      </c>
      <c r="B2027" s="84" t="s">
        <v>396</v>
      </c>
      <c r="C2027" s="84">
        <v>8</v>
      </c>
      <c r="D2027" s="84">
        <v>16</v>
      </c>
      <c r="E2027" s="85">
        <v>19519.16</v>
      </c>
      <c r="F2027" s="85">
        <v>22272.12</v>
      </c>
      <c r="G2027" s="85">
        <v>2752.96</v>
      </c>
    </row>
    <row r="2028" spans="1:7" x14ac:dyDescent="0.3">
      <c r="A2028" s="84">
        <v>2026</v>
      </c>
      <c r="B2028" s="84" t="s">
        <v>396</v>
      </c>
      <c r="C2028" s="84">
        <v>8</v>
      </c>
      <c r="D2028" s="84">
        <v>17</v>
      </c>
      <c r="E2028" s="85">
        <v>19519.16</v>
      </c>
      <c r="F2028" s="85">
        <v>22664.400000000001</v>
      </c>
      <c r="G2028" s="85">
        <v>3145.24</v>
      </c>
    </row>
    <row r="2029" spans="1:7" x14ac:dyDescent="0.3">
      <c r="A2029" s="84">
        <v>2026</v>
      </c>
      <c r="B2029" s="84" t="s">
        <v>396</v>
      </c>
      <c r="C2029" s="84">
        <v>8</v>
      </c>
      <c r="D2029" s="84">
        <v>18</v>
      </c>
      <c r="E2029" s="85">
        <v>19519.16</v>
      </c>
      <c r="F2029" s="85">
        <v>23057.94</v>
      </c>
      <c r="G2029" s="85">
        <v>3538.78</v>
      </c>
    </row>
    <row r="2030" spans="1:7" x14ac:dyDescent="0.3">
      <c r="A2030" s="84">
        <v>2026</v>
      </c>
      <c r="B2030" s="84" t="s">
        <v>396</v>
      </c>
      <c r="C2030" s="84">
        <v>8</v>
      </c>
      <c r="D2030" s="84">
        <v>19</v>
      </c>
      <c r="E2030" s="85">
        <v>19519.16</v>
      </c>
      <c r="F2030" s="85">
        <v>23451.06</v>
      </c>
      <c r="G2030" s="85">
        <v>3931.9</v>
      </c>
    </row>
    <row r="2031" spans="1:7" x14ac:dyDescent="0.3">
      <c r="A2031" s="84">
        <v>2026</v>
      </c>
      <c r="B2031" s="84" t="s">
        <v>396</v>
      </c>
      <c r="C2031" s="84">
        <v>8</v>
      </c>
      <c r="D2031" s="84">
        <v>20</v>
      </c>
      <c r="E2031" s="85">
        <v>19519.16</v>
      </c>
      <c r="F2031" s="85">
        <v>23844.04</v>
      </c>
      <c r="G2031" s="85">
        <v>4324.88</v>
      </c>
    </row>
    <row r="2032" spans="1:7" x14ac:dyDescent="0.3">
      <c r="A2032" s="84">
        <v>2026</v>
      </c>
      <c r="B2032" s="84" t="s">
        <v>396</v>
      </c>
      <c r="C2032" s="84">
        <v>8</v>
      </c>
      <c r="D2032" s="84">
        <v>21</v>
      </c>
      <c r="E2032" s="85">
        <v>19519.16</v>
      </c>
      <c r="F2032" s="85">
        <v>24433.439999999999</v>
      </c>
      <c r="G2032" s="85">
        <v>4914.28</v>
      </c>
    </row>
    <row r="2033" spans="1:7" x14ac:dyDescent="0.3">
      <c r="A2033" s="84">
        <v>2026</v>
      </c>
      <c r="B2033" s="84" t="s">
        <v>396</v>
      </c>
      <c r="C2033" s="84">
        <v>8</v>
      </c>
      <c r="D2033" s="84">
        <v>22</v>
      </c>
      <c r="E2033" s="85">
        <v>19519.16</v>
      </c>
      <c r="F2033" s="85">
        <v>25072.12</v>
      </c>
      <c r="G2033" s="85">
        <v>5552.96</v>
      </c>
    </row>
    <row r="2034" spans="1:7" x14ac:dyDescent="0.3">
      <c r="A2034" s="84">
        <v>2026</v>
      </c>
      <c r="B2034" s="84" t="s">
        <v>396</v>
      </c>
      <c r="C2034" s="84">
        <v>8</v>
      </c>
      <c r="D2034" s="84">
        <v>23</v>
      </c>
      <c r="E2034" s="85">
        <v>19519.16</v>
      </c>
      <c r="F2034" s="85">
        <v>25712.62</v>
      </c>
      <c r="G2034" s="85">
        <v>6193.46</v>
      </c>
    </row>
    <row r="2035" spans="1:7" x14ac:dyDescent="0.3">
      <c r="A2035" s="84">
        <v>2026</v>
      </c>
      <c r="B2035" s="84" t="s">
        <v>396</v>
      </c>
      <c r="C2035" s="84">
        <v>8</v>
      </c>
      <c r="D2035" s="84">
        <v>24</v>
      </c>
      <c r="E2035" s="85">
        <v>19519.16</v>
      </c>
      <c r="F2035" s="85">
        <v>26351.86</v>
      </c>
      <c r="G2035" s="85">
        <v>6832.7</v>
      </c>
    </row>
    <row r="2036" spans="1:7" x14ac:dyDescent="0.3">
      <c r="A2036" s="84">
        <v>2026</v>
      </c>
      <c r="B2036" s="84" t="s">
        <v>396</v>
      </c>
      <c r="C2036" s="84">
        <v>8</v>
      </c>
      <c r="D2036" s="84">
        <v>25</v>
      </c>
      <c r="E2036" s="85">
        <v>19519.16</v>
      </c>
      <c r="F2036" s="85">
        <v>26991.94</v>
      </c>
      <c r="G2036" s="85">
        <v>7472.78</v>
      </c>
    </row>
    <row r="2037" spans="1:7" x14ac:dyDescent="0.3">
      <c r="A2037" s="84">
        <v>2026</v>
      </c>
      <c r="B2037" s="84" t="s">
        <v>396</v>
      </c>
      <c r="C2037" s="84">
        <v>8</v>
      </c>
      <c r="D2037" s="84">
        <v>26</v>
      </c>
      <c r="E2037" s="85">
        <v>19519.16</v>
      </c>
      <c r="F2037" s="85">
        <v>28371.22</v>
      </c>
      <c r="G2037" s="85">
        <v>8852.06</v>
      </c>
    </row>
    <row r="2038" spans="1:7" x14ac:dyDescent="0.3">
      <c r="A2038" s="84">
        <v>2026</v>
      </c>
      <c r="B2038" s="84" t="s">
        <v>396</v>
      </c>
      <c r="C2038" s="84">
        <v>8</v>
      </c>
      <c r="D2038" s="84">
        <v>27</v>
      </c>
      <c r="E2038" s="85">
        <v>19519.16</v>
      </c>
      <c r="F2038" s="85">
        <v>30080.48</v>
      </c>
      <c r="G2038" s="85">
        <v>10561.32</v>
      </c>
    </row>
    <row r="2039" spans="1:7" x14ac:dyDescent="0.3">
      <c r="A2039" s="84">
        <v>2026</v>
      </c>
      <c r="B2039" s="84" t="s">
        <v>396</v>
      </c>
      <c r="C2039" s="84">
        <v>8</v>
      </c>
      <c r="D2039" s="84">
        <v>28</v>
      </c>
      <c r="E2039" s="85">
        <v>19519.16</v>
      </c>
      <c r="F2039" s="85">
        <v>30720.98</v>
      </c>
      <c r="G2039" s="85">
        <v>11201.82</v>
      </c>
    </row>
    <row r="2040" spans="1:7" x14ac:dyDescent="0.3">
      <c r="A2040" s="84">
        <v>2026</v>
      </c>
      <c r="B2040" s="84" t="s">
        <v>396</v>
      </c>
      <c r="C2040" s="84">
        <v>8</v>
      </c>
      <c r="D2040" s="84">
        <v>29</v>
      </c>
      <c r="E2040" s="85">
        <v>19519.16</v>
      </c>
      <c r="F2040" s="85">
        <v>31360.36</v>
      </c>
      <c r="G2040" s="85">
        <v>11841.2</v>
      </c>
    </row>
    <row r="2041" spans="1:7" x14ac:dyDescent="0.3">
      <c r="A2041" s="84">
        <v>2026</v>
      </c>
      <c r="B2041" s="84" t="s">
        <v>396</v>
      </c>
      <c r="C2041" s="84">
        <v>8</v>
      </c>
      <c r="D2041" s="84">
        <v>30</v>
      </c>
      <c r="E2041" s="85">
        <v>19519.16</v>
      </c>
      <c r="F2041" s="85">
        <v>33108.68</v>
      </c>
      <c r="G2041" s="85">
        <v>13589.52</v>
      </c>
    </row>
    <row r="2042" spans="1:7" x14ac:dyDescent="0.3">
      <c r="A2042" s="84">
        <v>2026</v>
      </c>
      <c r="B2042" s="84" t="s">
        <v>396</v>
      </c>
      <c r="C2042" s="84">
        <v>9</v>
      </c>
      <c r="D2042" s="84">
        <v>1</v>
      </c>
      <c r="E2042" s="85">
        <v>19716.28</v>
      </c>
      <c r="F2042" s="85">
        <v>17751.240000000002</v>
      </c>
      <c r="G2042" s="85">
        <v>-1965.04</v>
      </c>
    </row>
    <row r="2043" spans="1:7" x14ac:dyDescent="0.3">
      <c r="A2043" s="84">
        <v>2026</v>
      </c>
      <c r="B2043" s="84" t="s">
        <v>396</v>
      </c>
      <c r="C2043" s="84">
        <v>9</v>
      </c>
      <c r="D2043" s="84">
        <v>2</v>
      </c>
      <c r="E2043" s="85">
        <v>19716.28</v>
      </c>
      <c r="F2043" s="85">
        <v>18045.66</v>
      </c>
      <c r="G2043" s="85">
        <v>-1670.62</v>
      </c>
    </row>
    <row r="2044" spans="1:7" x14ac:dyDescent="0.3">
      <c r="A2044" s="84">
        <v>2026</v>
      </c>
      <c r="B2044" s="84" t="s">
        <v>396</v>
      </c>
      <c r="C2044" s="84">
        <v>9</v>
      </c>
      <c r="D2044" s="84">
        <v>3</v>
      </c>
      <c r="E2044" s="85">
        <v>19716.28</v>
      </c>
      <c r="F2044" s="85">
        <v>18340.64</v>
      </c>
      <c r="G2044" s="85">
        <v>-1375.64</v>
      </c>
    </row>
    <row r="2045" spans="1:7" x14ac:dyDescent="0.3">
      <c r="A2045" s="84">
        <v>2026</v>
      </c>
      <c r="B2045" s="84" t="s">
        <v>396</v>
      </c>
      <c r="C2045" s="84">
        <v>9</v>
      </c>
      <c r="D2045" s="84">
        <v>4</v>
      </c>
      <c r="E2045" s="85">
        <v>19716.28</v>
      </c>
      <c r="F2045" s="85">
        <v>18634.78</v>
      </c>
      <c r="G2045" s="85">
        <v>-1081.5</v>
      </c>
    </row>
    <row r="2046" spans="1:7" x14ac:dyDescent="0.3">
      <c r="A2046" s="84">
        <v>2026</v>
      </c>
      <c r="B2046" s="84" t="s">
        <v>396</v>
      </c>
      <c r="C2046" s="84">
        <v>9</v>
      </c>
      <c r="D2046" s="84">
        <v>5</v>
      </c>
      <c r="E2046" s="85">
        <v>19716.28</v>
      </c>
      <c r="F2046" s="85">
        <v>18929.48</v>
      </c>
      <c r="G2046" s="85">
        <v>-786.8</v>
      </c>
    </row>
    <row r="2047" spans="1:7" x14ac:dyDescent="0.3">
      <c r="A2047" s="84">
        <v>2026</v>
      </c>
      <c r="B2047" s="84" t="s">
        <v>396</v>
      </c>
      <c r="C2047" s="84">
        <v>9</v>
      </c>
      <c r="D2047" s="84">
        <v>6</v>
      </c>
      <c r="E2047" s="85">
        <v>19716.28</v>
      </c>
      <c r="F2047" s="85">
        <v>19126.18</v>
      </c>
      <c r="G2047" s="85">
        <v>-590.1</v>
      </c>
    </row>
    <row r="2048" spans="1:7" x14ac:dyDescent="0.3">
      <c r="A2048" s="84">
        <v>2026</v>
      </c>
      <c r="B2048" s="84" t="s">
        <v>396</v>
      </c>
      <c r="C2048" s="84">
        <v>9</v>
      </c>
      <c r="D2048" s="84">
        <v>7</v>
      </c>
      <c r="E2048" s="85">
        <v>19716.28</v>
      </c>
      <c r="F2048" s="85">
        <v>19322.38</v>
      </c>
      <c r="G2048" s="85">
        <v>-393.9</v>
      </c>
    </row>
    <row r="2049" spans="1:7" x14ac:dyDescent="0.3">
      <c r="A2049" s="84">
        <v>2026</v>
      </c>
      <c r="B2049" s="84" t="s">
        <v>396</v>
      </c>
      <c r="C2049" s="84">
        <v>9</v>
      </c>
      <c r="D2049" s="84">
        <v>8</v>
      </c>
      <c r="E2049" s="85">
        <v>19716.28</v>
      </c>
      <c r="F2049" s="85">
        <v>19519.16</v>
      </c>
      <c r="G2049" s="85">
        <v>-197.12</v>
      </c>
    </row>
    <row r="2050" spans="1:7" x14ac:dyDescent="0.3">
      <c r="A2050" s="84">
        <v>2026</v>
      </c>
      <c r="B2050" s="84" t="s">
        <v>396</v>
      </c>
      <c r="C2050" s="84">
        <v>9</v>
      </c>
      <c r="D2050" s="84">
        <v>9</v>
      </c>
      <c r="E2050" s="85">
        <v>19716.28</v>
      </c>
      <c r="F2050" s="85">
        <v>19716.28</v>
      </c>
      <c r="G2050" s="85">
        <v>0</v>
      </c>
    </row>
    <row r="2051" spans="1:7" x14ac:dyDescent="0.3">
      <c r="A2051" s="84">
        <v>2026</v>
      </c>
      <c r="B2051" s="84" t="s">
        <v>396</v>
      </c>
      <c r="C2051" s="84">
        <v>9</v>
      </c>
      <c r="D2051" s="84">
        <v>10</v>
      </c>
      <c r="E2051" s="85">
        <v>19716.28</v>
      </c>
      <c r="F2051" s="85">
        <v>19912.7</v>
      </c>
      <c r="G2051" s="85">
        <v>196.42</v>
      </c>
    </row>
    <row r="2052" spans="1:7" x14ac:dyDescent="0.3">
      <c r="A2052" s="84">
        <v>2026</v>
      </c>
      <c r="B2052" s="84" t="s">
        <v>396</v>
      </c>
      <c r="C2052" s="84">
        <v>9</v>
      </c>
      <c r="D2052" s="84">
        <v>11</v>
      </c>
      <c r="E2052" s="85">
        <v>19716.28</v>
      </c>
      <c r="F2052" s="85">
        <v>20305.259999999998</v>
      </c>
      <c r="G2052" s="85">
        <v>588.98</v>
      </c>
    </row>
    <row r="2053" spans="1:7" x14ac:dyDescent="0.3">
      <c r="A2053" s="84">
        <v>2026</v>
      </c>
      <c r="B2053" s="84" t="s">
        <v>396</v>
      </c>
      <c r="C2053" s="84">
        <v>9</v>
      </c>
      <c r="D2053" s="84">
        <v>12</v>
      </c>
      <c r="E2053" s="85">
        <v>19716.28</v>
      </c>
      <c r="F2053" s="85">
        <v>20698.8</v>
      </c>
      <c r="G2053" s="85">
        <v>982.52</v>
      </c>
    </row>
    <row r="2054" spans="1:7" x14ac:dyDescent="0.3">
      <c r="A2054" s="84">
        <v>2026</v>
      </c>
      <c r="B2054" s="84" t="s">
        <v>396</v>
      </c>
      <c r="C2054" s="84">
        <v>9</v>
      </c>
      <c r="D2054" s="84">
        <v>13</v>
      </c>
      <c r="E2054" s="85">
        <v>19716.28</v>
      </c>
      <c r="F2054" s="85">
        <v>21092.06</v>
      </c>
      <c r="G2054" s="85">
        <v>1375.78</v>
      </c>
    </row>
    <row r="2055" spans="1:7" x14ac:dyDescent="0.3">
      <c r="A2055" s="84">
        <v>2026</v>
      </c>
      <c r="B2055" s="84" t="s">
        <v>396</v>
      </c>
      <c r="C2055" s="84">
        <v>9</v>
      </c>
      <c r="D2055" s="84">
        <v>14</v>
      </c>
      <c r="E2055" s="85">
        <v>19716.28</v>
      </c>
      <c r="F2055" s="85">
        <v>21485.88</v>
      </c>
      <c r="G2055" s="85">
        <v>1769.6</v>
      </c>
    </row>
    <row r="2056" spans="1:7" x14ac:dyDescent="0.3">
      <c r="A2056" s="84">
        <v>2026</v>
      </c>
      <c r="B2056" s="84" t="s">
        <v>396</v>
      </c>
      <c r="C2056" s="84">
        <v>9</v>
      </c>
      <c r="D2056" s="84">
        <v>15</v>
      </c>
      <c r="E2056" s="85">
        <v>19716.28</v>
      </c>
      <c r="F2056" s="85">
        <v>21878.16</v>
      </c>
      <c r="G2056" s="85">
        <v>2161.88</v>
      </c>
    </row>
    <row r="2057" spans="1:7" x14ac:dyDescent="0.3">
      <c r="A2057" s="84">
        <v>2026</v>
      </c>
      <c r="B2057" s="84" t="s">
        <v>396</v>
      </c>
      <c r="C2057" s="84">
        <v>9</v>
      </c>
      <c r="D2057" s="84">
        <v>16</v>
      </c>
      <c r="E2057" s="85">
        <v>19716.28</v>
      </c>
      <c r="F2057" s="85">
        <v>22272.12</v>
      </c>
      <c r="G2057" s="85">
        <v>2555.84</v>
      </c>
    </row>
    <row r="2058" spans="1:7" x14ac:dyDescent="0.3">
      <c r="A2058" s="84">
        <v>2026</v>
      </c>
      <c r="B2058" s="84" t="s">
        <v>396</v>
      </c>
      <c r="C2058" s="84">
        <v>9</v>
      </c>
      <c r="D2058" s="84">
        <v>17</v>
      </c>
      <c r="E2058" s="85">
        <v>19716.28</v>
      </c>
      <c r="F2058" s="85">
        <v>22664.400000000001</v>
      </c>
      <c r="G2058" s="85">
        <v>2948.12</v>
      </c>
    </row>
    <row r="2059" spans="1:7" x14ac:dyDescent="0.3">
      <c r="A2059" s="84">
        <v>2026</v>
      </c>
      <c r="B2059" s="84" t="s">
        <v>396</v>
      </c>
      <c r="C2059" s="84">
        <v>9</v>
      </c>
      <c r="D2059" s="84">
        <v>18</v>
      </c>
      <c r="E2059" s="85">
        <v>19716.28</v>
      </c>
      <c r="F2059" s="85">
        <v>23057.94</v>
      </c>
      <c r="G2059" s="85">
        <v>3341.66</v>
      </c>
    </row>
    <row r="2060" spans="1:7" x14ac:dyDescent="0.3">
      <c r="A2060" s="84">
        <v>2026</v>
      </c>
      <c r="B2060" s="84" t="s">
        <v>396</v>
      </c>
      <c r="C2060" s="84">
        <v>9</v>
      </c>
      <c r="D2060" s="84">
        <v>19</v>
      </c>
      <c r="E2060" s="85">
        <v>19716.28</v>
      </c>
      <c r="F2060" s="85">
        <v>23451.06</v>
      </c>
      <c r="G2060" s="85">
        <v>3734.78</v>
      </c>
    </row>
    <row r="2061" spans="1:7" x14ac:dyDescent="0.3">
      <c r="A2061" s="84">
        <v>2026</v>
      </c>
      <c r="B2061" s="84" t="s">
        <v>396</v>
      </c>
      <c r="C2061" s="84">
        <v>9</v>
      </c>
      <c r="D2061" s="84">
        <v>20</v>
      </c>
      <c r="E2061" s="85">
        <v>19716.28</v>
      </c>
      <c r="F2061" s="85">
        <v>23844.04</v>
      </c>
      <c r="G2061" s="85">
        <v>4127.76</v>
      </c>
    </row>
    <row r="2062" spans="1:7" x14ac:dyDescent="0.3">
      <c r="A2062" s="84">
        <v>2026</v>
      </c>
      <c r="B2062" s="84" t="s">
        <v>396</v>
      </c>
      <c r="C2062" s="84">
        <v>9</v>
      </c>
      <c r="D2062" s="84">
        <v>21</v>
      </c>
      <c r="E2062" s="85">
        <v>19716.28</v>
      </c>
      <c r="F2062" s="85">
        <v>24433.439999999999</v>
      </c>
      <c r="G2062" s="85">
        <v>4717.16</v>
      </c>
    </row>
    <row r="2063" spans="1:7" x14ac:dyDescent="0.3">
      <c r="A2063" s="84">
        <v>2026</v>
      </c>
      <c r="B2063" s="84" t="s">
        <v>396</v>
      </c>
      <c r="C2063" s="84">
        <v>9</v>
      </c>
      <c r="D2063" s="84">
        <v>22</v>
      </c>
      <c r="E2063" s="85">
        <v>19716.28</v>
      </c>
      <c r="F2063" s="85">
        <v>25072.12</v>
      </c>
      <c r="G2063" s="85">
        <v>5355.84</v>
      </c>
    </row>
    <row r="2064" spans="1:7" x14ac:dyDescent="0.3">
      <c r="A2064" s="84">
        <v>2026</v>
      </c>
      <c r="B2064" s="84" t="s">
        <v>396</v>
      </c>
      <c r="C2064" s="84">
        <v>9</v>
      </c>
      <c r="D2064" s="84">
        <v>23</v>
      </c>
      <c r="E2064" s="85">
        <v>19716.28</v>
      </c>
      <c r="F2064" s="85">
        <v>25712.62</v>
      </c>
      <c r="G2064" s="85">
        <v>5996.34</v>
      </c>
    </row>
    <row r="2065" spans="1:7" x14ac:dyDescent="0.3">
      <c r="A2065" s="84">
        <v>2026</v>
      </c>
      <c r="B2065" s="84" t="s">
        <v>396</v>
      </c>
      <c r="C2065" s="84">
        <v>9</v>
      </c>
      <c r="D2065" s="84">
        <v>24</v>
      </c>
      <c r="E2065" s="85">
        <v>19716.28</v>
      </c>
      <c r="F2065" s="85">
        <v>26351.86</v>
      </c>
      <c r="G2065" s="85">
        <v>6635.58</v>
      </c>
    </row>
    <row r="2066" spans="1:7" x14ac:dyDescent="0.3">
      <c r="A2066" s="84">
        <v>2026</v>
      </c>
      <c r="B2066" s="84" t="s">
        <v>396</v>
      </c>
      <c r="C2066" s="84">
        <v>9</v>
      </c>
      <c r="D2066" s="84">
        <v>25</v>
      </c>
      <c r="E2066" s="85">
        <v>19716.28</v>
      </c>
      <c r="F2066" s="85">
        <v>26991.94</v>
      </c>
      <c r="G2066" s="85">
        <v>7275.66</v>
      </c>
    </row>
    <row r="2067" spans="1:7" x14ac:dyDescent="0.3">
      <c r="A2067" s="84">
        <v>2026</v>
      </c>
      <c r="B2067" s="84" t="s">
        <v>396</v>
      </c>
      <c r="C2067" s="84">
        <v>9</v>
      </c>
      <c r="D2067" s="84">
        <v>26</v>
      </c>
      <c r="E2067" s="85">
        <v>19716.28</v>
      </c>
      <c r="F2067" s="85">
        <v>28371.22</v>
      </c>
      <c r="G2067" s="85">
        <v>8654.94</v>
      </c>
    </row>
    <row r="2068" spans="1:7" x14ac:dyDescent="0.3">
      <c r="A2068" s="84">
        <v>2026</v>
      </c>
      <c r="B2068" s="84" t="s">
        <v>396</v>
      </c>
      <c r="C2068" s="84">
        <v>9</v>
      </c>
      <c r="D2068" s="84">
        <v>27</v>
      </c>
      <c r="E2068" s="85">
        <v>19716.28</v>
      </c>
      <c r="F2068" s="85">
        <v>30080.48</v>
      </c>
      <c r="G2068" s="85">
        <v>10364.200000000001</v>
      </c>
    </row>
    <row r="2069" spans="1:7" x14ac:dyDescent="0.3">
      <c r="A2069" s="84">
        <v>2026</v>
      </c>
      <c r="B2069" s="84" t="s">
        <v>396</v>
      </c>
      <c r="C2069" s="84">
        <v>9</v>
      </c>
      <c r="D2069" s="84">
        <v>28</v>
      </c>
      <c r="E2069" s="85">
        <v>19716.28</v>
      </c>
      <c r="F2069" s="85">
        <v>30720.98</v>
      </c>
      <c r="G2069" s="85">
        <v>11004.7</v>
      </c>
    </row>
    <row r="2070" spans="1:7" x14ac:dyDescent="0.3">
      <c r="A2070" s="84">
        <v>2026</v>
      </c>
      <c r="B2070" s="84" t="s">
        <v>396</v>
      </c>
      <c r="C2070" s="84">
        <v>9</v>
      </c>
      <c r="D2070" s="84">
        <v>29</v>
      </c>
      <c r="E2070" s="85">
        <v>19716.28</v>
      </c>
      <c r="F2070" s="85">
        <v>31360.36</v>
      </c>
      <c r="G2070" s="85">
        <v>11644.08</v>
      </c>
    </row>
    <row r="2071" spans="1:7" x14ac:dyDescent="0.3">
      <c r="A2071" s="84">
        <v>2026</v>
      </c>
      <c r="B2071" s="84" t="s">
        <v>396</v>
      </c>
      <c r="C2071" s="84">
        <v>9</v>
      </c>
      <c r="D2071" s="84">
        <v>30</v>
      </c>
      <c r="E2071" s="85">
        <v>19716.28</v>
      </c>
      <c r="F2071" s="85">
        <v>33108.68</v>
      </c>
      <c r="G2071" s="85">
        <v>13392.4</v>
      </c>
    </row>
    <row r="2072" spans="1:7" x14ac:dyDescent="0.3">
      <c r="A2072" s="84">
        <v>2026</v>
      </c>
      <c r="B2072" s="84" t="s">
        <v>396</v>
      </c>
      <c r="C2072" s="84">
        <v>10</v>
      </c>
      <c r="D2072" s="84">
        <v>1</v>
      </c>
      <c r="E2072" s="85">
        <v>19912.7</v>
      </c>
      <c r="F2072" s="85">
        <v>17751.240000000002</v>
      </c>
      <c r="G2072" s="85">
        <v>-2161.46</v>
      </c>
    </row>
    <row r="2073" spans="1:7" x14ac:dyDescent="0.3">
      <c r="A2073" s="84">
        <v>2026</v>
      </c>
      <c r="B2073" s="84" t="s">
        <v>396</v>
      </c>
      <c r="C2073" s="84">
        <v>10</v>
      </c>
      <c r="D2073" s="84">
        <v>2</v>
      </c>
      <c r="E2073" s="85">
        <v>19912.7</v>
      </c>
      <c r="F2073" s="85">
        <v>18045.66</v>
      </c>
      <c r="G2073" s="85">
        <v>-1867.04</v>
      </c>
    </row>
    <row r="2074" spans="1:7" x14ac:dyDescent="0.3">
      <c r="A2074" s="84">
        <v>2026</v>
      </c>
      <c r="B2074" s="84" t="s">
        <v>396</v>
      </c>
      <c r="C2074" s="84">
        <v>10</v>
      </c>
      <c r="D2074" s="84">
        <v>3</v>
      </c>
      <c r="E2074" s="85">
        <v>19912.7</v>
      </c>
      <c r="F2074" s="85">
        <v>18340.64</v>
      </c>
      <c r="G2074" s="85">
        <v>-1572.06</v>
      </c>
    </row>
    <row r="2075" spans="1:7" x14ac:dyDescent="0.3">
      <c r="A2075" s="84">
        <v>2026</v>
      </c>
      <c r="B2075" s="84" t="s">
        <v>396</v>
      </c>
      <c r="C2075" s="84">
        <v>10</v>
      </c>
      <c r="D2075" s="84">
        <v>4</v>
      </c>
      <c r="E2075" s="85">
        <v>19912.7</v>
      </c>
      <c r="F2075" s="85">
        <v>18634.78</v>
      </c>
      <c r="G2075" s="85">
        <v>-1277.92</v>
      </c>
    </row>
    <row r="2076" spans="1:7" x14ac:dyDescent="0.3">
      <c r="A2076" s="84">
        <v>2026</v>
      </c>
      <c r="B2076" s="84" t="s">
        <v>396</v>
      </c>
      <c r="C2076" s="84">
        <v>10</v>
      </c>
      <c r="D2076" s="84">
        <v>5</v>
      </c>
      <c r="E2076" s="85">
        <v>19912.7</v>
      </c>
      <c r="F2076" s="85">
        <v>18929.48</v>
      </c>
      <c r="G2076" s="85">
        <v>-983.22</v>
      </c>
    </row>
    <row r="2077" spans="1:7" x14ac:dyDescent="0.3">
      <c r="A2077" s="84">
        <v>2026</v>
      </c>
      <c r="B2077" s="84" t="s">
        <v>396</v>
      </c>
      <c r="C2077" s="84">
        <v>10</v>
      </c>
      <c r="D2077" s="84">
        <v>6</v>
      </c>
      <c r="E2077" s="85">
        <v>19912.7</v>
      </c>
      <c r="F2077" s="85">
        <v>19126.18</v>
      </c>
      <c r="G2077" s="85">
        <v>-786.52</v>
      </c>
    </row>
    <row r="2078" spans="1:7" x14ac:dyDescent="0.3">
      <c r="A2078" s="84">
        <v>2026</v>
      </c>
      <c r="B2078" s="84" t="s">
        <v>396</v>
      </c>
      <c r="C2078" s="84">
        <v>10</v>
      </c>
      <c r="D2078" s="84">
        <v>7</v>
      </c>
      <c r="E2078" s="85">
        <v>19912.7</v>
      </c>
      <c r="F2078" s="85">
        <v>19322.38</v>
      </c>
      <c r="G2078" s="85">
        <v>-590.32000000000005</v>
      </c>
    </row>
    <row r="2079" spans="1:7" x14ac:dyDescent="0.3">
      <c r="A2079" s="84">
        <v>2026</v>
      </c>
      <c r="B2079" s="84" t="s">
        <v>396</v>
      </c>
      <c r="C2079" s="84">
        <v>10</v>
      </c>
      <c r="D2079" s="84">
        <v>8</v>
      </c>
      <c r="E2079" s="85">
        <v>19912.7</v>
      </c>
      <c r="F2079" s="85">
        <v>19519.16</v>
      </c>
      <c r="G2079" s="85">
        <v>-393.54</v>
      </c>
    </row>
    <row r="2080" spans="1:7" x14ac:dyDescent="0.3">
      <c r="A2080" s="84">
        <v>2026</v>
      </c>
      <c r="B2080" s="84" t="s">
        <v>396</v>
      </c>
      <c r="C2080" s="84">
        <v>10</v>
      </c>
      <c r="D2080" s="84">
        <v>9</v>
      </c>
      <c r="E2080" s="85">
        <v>19912.7</v>
      </c>
      <c r="F2080" s="85">
        <v>19716.28</v>
      </c>
      <c r="G2080" s="85">
        <v>-196.42</v>
      </c>
    </row>
    <row r="2081" spans="1:7" x14ac:dyDescent="0.3">
      <c r="A2081" s="84">
        <v>2026</v>
      </c>
      <c r="B2081" s="84" t="s">
        <v>396</v>
      </c>
      <c r="C2081" s="84">
        <v>10</v>
      </c>
      <c r="D2081" s="84">
        <v>10</v>
      </c>
      <c r="E2081" s="85">
        <v>19912.7</v>
      </c>
      <c r="F2081" s="85">
        <v>19912.7</v>
      </c>
      <c r="G2081" s="85">
        <v>0</v>
      </c>
    </row>
    <row r="2082" spans="1:7" x14ac:dyDescent="0.3">
      <c r="A2082" s="84">
        <v>2026</v>
      </c>
      <c r="B2082" s="84" t="s">
        <v>396</v>
      </c>
      <c r="C2082" s="84">
        <v>10</v>
      </c>
      <c r="D2082" s="84">
        <v>11</v>
      </c>
      <c r="E2082" s="85">
        <v>19912.7</v>
      </c>
      <c r="F2082" s="85">
        <v>20305.259999999998</v>
      </c>
      <c r="G2082" s="85">
        <v>392.56</v>
      </c>
    </row>
    <row r="2083" spans="1:7" x14ac:dyDescent="0.3">
      <c r="A2083" s="84">
        <v>2026</v>
      </c>
      <c r="B2083" s="84" t="s">
        <v>396</v>
      </c>
      <c r="C2083" s="84">
        <v>10</v>
      </c>
      <c r="D2083" s="84">
        <v>12</v>
      </c>
      <c r="E2083" s="85">
        <v>19912.7</v>
      </c>
      <c r="F2083" s="85">
        <v>20698.8</v>
      </c>
      <c r="G2083" s="85">
        <v>786.1</v>
      </c>
    </row>
    <row r="2084" spans="1:7" x14ac:dyDescent="0.3">
      <c r="A2084" s="84">
        <v>2026</v>
      </c>
      <c r="B2084" s="84" t="s">
        <v>396</v>
      </c>
      <c r="C2084" s="84">
        <v>10</v>
      </c>
      <c r="D2084" s="84">
        <v>13</v>
      </c>
      <c r="E2084" s="85">
        <v>19912.7</v>
      </c>
      <c r="F2084" s="85">
        <v>21092.06</v>
      </c>
      <c r="G2084" s="85">
        <v>1179.3599999999999</v>
      </c>
    </row>
    <row r="2085" spans="1:7" x14ac:dyDescent="0.3">
      <c r="A2085" s="84">
        <v>2026</v>
      </c>
      <c r="B2085" s="84" t="s">
        <v>396</v>
      </c>
      <c r="C2085" s="84">
        <v>10</v>
      </c>
      <c r="D2085" s="84">
        <v>14</v>
      </c>
      <c r="E2085" s="85">
        <v>19912.7</v>
      </c>
      <c r="F2085" s="85">
        <v>21485.88</v>
      </c>
      <c r="G2085" s="85">
        <v>1573.18</v>
      </c>
    </row>
    <row r="2086" spans="1:7" x14ac:dyDescent="0.3">
      <c r="A2086" s="84">
        <v>2026</v>
      </c>
      <c r="B2086" s="84" t="s">
        <v>396</v>
      </c>
      <c r="C2086" s="84">
        <v>10</v>
      </c>
      <c r="D2086" s="84">
        <v>15</v>
      </c>
      <c r="E2086" s="85">
        <v>19912.7</v>
      </c>
      <c r="F2086" s="85">
        <v>21878.16</v>
      </c>
      <c r="G2086" s="85">
        <v>1965.46</v>
      </c>
    </row>
    <row r="2087" spans="1:7" x14ac:dyDescent="0.3">
      <c r="A2087" s="84">
        <v>2026</v>
      </c>
      <c r="B2087" s="84" t="s">
        <v>396</v>
      </c>
      <c r="C2087" s="84">
        <v>10</v>
      </c>
      <c r="D2087" s="84">
        <v>16</v>
      </c>
      <c r="E2087" s="85">
        <v>19912.7</v>
      </c>
      <c r="F2087" s="85">
        <v>22272.12</v>
      </c>
      <c r="G2087" s="85">
        <v>2359.42</v>
      </c>
    </row>
    <row r="2088" spans="1:7" x14ac:dyDescent="0.3">
      <c r="A2088" s="84">
        <v>2026</v>
      </c>
      <c r="B2088" s="84" t="s">
        <v>396</v>
      </c>
      <c r="C2088" s="84">
        <v>10</v>
      </c>
      <c r="D2088" s="84">
        <v>17</v>
      </c>
      <c r="E2088" s="85">
        <v>19912.7</v>
      </c>
      <c r="F2088" s="85">
        <v>22664.400000000001</v>
      </c>
      <c r="G2088" s="85">
        <v>2751.7</v>
      </c>
    </row>
    <row r="2089" spans="1:7" x14ac:dyDescent="0.3">
      <c r="A2089" s="84">
        <v>2026</v>
      </c>
      <c r="B2089" s="84" t="s">
        <v>396</v>
      </c>
      <c r="C2089" s="84">
        <v>10</v>
      </c>
      <c r="D2089" s="84">
        <v>18</v>
      </c>
      <c r="E2089" s="85">
        <v>19912.7</v>
      </c>
      <c r="F2089" s="85">
        <v>23057.94</v>
      </c>
      <c r="G2089" s="85">
        <v>3145.24</v>
      </c>
    </row>
    <row r="2090" spans="1:7" x14ac:dyDescent="0.3">
      <c r="A2090" s="84">
        <v>2026</v>
      </c>
      <c r="B2090" s="84" t="s">
        <v>396</v>
      </c>
      <c r="C2090" s="84">
        <v>10</v>
      </c>
      <c r="D2090" s="84">
        <v>19</v>
      </c>
      <c r="E2090" s="85">
        <v>19912.7</v>
      </c>
      <c r="F2090" s="85">
        <v>23451.06</v>
      </c>
      <c r="G2090" s="85">
        <v>3538.36</v>
      </c>
    </row>
    <row r="2091" spans="1:7" x14ac:dyDescent="0.3">
      <c r="A2091" s="84">
        <v>2026</v>
      </c>
      <c r="B2091" s="84" t="s">
        <v>396</v>
      </c>
      <c r="C2091" s="84">
        <v>10</v>
      </c>
      <c r="D2091" s="84">
        <v>20</v>
      </c>
      <c r="E2091" s="85">
        <v>19912.7</v>
      </c>
      <c r="F2091" s="85">
        <v>23844.04</v>
      </c>
      <c r="G2091" s="85">
        <v>3931.34</v>
      </c>
    </row>
    <row r="2092" spans="1:7" x14ac:dyDescent="0.3">
      <c r="A2092" s="84">
        <v>2026</v>
      </c>
      <c r="B2092" s="84" t="s">
        <v>396</v>
      </c>
      <c r="C2092" s="84">
        <v>10</v>
      </c>
      <c r="D2092" s="84">
        <v>21</v>
      </c>
      <c r="E2092" s="85">
        <v>19912.7</v>
      </c>
      <c r="F2092" s="85">
        <v>24433.439999999999</v>
      </c>
      <c r="G2092" s="85">
        <v>4520.74</v>
      </c>
    </row>
    <row r="2093" spans="1:7" x14ac:dyDescent="0.3">
      <c r="A2093" s="84">
        <v>2026</v>
      </c>
      <c r="B2093" s="84" t="s">
        <v>396</v>
      </c>
      <c r="C2093" s="84">
        <v>10</v>
      </c>
      <c r="D2093" s="84">
        <v>22</v>
      </c>
      <c r="E2093" s="85">
        <v>19912.7</v>
      </c>
      <c r="F2093" s="85">
        <v>25072.12</v>
      </c>
      <c r="G2093" s="85">
        <v>5159.42</v>
      </c>
    </row>
    <row r="2094" spans="1:7" x14ac:dyDescent="0.3">
      <c r="A2094" s="84">
        <v>2026</v>
      </c>
      <c r="B2094" s="84" t="s">
        <v>396</v>
      </c>
      <c r="C2094" s="84">
        <v>10</v>
      </c>
      <c r="D2094" s="84">
        <v>23</v>
      </c>
      <c r="E2094" s="85">
        <v>19912.7</v>
      </c>
      <c r="F2094" s="85">
        <v>25712.62</v>
      </c>
      <c r="G2094" s="85">
        <v>5799.92</v>
      </c>
    </row>
    <row r="2095" spans="1:7" x14ac:dyDescent="0.3">
      <c r="A2095" s="84">
        <v>2026</v>
      </c>
      <c r="B2095" s="84" t="s">
        <v>396</v>
      </c>
      <c r="C2095" s="84">
        <v>10</v>
      </c>
      <c r="D2095" s="84">
        <v>24</v>
      </c>
      <c r="E2095" s="85">
        <v>19912.7</v>
      </c>
      <c r="F2095" s="85">
        <v>26351.86</v>
      </c>
      <c r="G2095" s="85">
        <v>6439.16</v>
      </c>
    </row>
    <row r="2096" spans="1:7" x14ac:dyDescent="0.3">
      <c r="A2096" s="84">
        <v>2026</v>
      </c>
      <c r="B2096" s="84" t="s">
        <v>396</v>
      </c>
      <c r="C2096" s="84">
        <v>10</v>
      </c>
      <c r="D2096" s="84">
        <v>25</v>
      </c>
      <c r="E2096" s="85">
        <v>19912.7</v>
      </c>
      <c r="F2096" s="85">
        <v>26991.94</v>
      </c>
      <c r="G2096" s="85">
        <v>7079.24</v>
      </c>
    </row>
    <row r="2097" spans="1:7" x14ac:dyDescent="0.3">
      <c r="A2097" s="84">
        <v>2026</v>
      </c>
      <c r="B2097" s="84" t="s">
        <v>396</v>
      </c>
      <c r="C2097" s="84">
        <v>10</v>
      </c>
      <c r="D2097" s="84">
        <v>26</v>
      </c>
      <c r="E2097" s="85">
        <v>19912.7</v>
      </c>
      <c r="F2097" s="85">
        <v>28371.22</v>
      </c>
      <c r="G2097" s="85">
        <v>8458.52</v>
      </c>
    </row>
    <row r="2098" spans="1:7" x14ac:dyDescent="0.3">
      <c r="A2098" s="84">
        <v>2026</v>
      </c>
      <c r="B2098" s="84" t="s">
        <v>396</v>
      </c>
      <c r="C2098" s="84">
        <v>10</v>
      </c>
      <c r="D2098" s="84">
        <v>27</v>
      </c>
      <c r="E2098" s="85">
        <v>19912.7</v>
      </c>
      <c r="F2098" s="85">
        <v>30080.48</v>
      </c>
      <c r="G2098" s="85">
        <v>10167.780000000001</v>
      </c>
    </row>
    <row r="2099" spans="1:7" x14ac:dyDescent="0.3">
      <c r="A2099" s="84">
        <v>2026</v>
      </c>
      <c r="B2099" s="84" t="s">
        <v>396</v>
      </c>
      <c r="C2099" s="84">
        <v>10</v>
      </c>
      <c r="D2099" s="84">
        <v>28</v>
      </c>
      <c r="E2099" s="85">
        <v>19912.7</v>
      </c>
      <c r="F2099" s="85">
        <v>30720.98</v>
      </c>
      <c r="G2099" s="85">
        <v>10808.28</v>
      </c>
    </row>
    <row r="2100" spans="1:7" x14ac:dyDescent="0.3">
      <c r="A2100" s="84">
        <v>2026</v>
      </c>
      <c r="B2100" s="84" t="s">
        <v>396</v>
      </c>
      <c r="C2100" s="84">
        <v>10</v>
      </c>
      <c r="D2100" s="84">
        <v>29</v>
      </c>
      <c r="E2100" s="85">
        <v>19912.7</v>
      </c>
      <c r="F2100" s="85">
        <v>31360.36</v>
      </c>
      <c r="G2100" s="85">
        <v>11447.66</v>
      </c>
    </row>
    <row r="2101" spans="1:7" x14ac:dyDescent="0.3">
      <c r="A2101" s="84">
        <v>2026</v>
      </c>
      <c r="B2101" s="84" t="s">
        <v>396</v>
      </c>
      <c r="C2101" s="84">
        <v>10</v>
      </c>
      <c r="D2101" s="84">
        <v>30</v>
      </c>
      <c r="E2101" s="85">
        <v>19912.7</v>
      </c>
      <c r="F2101" s="85">
        <v>33108.68</v>
      </c>
      <c r="G2101" s="85">
        <v>13195.98</v>
      </c>
    </row>
    <row r="2102" spans="1:7" x14ac:dyDescent="0.3">
      <c r="A2102" s="84">
        <v>2026</v>
      </c>
      <c r="B2102" s="84" t="s">
        <v>396</v>
      </c>
      <c r="C2102" s="84">
        <v>11</v>
      </c>
      <c r="D2102" s="84">
        <v>1</v>
      </c>
      <c r="E2102" s="85">
        <v>20305.259999999998</v>
      </c>
      <c r="F2102" s="85">
        <v>17751.240000000002</v>
      </c>
      <c r="G2102" s="85">
        <v>-2554.02</v>
      </c>
    </row>
    <row r="2103" spans="1:7" x14ac:dyDescent="0.3">
      <c r="A2103" s="84">
        <v>2026</v>
      </c>
      <c r="B2103" s="84" t="s">
        <v>396</v>
      </c>
      <c r="C2103" s="84">
        <v>11</v>
      </c>
      <c r="D2103" s="84">
        <v>2</v>
      </c>
      <c r="E2103" s="85">
        <v>20305.259999999998</v>
      </c>
      <c r="F2103" s="85">
        <v>18045.66</v>
      </c>
      <c r="G2103" s="85">
        <v>-2259.6</v>
      </c>
    </row>
    <row r="2104" spans="1:7" x14ac:dyDescent="0.3">
      <c r="A2104" s="84">
        <v>2026</v>
      </c>
      <c r="B2104" s="84" t="s">
        <v>396</v>
      </c>
      <c r="C2104" s="84">
        <v>11</v>
      </c>
      <c r="D2104" s="84">
        <v>3</v>
      </c>
      <c r="E2104" s="85">
        <v>20305.259999999998</v>
      </c>
      <c r="F2104" s="85">
        <v>18340.64</v>
      </c>
      <c r="G2104" s="85">
        <v>-1964.62</v>
      </c>
    </row>
    <row r="2105" spans="1:7" x14ac:dyDescent="0.3">
      <c r="A2105" s="84">
        <v>2026</v>
      </c>
      <c r="B2105" s="84" t="s">
        <v>396</v>
      </c>
      <c r="C2105" s="84">
        <v>11</v>
      </c>
      <c r="D2105" s="84">
        <v>4</v>
      </c>
      <c r="E2105" s="85">
        <v>20305.259999999998</v>
      </c>
      <c r="F2105" s="85">
        <v>18634.78</v>
      </c>
      <c r="G2105" s="85">
        <v>-1670.48</v>
      </c>
    </row>
    <row r="2106" spans="1:7" x14ac:dyDescent="0.3">
      <c r="A2106" s="84">
        <v>2026</v>
      </c>
      <c r="B2106" s="84" t="s">
        <v>396</v>
      </c>
      <c r="C2106" s="84">
        <v>11</v>
      </c>
      <c r="D2106" s="84">
        <v>5</v>
      </c>
      <c r="E2106" s="85">
        <v>20305.259999999998</v>
      </c>
      <c r="F2106" s="85">
        <v>18929.48</v>
      </c>
      <c r="G2106" s="85">
        <v>-1375.78</v>
      </c>
    </row>
    <row r="2107" spans="1:7" x14ac:dyDescent="0.3">
      <c r="A2107" s="84">
        <v>2026</v>
      </c>
      <c r="B2107" s="84" t="s">
        <v>396</v>
      </c>
      <c r="C2107" s="84">
        <v>11</v>
      </c>
      <c r="D2107" s="84">
        <v>6</v>
      </c>
      <c r="E2107" s="85">
        <v>20305.259999999998</v>
      </c>
      <c r="F2107" s="85">
        <v>19126.18</v>
      </c>
      <c r="G2107" s="85">
        <v>-1179.08</v>
      </c>
    </row>
    <row r="2108" spans="1:7" x14ac:dyDescent="0.3">
      <c r="A2108" s="84">
        <v>2026</v>
      </c>
      <c r="B2108" s="84" t="s">
        <v>396</v>
      </c>
      <c r="C2108" s="84">
        <v>11</v>
      </c>
      <c r="D2108" s="84">
        <v>7</v>
      </c>
      <c r="E2108" s="85">
        <v>20305.259999999998</v>
      </c>
      <c r="F2108" s="85">
        <v>19322.38</v>
      </c>
      <c r="G2108" s="85">
        <v>-982.88</v>
      </c>
    </row>
    <row r="2109" spans="1:7" x14ac:dyDescent="0.3">
      <c r="A2109" s="84">
        <v>2026</v>
      </c>
      <c r="B2109" s="84" t="s">
        <v>396</v>
      </c>
      <c r="C2109" s="84">
        <v>11</v>
      </c>
      <c r="D2109" s="84">
        <v>8</v>
      </c>
      <c r="E2109" s="85">
        <v>20305.259999999998</v>
      </c>
      <c r="F2109" s="85">
        <v>19519.16</v>
      </c>
      <c r="G2109" s="85">
        <v>-786.1</v>
      </c>
    </row>
    <row r="2110" spans="1:7" x14ac:dyDescent="0.3">
      <c r="A2110" s="84">
        <v>2026</v>
      </c>
      <c r="B2110" s="84" t="s">
        <v>396</v>
      </c>
      <c r="C2110" s="84">
        <v>11</v>
      </c>
      <c r="D2110" s="84">
        <v>9</v>
      </c>
      <c r="E2110" s="85">
        <v>20305.259999999998</v>
      </c>
      <c r="F2110" s="85">
        <v>19716.28</v>
      </c>
      <c r="G2110" s="85">
        <v>-588.98</v>
      </c>
    </row>
    <row r="2111" spans="1:7" x14ac:dyDescent="0.3">
      <c r="A2111" s="84">
        <v>2026</v>
      </c>
      <c r="B2111" s="84" t="s">
        <v>396</v>
      </c>
      <c r="C2111" s="84">
        <v>11</v>
      </c>
      <c r="D2111" s="84">
        <v>10</v>
      </c>
      <c r="E2111" s="85">
        <v>20305.259999999998</v>
      </c>
      <c r="F2111" s="85">
        <v>19912.7</v>
      </c>
      <c r="G2111" s="85">
        <v>-392.56</v>
      </c>
    </row>
    <row r="2112" spans="1:7" x14ac:dyDescent="0.3">
      <c r="A2112" s="84">
        <v>2026</v>
      </c>
      <c r="B2112" s="84" t="s">
        <v>396</v>
      </c>
      <c r="C2112" s="84">
        <v>11</v>
      </c>
      <c r="D2112" s="84">
        <v>11</v>
      </c>
      <c r="E2112" s="85">
        <v>20305.259999999998</v>
      </c>
      <c r="F2112" s="85">
        <v>20305.259999999998</v>
      </c>
      <c r="G2112" s="85">
        <v>0</v>
      </c>
    </row>
    <row r="2113" spans="1:7" x14ac:dyDescent="0.3">
      <c r="A2113" s="84">
        <v>2026</v>
      </c>
      <c r="B2113" s="84" t="s">
        <v>396</v>
      </c>
      <c r="C2113" s="84">
        <v>11</v>
      </c>
      <c r="D2113" s="84">
        <v>12</v>
      </c>
      <c r="E2113" s="85">
        <v>20305.259999999998</v>
      </c>
      <c r="F2113" s="85">
        <v>20698.8</v>
      </c>
      <c r="G2113" s="85">
        <v>393.54</v>
      </c>
    </row>
    <row r="2114" spans="1:7" x14ac:dyDescent="0.3">
      <c r="A2114" s="84">
        <v>2026</v>
      </c>
      <c r="B2114" s="84" t="s">
        <v>396</v>
      </c>
      <c r="C2114" s="84">
        <v>11</v>
      </c>
      <c r="D2114" s="84">
        <v>13</v>
      </c>
      <c r="E2114" s="85">
        <v>20305.259999999998</v>
      </c>
      <c r="F2114" s="85">
        <v>21092.06</v>
      </c>
      <c r="G2114" s="85">
        <v>786.8</v>
      </c>
    </row>
    <row r="2115" spans="1:7" x14ac:dyDescent="0.3">
      <c r="A2115" s="84">
        <v>2026</v>
      </c>
      <c r="B2115" s="84" t="s">
        <v>396</v>
      </c>
      <c r="C2115" s="84">
        <v>11</v>
      </c>
      <c r="D2115" s="84">
        <v>14</v>
      </c>
      <c r="E2115" s="85">
        <v>20305.259999999998</v>
      </c>
      <c r="F2115" s="85">
        <v>21485.88</v>
      </c>
      <c r="G2115" s="85">
        <v>1180.6199999999999</v>
      </c>
    </row>
    <row r="2116" spans="1:7" x14ac:dyDescent="0.3">
      <c r="A2116" s="84">
        <v>2026</v>
      </c>
      <c r="B2116" s="84" t="s">
        <v>396</v>
      </c>
      <c r="C2116" s="84">
        <v>11</v>
      </c>
      <c r="D2116" s="84">
        <v>15</v>
      </c>
      <c r="E2116" s="85">
        <v>20305.259999999998</v>
      </c>
      <c r="F2116" s="85">
        <v>21878.16</v>
      </c>
      <c r="G2116" s="85">
        <v>1572.9</v>
      </c>
    </row>
    <row r="2117" spans="1:7" x14ac:dyDescent="0.3">
      <c r="A2117" s="84">
        <v>2026</v>
      </c>
      <c r="B2117" s="84" t="s">
        <v>396</v>
      </c>
      <c r="C2117" s="84">
        <v>11</v>
      </c>
      <c r="D2117" s="84">
        <v>16</v>
      </c>
      <c r="E2117" s="85">
        <v>20305.259999999998</v>
      </c>
      <c r="F2117" s="85">
        <v>22272.12</v>
      </c>
      <c r="G2117" s="85">
        <v>1966.86</v>
      </c>
    </row>
    <row r="2118" spans="1:7" x14ac:dyDescent="0.3">
      <c r="A2118" s="84">
        <v>2026</v>
      </c>
      <c r="B2118" s="84" t="s">
        <v>396</v>
      </c>
      <c r="C2118" s="84">
        <v>11</v>
      </c>
      <c r="D2118" s="84">
        <v>17</v>
      </c>
      <c r="E2118" s="85">
        <v>20305.259999999998</v>
      </c>
      <c r="F2118" s="85">
        <v>22664.400000000001</v>
      </c>
      <c r="G2118" s="85">
        <v>2359.14</v>
      </c>
    </row>
    <row r="2119" spans="1:7" x14ac:dyDescent="0.3">
      <c r="A2119" s="84">
        <v>2026</v>
      </c>
      <c r="B2119" s="84" t="s">
        <v>396</v>
      </c>
      <c r="C2119" s="84">
        <v>11</v>
      </c>
      <c r="D2119" s="84">
        <v>18</v>
      </c>
      <c r="E2119" s="85">
        <v>20305.259999999998</v>
      </c>
      <c r="F2119" s="85">
        <v>23057.94</v>
      </c>
      <c r="G2119" s="85">
        <v>2752.68</v>
      </c>
    </row>
    <row r="2120" spans="1:7" x14ac:dyDescent="0.3">
      <c r="A2120" s="84">
        <v>2026</v>
      </c>
      <c r="B2120" s="84" t="s">
        <v>396</v>
      </c>
      <c r="C2120" s="84">
        <v>11</v>
      </c>
      <c r="D2120" s="84">
        <v>19</v>
      </c>
      <c r="E2120" s="85">
        <v>20305.259999999998</v>
      </c>
      <c r="F2120" s="85">
        <v>23451.06</v>
      </c>
      <c r="G2120" s="85">
        <v>3145.8</v>
      </c>
    </row>
    <row r="2121" spans="1:7" x14ac:dyDescent="0.3">
      <c r="A2121" s="84">
        <v>2026</v>
      </c>
      <c r="B2121" s="84" t="s">
        <v>396</v>
      </c>
      <c r="C2121" s="84">
        <v>11</v>
      </c>
      <c r="D2121" s="84">
        <v>20</v>
      </c>
      <c r="E2121" s="85">
        <v>20305.259999999998</v>
      </c>
      <c r="F2121" s="85">
        <v>23844.04</v>
      </c>
      <c r="G2121" s="85">
        <v>3538.78</v>
      </c>
    </row>
    <row r="2122" spans="1:7" x14ac:dyDescent="0.3">
      <c r="A2122" s="84">
        <v>2026</v>
      </c>
      <c r="B2122" s="84" t="s">
        <v>396</v>
      </c>
      <c r="C2122" s="84">
        <v>11</v>
      </c>
      <c r="D2122" s="84">
        <v>21</v>
      </c>
      <c r="E2122" s="85">
        <v>20305.259999999998</v>
      </c>
      <c r="F2122" s="85">
        <v>24433.439999999999</v>
      </c>
      <c r="G2122" s="85">
        <v>4128.18</v>
      </c>
    </row>
    <row r="2123" spans="1:7" x14ac:dyDescent="0.3">
      <c r="A2123" s="84">
        <v>2026</v>
      </c>
      <c r="B2123" s="84" t="s">
        <v>396</v>
      </c>
      <c r="C2123" s="84">
        <v>11</v>
      </c>
      <c r="D2123" s="84">
        <v>22</v>
      </c>
      <c r="E2123" s="85">
        <v>20305.259999999998</v>
      </c>
      <c r="F2123" s="85">
        <v>25072.12</v>
      </c>
      <c r="G2123" s="85">
        <v>4766.8599999999997</v>
      </c>
    </row>
    <row r="2124" spans="1:7" x14ac:dyDescent="0.3">
      <c r="A2124" s="84">
        <v>2026</v>
      </c>
      <c r="B2124" s="84" t="s">
        <v>396</v>
      </c>
      <c r="C2124" s="84">
        <v>11</v>
      </c>
      <c r="D2124" s="84">
        <v>23</v>
      </c>
      <c r="E2124" s="85">
        <v>20305.259999999998</v>
      </c>
      <c r="F2124" s="85">
        <v>25712.62</v>
      </c>
      <c r="G2124" s="85">
        <v>5407.36</v>
      </c>
    </row>
    <row r="2125" spans="1:7" x14ac:dyDescent="0.3">
      <c r="A2125" s="84">
        <v>2026</v>
      </c>
      <c r="B2125" s="84" t="s">
        <v>396</v>
      </c>
      <c r="C2125" s="84">
        <v>11</v>
      </c>
      <c r="D2125" s="84">
        <v>24</v>
      </c>
      <c r="E2125" s="85">
        <v>20305.259999999998</v>
      </c>
      <c r="F2125" s="85">
        <v>26351.86</v>
      </c>
      <c r="G2125" s="85">
        <v>6046.6</v>
      </c>
    </row>
    <row r="2126" spans="1:7" x14ac:dyDescent="0.3">
      <c r="A2126" s="84">
        <v>2026</v>
      </c>
      <c r="B2126" s="84" t="s">
        <v>396</v>
      </c>
      <c r="C2126" s="84">
        <v>11</v>
      </c>
      <c r="D2126" s="84">
        <v>25</v>
      </c>
      <c r="E2126" s="85">
        <v>20305.259999999998</v>
      </c>
      <c r="F2126" s="85">
        <v>26991.94</v>
      </c>
      <c r="G2126" s="85">
        <v>6686.68</v>
      </c>
    </row>
    <row r="2127" spans="1:7" x14ac:dyDescent="0.3">
      <c r="A2127" s="84">
        <v>2026</v>
      </c>
      <c r="B2127" s="84" t="s">
        <v>396</v>
      </c>
      <c r="C2127" s="84">
        <v>11</v>
      </c>
      <c r="D2127" s="84">
        <v>26</v>
      </c>
      <c r="E2127" s="85">
        <v>20305.259999999998</v>
      </c>
      <c r="F2127" s="85">
        <v>28371.22</v>
      </c>
      <c r="G2127" s="85">
        <v>8065.96</v>
      </c>
    </row>
    <row r="2128" spans="1:7" x14ac:dyDescent="0.3">
      <c r="A2128" s="84">
        <v>2026</v>
      </c>
      <c r="B2128" s="84" t="s">
        <v>396</v>
      </c>
      <c r="C2128" s="84">
        <v>11</v>
      </c>
      <c r="D2128" s="84">
        <v>27</v>
      </c>
      <c r="E2128" s="85">
        <v>20305.259999999998</v>
      </c>
      <c r="F2128" s="85">
        <v>30080.48</v>
      </c>
      <c r="G2128" s="85">
        <v>9775.2199999999993</v>
      </c>
    </row>
    <row r="2129" spans="1:7" x14ac:dyDescent="0.3">
      <c r="A2129" s="84">
        <v>2026</v>
      </c>
      <c r="B2129" s="84" t="s">
        <v>396</v>
      </c>
      <c r="C2129" s="84">
        <v>11</v>
      </c>
      <c r="D2129" s="84">
        <v>28</v>
      </c>
      <c r="E2129" s="85">
        <v>20305.259999999998</v>
      </c>
      <c r="F2129" s="85">
        <v>30720.98</v>
      </c>
      <c r="G2129" s="85">
        <v>10415.719999999999</v>
      </c>
    </row>
    <row r="2130" spans="1:7" x14ac:dyDescent="0.3">
      <c r="A2130" s="84">
        <v>2026</v>
      </c>
      <c r="B2130" s="84" t="s">
        <v>396</v>
      </c>
      <c r="C2130" s="84">
        <v>11</v>
      </c>
      <c r="D2130" s="84">
        <v>29</v>
      </c>
      <c r="E2130" s="85">
        <v>20305.259999999998</v>
      </c>
      <c r="F2130" s="85">
        <v>31360.36</v>
      </c>
      <c r="G2130" s="85">
        <v>11055.1</v>
      </c>
    </row>
    <row r="2131" spans="1:7" x14ac:dyDescent="0.3">
      <c r="A2131" s="84">
        <v>2026</v>
      </c>
      <c r="B2131" s="84" t="s">
        <v>396</v>
      </c>
      <c r="C2131" s="84">
        <v>11</v>
      </c>
      <c r="D2131" s="84">
        <v>30</v>
      </c>
      <c r="E2131" s="85">
        <v>20305.259999999998</v>
      </c>
      <c r="F2131" s="85">
        <v>33108.68</v>
      </c>
      <c r="G2131" s="85">
        <v>12803.42</v>
      </c>
    </row>
    <row r="2132" spans="1:7" x14ac:dyDescent="0.3">
      <c r="A2132" s="84">
        <v>2026</v>
      </c>
      <c r="B2132" s="84" t="s">
        <v>396</v>
      </c>
      <c r="C2132" s="84">
        <v>12</v>
      </c>
      <c r="D2132" s="84">
        <v>1</v>
      </c>
      <c r="E2132" s="85">
        <v>20698.8</v>
      </c>
      <c r="F2132" s="85">
        <v>17751.240000000002</v>
      </c>
      <c r="G2132" s="85">
        <v>-2947.56</v>
      </c>
    </row>
    <row r="2133" spans="1:7" x14ac:dyDescent="0.3">
      <c r="A2133" s="84">
        <v>2026</v>
      </c>
      <c r="B2133" s="84" t="s">
        <v>396</v>
      </c>
      <c r="C2133" s="84">
        <v>12</v>
      </c>
      <c r="D2133" s="84">
        <v>2</v>
      </c>
      <c r="E2133" s="85">
        <v>20698.8</v>
      </c>
      <c r="F2133" s="85">
        <v>18045.66</v>
      </c>
      <c r="G2133" s="85">
        <v>-2653.14</v>
      </c>
    </row>
    <row r="2134" spans="1:7" x14ac:dyDescent="0.3">
      <c r="A2134" s="84">
        <v>2026</v>
      </c>
      <c r="B2134" s="84" t="s">
        <v>396</v>
      </c>
      <c r="C2134" s="84">
        <v>12</v>
      </c>
      <c r="D2134" s="84">
        <v>3</v>
      </c>
      <c r="E2134" s="85">
        <v>20698.8</v>
      </c>
      <c r="F2134" s="85">
        <v>18340.64</v>
      </c>
      <c r="G2134" s="85">
        <v>-2358.16</v>
      </c>
    </row>
    <row r="2135" spans="1:7" x14ac:dyDescent="0.3">
      <c r="A2135" s="84">
        <v>2026</v>
      </c>
      <c r="B2135" s="84" t="s">
        <v>396</v>
      </c>
      <c r="C2135" s="84">
        <v>12</v>
      </c>
      <c r="D2135" s="84">
        <v>4</v>
      </c>
      <c r="E2135" s="85">
        <v>20698.8</v>
      </c>
      <c r="F2135" s="85">
        <v>18634.78</v>
      </c>
      <c r="G2135" s="85">
        <v>-2064.02</v>
      </c>
    </row>
    <row r="2136" spans="1:7" x14ac:dyDescent="0.3">
      <c r="A2136" s="84">
        <v>2026</v>
      </c>
      <c r="B2136" s="84" t="s">
        <v>396</v>
      </c>
      <c r="C2136" s="84">
        <v>12</v>
      </c>
      <c r="D2136" s="84">
        <v>5</v>
      </c>
      <c r="E2136" s="85">
        <v>20698.8</v>
      </c>
      <c r="F2136" s="85">
        <v>18929.48</v>
      </c>
      <c r="G2136" s="85">
        <v>-1769.32</v>
      </c>
    </row>
    <row r="2137" spans="1:7" x14ac:dyDescent="0.3">
      <c r="A2137" s="84">
        <v>2026</v>
      </c>
      <c r="B2137" s="84" t="s">
        <v>396</v>
      </c>
      <c r="C2137" s="84">
        <v>12</v>
      </c>
      <c r="D2137" s="84">
        <v>6</v>
      </c>
      <c r="E2137" s="85">
        <v>20698.8</v>
      </c>
      <c r="F2137" s="85">
        <v>19126.18</v>
      </c>
      <c r="G2137" s="85">
        <v>-1572.62</v>
      </c>
    </row>
    <row r="2138" spans="1:7" x14ac:dyDescent="0.3">
      <c r="A2138" s="84">
        <v>2026</v>
      </c>
      <c r="B2138" s="84" t="s">
        <v>396</v>
      </c>
      <c r="C2138" s="84">
        <v>12</v>
      </c>
      <c r="D2138" s="84">
        <v>7</v>
      </c>
      <c r="E2138" s="85">
        <v>20698.8</v>
      </c>
      <c r="F2138" s="85">
        <v>19322.38</v>
      </c>
      <c r="G2138" s="85">
        <v>-1376.42</v>
      </c>
    </row>
    <row r="2139" spans="1:7" x14ac:dyDescent="0.3">
      <c r="A2139" s="84">
        <v>2026</v>
      </c>
      <c r="B2139" s="84" t="s">
        <v>396</v>
      </c>
      <c r="C2139" s="84">
        <v>12</v>
      </c>
      <c r="D2139" s="84">
        <v>8</v>
      </c>
      <c r="E2139" s="85">
        <v>20698.8</v>
      </c>
      <c r="F2139" s="85">
        <v>19519.16</v>
      </c>
      <c r="G2139" s="85">
        <v>-1179.6400000000001</v>
      </c>
    </row>
    <row r="2140" spans="1:7" x14ac:dyDescent="0.3">
      <c r="A2140" s="84">
        <v>2026</v>
      </c>
      <c r="B2140" s="84" t="s">
        <v>396</v>
      </c>
      <c r="C2140" s="84">
        <v>12</v>
      </c>
      <c r="D2140" s="84">
        <v>9</v>
      </c>
      <c r="E2140" s="85">
        <v>20698.8</v>
      </c>
      <c r="F2140" s="85">
        <v>19716.28</v>
      </c>
      <c r="G2140" s="85">
        <v>-982.52</v>
      </c>
    </row>
    <row r="2141" spans="1:7" x14ac:dyDescent="0.3">
      <c r="A2141" s="84">
        <v>2026</v>
      </c>
      <c r="B2141" s="84" t="s">
        <v>396</v>
      </c>
      <c r="C2141" s="84">
        <v>12</v>
      </c>
      <c r="D2141" s="84">
        <v>10</v>
      </c>
      <c r="E2141" s="85">
        <v>20698.8</v>
      </c>
      <c r="F2141" s="85">
        <v>19912.7</v>
      </c>
      <c r="G2141" s="85">
        <v>-786.1</v>
      </c>
    </row>
    <row r="2142" spans="1:7" x14ac:dyDescent="0.3">
      <c r="A2142" s="84">
        <v>2026</v>
      </c>
      <c r="B2142" s="84" t="s">
        <v>396</v>
      </c>
      <c r="C2142" s="84">
        <v>12</v>
      </c>
      <c r="D2142" s="84">
        <v>11</v>
      </c>
      <c r="E2142" s="85">
        <v>20698.8</v>
      </c>
      <c r="F2142" s="85">
        <v>20305.259999999998</v>
      </c>
      <c r="G2142" s="85">
        <v>-393.54</v>
      </c>
    </row>
    <row r="2143" spans="1:7" x14ac:dyDescent="0.3">
      <c r="A2143" s="84">
        <v>2026</v>
      </c>
      <c r="B2143" s="84" t="s">
        <v>396</v>
      </c>
      <c r="C2143" s="84">
        <v>12</v>
      </c>
      <c r="D2143" s="84">
        <v>12</v>
      </c>
      <c r="E2143" s="85">
        <v>20698.8</v>
      </c>
      <c r="F2143" s="85">
        <v>20698.8</v>
      </c>
      <c r="G2143" s="85">
        <v>0</v>
      </c>
    </row>
    <row r="2144" spans="1:7" x14ac:dyDescent="0.3">
      <c r="A2144" s="84">
        <v>2026</v>
      </c>
      <c r="B2144" s="84" t="s">
        <v>396</v>
      </c>
      <c r="C2144" s="84">
        <v>12</v>
      </c>
      <c r="D2144" s="84">
        <v>13</v>
      </c>
      <c r="E2144" s="85">
        <v>20698.8</v>
      </c>
      <c r="F2144" s="85">
        <v>21092.06</v>
      </c>
      <c r="G2144" s="85">
        <v>393.26</v>
      </c>
    </row>
    <row r="2145" spans="1:7" x14ac:dyDescent="0.3">
      <c r="A2145" s="84">
        <v>2026</v>
      </c>
      <c r="B2145" s="84" t="s">
        <v>396</v>
      </c>
      <c r="C2145" s="84">
        <v>12</v>
      </c>
      <c r="D2145" s="84">
        <v>14</v>
      </c>
      <c r="E2145" s="85">
        <v>20698.8</v>
      </c>
      <c r="F2145" s="85">
        <v>21485.88</v>
      </c>
      <c r="G2145" s="85">
        <v>787.08</v>
      </c>
    </row>
    <row r="2146" spans="1:7" x14ac:dyDescent="0.3">
      <c r="A2146" s="84">
        <v>2026</v>
      </c>
      <c r="B2146" s="84" t="s">
        <v>396</v>
      </c>
      <c r="C2146" s="84">
        <v>12</v>
      </c>
      <c r="D2146" s="84">
        <v>15</v>
      </c>
      <c r="E2146" s="85">
        <v>20698.8</v>
      </c>
      <c r="F2146" s="85">
        <v>21878.16</v>
      </c>
      <c r="G2146" s="85">
        <v>1179.3599999999999</v>
      </c>
    </row>
    <row r="2147" spans="1:7" x14ac:dyDescent="0.3">
      <c r="A2147" s="84">
        <v>2026</v>
      </c>
      <c r="B2147" s="84" t="s">
        <v>396</v>
      </c>
      <c r="C2147" s="84">
        <v>12</v>
      </c>
      <c r="D2147" s="84">
        <v>16</v>
      </c>
      <c r="E2147" s="85">
        <v>20698.8</v>
      </c>
      <c r="F2147" s="85">
        <v>22272.12</v>
      </c>
      <c r="G2147" s="85">
        <v>1573.32</v>
      </c>
    </row>
    <row r="2148" spans="1:7" x14ac:dyDescent="0.3">
      <c r="A2148" s="84">
        <v>2026</v>
      </c>
      <c r="B2148" s="84" t="s">
        <v>396</v>
      </c>
      <c r="C2148" s="84">
        <v>12</v>
      </c>
      <c r="D2148" s="84">
        <v>17</v>
      </c>
      <c r="E2148" s="85">
        <v>20698.8</v>
      </c>
      <c r="F2148" s="85">
        <v>22664.400000000001</v>
      </c>
      <c r="G2148" s="85">
        <v>1965.6</v>
      </c>
    </row>
    <row r="2149" spans="1:7" x14ac:dyDescent="0.3">
      <c r="A2149" s="84">
        <v>2026</v>
      </c>
      <c r="B2149" s="84" t="s">
        <v>396</v>
      </c>
      <c r="C2149" s="84">
        <v>12</v>
      </c>
      <c r="D2149" s="84">
        <v>18</v>
      </c>
      <c r="E2149" s="85">
        <v>20698.8</v>
      </c>
      <c r="F2149" s="85">
        <v>23057.94</v>
      </c>
      <c r="G2149" s="85">
        <v>2359.14</v>
      </c>
    </row>
    <row r="2150" spans="1:7" x14ac:dyDescent="0.3">
      <c r="A2150" s="84">
        <v>2026</v>
      </c>
      <c r="B2150" s="84" t="s">
        <v>396</v>
      </c>
      <c r="C2150" s="84">
        <v>12</v>
      </c>
      <c r="D2150" s="84">
        <v>19</v>
      </c>
      <c r="E2150" s="85">
        <v>20698.8</v>
      </c>
      <c r="F2150" s="85">
        <v>23451.06</v>
      </c>
      <c r="G2150" s="85">
        <v>2752.26</v>
      </c>
    </row>
    <row r="2151" spans="1:7" x14ac:dyDescent="0.3">
      <c r="A2151" s="84">
        <v>2026</v>
      </c>
      <c r="B2151" s="84" t="s">
        <v>396</v>
      </c>
      <c r="C2151" s="84">
        <v>12</v>
      </c>
      <c r="D2151" s="84">
        <v>20</v>
      </c>
      <c r="E2151" s="85">
        <v>20698.8</v>
      </c>
      <c r="F2151" s="85">
        <v>23844.04</v>
      </c>
      <c r="G2151" s="85">
        <v>3145.24</v>
      </c>
    </row>
    <row r="2152" spans="1:7" x14ac:dyDescent="0.3">
      <c r="A2152" s="84">
        <v>2026</v>
      </c>
      <c r="B2152" s="84" t="s">
        <v>396</v>
      </c>
      <c r="C2152" s="84">
        <v>12</v>
      </c>
      <c r="D2152" s="84">
        <v>21</v>
      </c>
      <c r="E2152" s="85">
        <v>20698.8</v>
      </c>
      <c r="F2152" s="85">
        <v>24433.439999999999</v>
      </c>
      <c r="G2152" s="85">
        <v>3734.64</v>
      </c>
    </row>
    <row r="2153" spans="1:7" x14ac:dyDescent="0.3">
      <c r="A2153" s="84">
        <v>2026</v>
      </c>
      <c r="B2153" s="84" t="s">
        <v>396</v>
      </c>
      <c r="C2153" s="84">
        <v>12</v>
      </c>
      <c r="D2153" s="84">
        <v>22</v>
      </c>
      <c r="E2153" s="85">
        <v>20698.8</v>
      </c>
      <c r="F2153" s="85">
        <v>25072.12</v>
      </c>
      <c r="G2153" s="85">
        <v>4373.32</v>
      </c>
    </row>
    <row r="2154" spans="1:7" x14ac:dyDescent="0.3">
      <c r="A2154" s="84">
        <v>2026</v>
      </c>
      <c r="B2154" s="84" t="s">
        <v>396</v>
      </c>
      <c r="C2154" s="84">
        <v>12</v>
      </c>
      <c r="D2154" s="84">
        <v>23</v>
      </c>
      <c r="E2154" s="85">
        <v>20698.8</v>
      </c>
      <c r="F2154" s="85">
        <v>25712.62</v>
      </c>
      <c r="G2154" s="85">
        <v>5013.82</v>
      </c>
    </row>
    <row r="2155" spans="1:7" x14ac:dyDescent="0.3">
      <c r="A2155" s="84">
        <v>2026</v>
      </c>
      <c r="B2155" s="84" t="s">
        <v>396</v>
      </c>
      <c r="C2155" s="84">
        <v>12</v>
      </c>
      <c r="D2155" s="84">
        <v>24</v>
      </c>
      <c r="E2155" s="85">
        <v>20698.8</v>
      </c>
      <c r="F2155" s="85">
        <v>26351.86</v>
      </c>
      <c r="G2155" s="85">
        <v>5653.06</v>
      </c>
    </row>
    <row r="2156" spans="1:7" x14ac:dyDescent="0.3">
      <c r="A2156" s="84">
        <v>2026</v>
      </c>
      <c r="B2156" s="84" t="s">
        <v>396</v>
      </c>
      <c r="C2156" s="84">
        <v>12</v>
      </c>
      <c r="D2156" s="84">
        <v>25</v>
      </c>
      <c r="E2156" s="85">
        <v>20698.8</v>
      </c>
      <c r="F2156" s="85">
        <v>26991.94</v>
      </c>
      <c r="G2156" s="85">
        <v>6293.14</v>
      </c>
    </row>
    <row r="2157" spans="1:7" x14ac:dyDescent="0.3">
      <c r="A2157" s="84">
        <v>2026</v>
      </c>
      <c r="B2157" s="84" t="s">
        <v>396</v>
      </c>
      <c r="C2157" s="84">
        <v>12</v>
      </c>
      <c r="D2157" s="84">
        <v>26</v>
      </c>
      <c r="E2157" s="85">
        <v>20698.8</v>
      </c>
      <c r="F2157" s="85">
        <v>28371.22</v>
      </c>
      <c r="G2157" s="85">
        <v>7672.42</v>
      </c>
    </row>
    <row r="2158" spans="1:7" x14ac:dyDescent="0.3">
      <c r="A2158" s="84">
        <v>2026</v>
      </c>
      <c r="B2158" s="84" t="s">
        <v>396</v>
      </c>
      <c r="C2158" s="84">
        <v>12</v>
      </c>
      <c r="D2158" s="84">
        <v>27</v>
      </c>
      <c r="E2158" s="85">
        <v>20698.8</v>
      </c>
      <c r="F2158" s="85">
        <v>30080.48</v>
      </c>
      <c r="G2158" s="85">
        <v>9381.68</v>
      </c>
    </row>
    <row r="2159" spans="1:7" x14ac:dyDescent="0.3">
      <c r="A2159" s="84">
        <v>2026</v>
      </c>
      <c r="B2159" s="84" t="s">
        <v>396</v>
      </c>
      <c r="C2159" s="84">
        <v>12</v>
      </c>
      <c r="D2159" s="84">
        <v>28</v>
      </c>
      <c r="E2159" s="85">
        <v>20698.8</v>
      </c>
      <c r="F2159" s="85">
        <v>30720.98</v>
      </c>
      <c r="G2159" s="85">
        <v>10022.18</v>
      </c>
    </row>
    <row r="2160" spans="1:7" x14ac:dyDescent="0.3">
      <c r="A2160" s="84">
        <v>2026</v>
      </c>
      <c r="B2160" s="84" t="s">
        <v>396</v>
      </c>
      <c r="C2160" s="84">
        <v>12</v>
      </c>
      <c r="D2160" s="84">
        <v>29</v>
      </c>
      <c r="E2160" s="85">
        <v>20698.8</v>
      </c>
      <c r="F2160" s="85">
        <v>31360.36</v>
      </c>
      <c r="G2160" s="85">
        <v>10661.56</v>
      </c>
    </row>
    <row r="2161" spans="1:7" x14ac:dyDescent="0.3">
      <c r="A2161" s="84">
        <v>2026</v>
      </c>
      <c r="B2161" s="84" t="s">
        <v>396</v>
      </c>
      <c r="C2161" s="84">
        <v>12</v>
      </c>
      <c r="D2161" s="84">
        <v>30</v>
      </c>
      <c r="E2161" s="85">
        <v>20698.8</v>
      </c>
      <c r="F2161" s="85">
        <v>33108.68</v>
      </c>
      <c r="G2161" s="85">
        <v>12409.88</v>
      </c>
    </row>
    <row r="2162" spans="1:7" x14ac:dyDescent="0.3">
      <c r="A2162" s="84">
        <v>2026</v>
      </c>
      <c r="B2162" s="84" t="s">
        <v>396</v>
      </c>
      <c r="C2162" s="84">
        <v>13</v>
      </c>
      <c r="D2162" s="84">
        <v>1</v>
      </c>
      <c r="E2162" s="85">
        <v>21092.06</v>
      </c>
      <c r="F2162" s="85">
        <v>17751.240000000002</v>
      </c>
      <c r="G2162" s="85">
        <v>-3340.82</v>
      </c>
    </row>
    <row r="2163" spans="1:7" x14ac:dyDescent="0.3">
      <c r="A2163" s="84">
        <v>2026</v>
      </c>
      <c r="B2163" s="84" t="s">
        <v>396</v>
      </c>
      <c r="C2163" s="84">
        <v>13</v>
      </c>
      <c r="D2163" s="84">
        <v>2</v>
      </c>
      <c r="E2163" s="85">
        <v>21092.06</v>
      </c>
      <c r="F2163" s="85">
        <v>18045.66</v>
      </c>
      <c r="G2163" s="85">
        <v>-3046.4</v>
      </c>
    </row>
    <row r="2164" spans="1:7" x14ac:dyDescent="0.3">
      <c r="A2164" s="84">
        <v>2026</v>
      </c>
      <c r="B2164" s="84" t="s">
        <v>396</v>
      </c>
      <c r="C2164" s="84">
        <v>13</v>
      </c>
      <c r="D2164" s="84">
        <v>3</v>
      </c>
      <c r="E2164" s="85">
        <v>21092.06</v>
      </c>
      <c r="F2164" s="85">
        <v>18340.64</v>
      </c>
      <c r="G2164" s="85">
        <v>-2751.42</v>
      </c>
    </row>
    <row r="2165" spans="1:7" x14ac:dyDescent="0.3">
      <c r="A2165" s="84">
        <v>2026</v>
      </c>
      <c r="B2165" s="84" t="s">
        <v>396</v>
      </c>
      <c r="C2165" s="84">
        <v>13</v>
      </c>
      <c r="D2165" s="84">
        <v>4</v>
      </c>
      <c r="E2165" s="85">
        <v>21092.06</v>
      </c>
      <c r="F2165" s="85">
        <v>18634.78</v>
      </c>
      <c r="G2165" s="85">
        <v>-2457.2800000000002</v>
      </c>
    </row>
    <row r="2166" spans="1:7" x14ac:dyDescent="0.3">
      <c r="A2166" s="84">
        <v>2026</v>
      </c>
      <c r="B2166" s="84" t="s">
        <v>396</v>
      </c>
      <c r="C2166" s="84">
        <v>13</v>
      </c>
      <c r="D2166" s="84">
        <v>5</v>
      </c>
      <c r="E2166" s="85">
        <v>21092.06</v>
      </c>
      <c r="F2166" s="85">
        <v>18929.48</v>
      </c>
      <c r="G2166" s="85">
        <v>-2162.58</v>
      </c>
    </row>
    <row r="2167" spans="1:7" x14ac:dyDescent="0.3">
      <c r="A2167" s="84">
        <v>2026</v>
      </c>
      <c r="B2167" s="84" t="s">
        <v>396</v>
      </c>
      <c r="C2167" s="84">
        <v>13</v>
      </c>
      <c r="D2167" s="84">
        <v>6</v>
      </c>
      <c r="E2167" s="85">
        <v>21092.06</v>
      </c>
      <c r="F2167" s="85">
        <v>19126.18</v>
      </c>
      <c r="G2167" s="85">
        <v>-1965.88</v>
      </c>
    </row>
    <row r="2168" spans="1:7" x14ac:dyDescent="0.3">
      <c r="A2168" s="84">
        <v>2026</v>
      </c>
      <c r="B2168" s="84" t="s">
        <v>396</v>
      </c>
      <c r="C2168" s="84">
        <v>13</v>
      </c>
      <c r="D2168" s="84">
        <v>7</v>
      </c>
      <c r="E2168" s="85">
        <v>21092.06</v>
      </c>
      <c r="F2168" s="85">
        <v>19322.38</v>
      </c>
      <c r="G2168" s="85">
        <v>-1769.68</v>
      </c>
    </row>
    <row r="2169" spans="1:7" x14ac:dyDescent="0.3">
      <c r="A2169" s="84">
        <v>2026</v>
      </c>
      <c r="B2169" s="84" t="s">
        <v>396</v>
      </c>
      <c r="C2169" s="84">
        <v>13</v>
      </c>
      <c r="D2169" s="84">
        <v>8</v>
      </c>
      <c r="E2169" s="85">
        <v>21092.06</v>
      </c>
      <c r="F2169" s="85">
        <v>19519.16</v>
      </c>
      <c r="G2169" s="85">
        <v>-1572.9</v>
      </c>
    </row>
    <row r="2170" spans="1:7" x14ac:dyDescent="0.3">
      <c r="A2170" s="84">
        <v>2026</v>
      </c>
      <c r="B2170" s="84" t="s">
        <v>396</v>
      </c>
      <c r="C2170" s="84">
        <v>13</v>
      </c>
      <c r="D2170" s="84">
        <v>9</v>
      </c>
      <c r="E2170" s="85">
        <v>21092.06</v>
      </c>
      <c r="F2170" s="85">
        <v>19716.28</v>
      </c>
      <c r="G2170" s="85">
        <v>-1375.78</v>
      </c>
    </row>
    <row r="2171" spans="1:7" x14ac:dyDescent="0.3">
      <c r="A2171" s="84">
        <v>2026</v>
      </c>
      <c r="B2171" s="84" t="s">
        <v>396</v>
      </c>
      <c r="C2171" s="84">
        <v>13</v>
      </c>
      <c r="D2171" s="84">
        <v>10</v>
      </c>
      <c r="E2171" s="85">
        <v>21092.06</v>
      </c>
      <c r="F2171" s="85">
        <v>19912.7</v>
      </c>
      <c r="G2171" s="85">
        <v>-1179.3599999999999</v>
      </c>
    </row>
    <row r="2172" spans="1:7" x14ac:dyDescent="0.3">
      <c r="A2172" s="84">
        <v>2026</v>
      </c>
      <c r="B2172" s="84" t="s">
        <v>396</v>
      </c>
      <c r="C2172" s="84">
        <v>13</v>
      </c>
      <c r="D2172" s="84">
        <v>11</v>
      </c>
      <c r="E2172" s="85">
        <v>21092.06</v>
      </c>
      <c r="F2172" s="85">
        <v>20305.259999999998</v>
      </c>
      <c r="G2172" s="85">
        <v>-786.8</v>
      </c>
    </row>
    <row r="2173" spans="1:7" x14ac:dyDescent="0.3">
      <c r="A2173" s="84">
        <v>2026</v>
      </c>
      <c r="B2173" s="84" t="s">
        <v>396</v>
      </c>
      <c r="C2173" s="84">
        <v>13</v>
      </c>
      <c r="D2173" s="84">
        <v>12</v>
      </c>
      <c r="E2173" s="85">
        <v>21092.06</v>
      </c>
      <c r="F2173" s="85">
        <v>20698.8</v>
      </c>
      <c r="G2173" s="85">
        <v>-393.26</v>
      </c>
    </row>
    <row r="2174" spans="1:7" x14ac:dyDescent="0.3">
      <c r="A2174" s="84">
        <v>2026</v>
      </c>
      <c r="B2174" s="84" t="s">
        <v>396</v>
      </c>
      <c r="C2174" s="84">
        <v>13</v>
      </c>
      <c r="D2174" s="84">
        <v>13</v>
      </c>
      <c r="E2174" s="85">
        <v>21092.06</v>
      </c>
      <c r="F2174" s="85">
        <v>21092.06</v>
      </c>
      <c r="G2174" s="85">
        <v>0</v>
      </c>
    </row>
    <row r="2175" spans="1:7" x14ac:dyDescent="0.3">
      <c r="A2175" s="84">
        <v>2026</v>
      </c>
      <c r="B2175" s="84" t="s">
        <v>396</v>
      </c>
      <c r="C2175" s="84">
        <v>13</v>
      </c>
      <c r="D2175" s="84">
        <v>14</v>
      </c>
      <c r="E2175" s="85">
        <v>21092.06</v>
      </c>
      <c r="F2175" s="85">
        <v>21485.88</v>
      </c>
      <c r="G2175" s="85">
        <v>393.82</v>
      </c>
    </row>
    <row r="2176" spans="1:7" x14ac:dyDescent="0.3">
      <c r="A2176" s="84">
        <v>2026</v>
      </c>
      <c r="B2176" s="84" t="s">
        <v>396</v>
      </c>
      <c r="C2176" s="84">
        <v>13</v>
      </c>
      <c r="D2176" s="84">
        <v>15</v>
      </c>
      <c r="E2176" s="85">
        <v>21092.06</v>
      </c>
      <c r="F2176" s="85">
        <v>21878.16</v>
      </c>
      <c r="G2176" s="85">
        <v>786.1</v>
      </c>
    </row>
    <row r="2177" spans="1:7" x14ac:dyDescent="0.3">
      <c r="A2177" s="84">
        <v>2026</v>
      </c>
      <c r="B2177" s="84" t="s">
        <v>396</v>
      </c>
      <c r="C2177" s="84">
        <v>13</v>
      </c>
      <c r="D2177" s="84">
        <v>16</v>
      </c>
      <c r="E2177" s="85">
        <v>21092.06</v>
      </c>
      <c r="F2177" s="85">
        <v>22272.12</v>
      </c>
      <c r="G2177" s="85">
        <v>1180.06</v>
      </c>
    </row>
    <row r="2178" spans="1:7" x14ac:dyDescent="0.3">
      <c r="A2178" s="84">
        <v>2026</v>
      </c>
      <c r="B2178" s="84" t="s">
        <v>396</v>
      </c>
      <c r="C2178" s="84">
        <v>13</v>
      </c>
      <c r="D2178" s="84">
        <v>17</v>
      </c>
      <c r="E2178" s="85">
        <v>21092.06</v>
      </c>
      <c r="F2178" s="85">
        <v>22664.400000000001</v>
      </c>
      <c r="G2178" s="85">
        <v>1572.34</v>
      </c>
    </row>
    <row r="2179" spans="1:7" x14ac:dyDescent="0.3">
      <c r="A2179" s="84">
        <v>2026</v>
      </c>
      <c r="B2179" s="84" t="s">
        <v>396</v>
      </c>
      <c r="C2179" s="84">
        <v>13</v>
      </c>
      <c r="D2179" s="84">
        <v>18</v>
      </c>
      <c r="E2179" s="85">
        <v>21092.06</v>
      </c>
      <c r="F2179" s="85">
        <v>23057.94</v>
      </c>
      <c r="G2179" s="85">
        <v>1965.88</v>
      </c>
    </row>
    <row r="2180" spans="1:7" x14ac:dyDescent="0.3">
      <c r="A2180" s="84">
        <v>2026</v>
      </c>
      <c r="B2180" s="84" t="s">
        <v>396</v>
      </c>
      <c r="C2180" s="84">
        <v>13</v>
      </c>
      <c r="D2180" s="84">
        <v>19</v>
      </c>
      <c r="E2180" s="85">
        <v>21092.06</v>
      </c>
      <c r="F2180" s="85">
        <v>23451.06</v>
      </c>
      <c r="G2180" s="85">
        <v>2359</v>
      </c>
    </row>
    <row r="2181" spans="1:7" x14ac:dyDescent="0.3">
      <c r="A2181" s="84">
        <v>2026</v>
      </c>
      <c r="B2181" s="84" t="s">
        <v>396</v>
      </c>
      <c r="C2181" s="84">
        <v>13</v>
      </c>
      <c r="D2181" s="84">
        <v>20</v>
      </c>
      <c r="E2181" s="85">
        <v>21092.06</v>
      </c>
      <c r="F2181" s="85">
        <v>23844.04</v>
      </c>
      <c r="G2181" s="85">
        <v>2751.98</v>
      </c>
    </row>
    <row r="2182" spans="1:7" x14ac:dyDescent="0.3">
      <c r="A2182" s="84">
        <v>2026</v>
      </c>
      <c r="B2182" s="84" t="s">
        <v>396</v>
      </c>
      <c r="C2182" s="84">
        <v>13</v>
      </c>
      <c r="D2182" s="84">
        <v>21</v>
      </c>
      <c r="E2182" s="85">
        <v>21092.06</v>
      </c>
      <c r="F2182" s="85">
        <v>24433.439999999999</v>
      </c>
      <c r="G2182" s="85">
        <v>3341.38</v>
      </c>
    </row>
    <row r="2183" spans="1:7" x14ac:dyDescent="0.3">
      <c r="A2183" s="84">
        <v>2026</v>
      </c>
      <c r="B2183" s="84" t="s">
        <v>396</v>
      </c>
      <c r="C2183" s="84">
        <v>13</v>
      </c>
      <c r="D2183" s="84">
        <v>22</v>
      </c>
      <c r="E2183" s="85">
        <v>21092.06</v>
      </c>
      <c r="F2183" s="85">
        <v>25072.12</v>
      </c>
      <c r="G2183" s="85">
        <v>3980.06</v>
      </c>
    </row>
    <row r="2184" spans="1:7" x14ac:dyDescent="0.3">
      <c r="A2184" s="84">
        <v>2026</v>
      </c>
      <c r="B2184" s="84" t="s">
        <v>396</v>
      </c>
      <c r="C2184" s="84">
        <v>13</v>
      </c>
      <c r="D2184" s="84">
        <v>23</v>
      </c>
      <c r="E2184" s="85">
        <v>21092.06</v>
      </c>
      <c r="F2184" s="85">
        <v>25712.62</v>
      </c>
      <c r="G2184" s="85">
        <v>4620.5600000000004</v>
      </c>
    </row>
    <row r="2185" spans="1:7" x14ac:dyDescent="0.3">
      <c r="A2185" s="84">
        <v>2026</v>
      </c>
      <c r="B2185" s="84" t="s">
        <v>396</v>
      </c>
      <c r="C2185" s="84">
        <v>13</v>
      </c>
      <c r="D2185" s="84">
        <v>24</v>
      </c>
      <c r="E2185" s="85">
        <v>21092.06</v>
      </c>
      <c r="F2185" s="85">
        <v>26351.86</v>
      </c>
      <c r="G2185" s="85">
        <v>5259.8</v>
      </c>
    </row>
    <row r="2186" spans="1:7" x14ac:dyDescent="0.3">
      <c r="A2186" s="84">
        <v>2026</v>
      </c>
      <c r="B2186" s="84" t="s">
        <v>396</v>
      </c>
      <c r="C2186" s="84">
        <v>13</v>
      </c>
      <c r="D2186" s="84">
        <v>25</v>
      </c>
      <c r="E2186" s="85">
        <v>21092.06</v>
      </c>
      <c r="F2186" s="85">
        <v>26991.94</v>
      </c>
      <c r="G2186" s="85">
        <v>5899.88</v>
      </c>
    </row>
    <row r="2187" spans="1:7" x14ac:dyDescent="0.3">
      <c r="A2187" s="84">
        <v>2026</v>
      </c>
      <c r="B2187" s="84" t="s">
        <v>396</v>
      </c>
      <c r="C2187" s="84">
        <v>13</v>
      </c>
      <c r="D2187" s="84">
        <v>26</v>
      </c>
      <c r="E2187" s="85">
        <v>21092.06</v>
      </c>
      <c r="F2187" s="85">
        <v>28371.22</v>
      </c>
      <c r="G2187" s="85">
        <v>7279.16</v>
      </c>
    </row>
    <row r="2188" spans="1:7" x14ac:dyDescent="0.3">
      <c r="A2188" s="84">
        <v>2026</v>
      </c>
      <c r="B2188" s="84" t="s">
        <v>396</v>
      </c>
      <c r="C2188" s="84">
        <v>13</v>
      </c>
      <c r="D2188" s="84">
        <v>27</v>
      </c>
      <c r="E2188" s="85">
        <v>21092.06</v>
      </c>
      <c r="F2188" s="85">
        <v>30080.48</v>
      </c>
      <c r="G2188" s="85">
        <v>8988.42</v>
      </c>
    </row>
    <row r="2189" spans="1:7" x14ac:dyDescent="0.3">
      <c r="A2189" s="84">
        <v>2026</v>
      </c>
      <c r="B2189" s="84" t="s">
        <v>396</v>
      </c>
      <c r="C2189" s="84">
        <v>13</v>
      </c>
      <c r="D2189" s="84">
        <v>28</v>
      </c>
      <c r="E2189" s="85">
        <v>21092.06</v>
      </c>
      <c r="F2189" s="85">
        <v>30720.98</v>
      </c>
      <c r="G2189" s="85">
        <v>9628.92</v>
      </c>
    </row>
    <row r="2190" spans="1:7" x14ac:dyDescent="0.3">
      <c r="A2190" s="84">
        <v>2026</v>
      </c>
      <c r="B2190" s="84" t="s">
        <v>396</v>
      </c>
      <c r="C2190" s="84">
        <v>13</v>
      </c>
      <c r="D2190" s="84">
        <v>29</v>
      </c>
      <c r="E2190" s="85">
        <v>21092.06</v>
      </c>
      <c r="F2190" s="85">
        <v>31360.36</v>
      </c>
      <c r="G2190" s="85">
        <v>10268.299999999999</v>
      </c>
    </row>
    <row r="2191" spans="1:7" x14ac:dyDescent="0.3">
      <c r="A2191" s="84">
        <v>2026</v>
      </c>
      <c r="B2191" s="84" t="s">
        <v>396</v>
      </c>
      <c r="C2191" s="84">
        <v>13</v>
      </c>
      <c r="D2191" s="84">
        <v>30</v>
      </c>
      <c r="E2191" s="85">
        <v>21092.06</v>
      </c>
      <c r="F2191" s="85">
        <v>33108.68</v>
      </c>
      <c r="G2191" s="85">
        <v>12016.62</v>
      </c>
    </row>
    <row r="2192" spans="1:7" x14ac:dyDescent="0.3">
      <c r="A2192" s="84">
        <v>2026</v>
      </c>
      <c r="B2192" s="84" t="s">
        <v>396</v>
      </c>
      <c r="C2192" s="84">
        <v>14</v>
      </c>
      <c r="D2192" s="84">
        <v>1</v>
      </c>
      <c r="E2192" s="85">
        <v>21485.88</v>
      </c>
      <c r="F2192" s="85">
        <v>17751.240000000002</v>
      </c>
      <c r="G2192" s="85">
        <v>-3734.64</v>
      </c>
    </row>
    <row r="2193" spans="1:7" x14ac:dyDescent="0.3">
      <c r="A2193" s="84">
        <v>2026</v>
      </c>
      <c r="B2193" s="84" t="s">
        <v>396</v>
      </c>
      <c r="C2193" s="84">
        <v>14</v>
      </c>
      <c r="D2193" s="84">
        <v>2</v>
      </c>
      <c r="E2193" s="85">
        <v>21485.88</v>
      </c>
      <c r="F2193" s="85">
        <v>18045.66</v>
      </c>
      <c r="G2193" s="85">
        <v>-3440.22</v>
      </c>
    </row>
    <row r="2194" spans="1:7" x14ac:dyDescent="0.3">
      <c r="A2194" s="84">
        <v>2026</v>
      </c>
      <c r="B2194" s="84" t="s">
        <v>396</v>
      </c>
      <c r="C2194" s="84">
        <v>14</v>
      </c>
      <c r="D2194" s="84">
        <v>3</v>
      </c>
      <c r="E2194" s="85">
        <v>21485.88</v>
      </c>
      <c r="F2194" s="85">
        <v>18340.64</v>
      </c>
      <c r="G2194" s="85">
        <v>-3145.24</v>
      </c>
    </row>
    <row r="2195" spans="1:7" x14ac:dyDescent="0.3">
      <c r="A2195" s="84">
        <v>2026</v>
      </c>
      <c r="B2195" s="84" t="s">
        <v>396</v>
      </c>
      <c r="C2195" s="84">
        <v>14</v>
      </c>
      <c r="D2195" s="84">
        <v>4</v>
      </c>
      <c r="E2195" s="85">
        <v>21485.88</v>
      </c>
      <c r="F2195" s="85">
        <v>18634.78</v>
      </c>
      <c r="G2195" s="85">
        <v>-2851.1</v>
      </c>
    </row>
    <row r="2196" spans="1:7" x14ac:dyDescent="0.3">
      <c r="A2196" s="84">
        <v>2026</v>
      </c>
      <c r="B2196" s="84" t="s">
        <v>396</v>
      </c>
      <c r="C2196" s="84">
        <v>14</v>
      </c>
      <c r="D2196" s="84">
        <v>5</v>
      </c>
      <c r="E2196" s="85">
        <v>21485.88</v>
      </c>
      <c r="F2196" s="85">
        <v>18929.48</v>
      </c>
      <c r="G2196" s="85">
        <v>-2556.4</v>
      </c>
    </row>
    <row r="2197" spans="1:7" x14ac:dyDescent="0.3">
      <c r="A2197" s="84">
        <v>2026</v>
      </c>
      <c r="B2197" s="84" t="s">
        <v>396</v>
      </c>
      <c r="C2197" s="84">
        <v>14</v>
      </c>
      <c r="D2197" s="84">
        <v>6</v>
      </c>
      <c r="E2197" s="85">
        <v>21485.88</v>
      </c>
      <c r="F2197" s="85">
        <v>19126.18</v>
      </c>
      <c r="G2197" s="85">
        <v>-2359.6999999999998</v>
      </c>
    </row>
    <row r="2198" spans="1:7" x14ac:dyDescent="0.3">
      <c r="A2198" s="84">
        <v>2026</v>
      </c>
      <c r="B2198" s="84" t="s">
        <v>396</v>
      </c>
      <c r="C2198" s="84">
        <v>14</v>
      </c>
      <c r="D2198" s="84">
        <v>7</v>
      </c>
      <c r="E2198" s="85">
        <v>21485.88</v>
      </c>
      <c r="F2198" s="85">
        <v>19322.38</v>
      </c>
      <c r="G2198" s="85">
        <v>-2163.5</v>
      </c>
    </row>
    <row r="2199" spans="1:7" x14ac:dyDescent="0.3">
      <c r="A2199" s="84">
        <v>2026</v>
      </c>
      <c r="B2199" s="84" t="s">
        <v>396</v>
      </c>
      <c r="C2199" s="84">
        <v>14</v>
      </c>
      <c r="D2199" s="84">
        <v>8</v>
      </c>
      <c r="E2199" s="85">
        <v>21485.88</v>
      </c>
      <c r="F2199" s="85">
        <v>19519.16</v>
      </c>
      <c r="G2199" s="85">
        <v>-1966.72</v>
      </c>
    </row>
    <row r="2200" spans="1:7" x14ac:dyDescent="0.3">
      <c r="A2200" s="84">
        <v>2026</v>
      </c>
      <c r="B2200" s="84" t="s">
        <v>396</v>
      </c>
      <c r="C2200" s="84">
        <v>14</v>
      </c>
      <c r="D2200" s="84">
        <v>9</v>
      </c>
      <c r="E2200" s="85">
        <v>21485.88</v>
      </c>
      <c r="F2200" s="85">
        <v>19716.28</v>
      </c>
      <c r="G2200" s="85">
        <v>-1769.6</v>
      </c>
    </row>
    <row r="2201" spans="1:7" x14ac:dyDescent="0.3">
      <c r="A2201" s="84">
        <v>2026</v>
      </c>
      <c r="B2201" s="84" t="s">
        <v>396</v>
      </c>
      <c r="C2201" s="84">
        <v>14</v>
      </c>
      <c r="D2201" s="84">
        <v>10</v>
      </c>
      <c r="E2201" s="85">
        <v>21485.88</v>
      </c>
      <c r="F2201" s="85">
        <v>19912.7</v>
      </c>
      <c r="G2201" s="85">
        <v>-1573.18</v>
      </c>
    </row>
    <row r="2202" spans="1:7" x14ac:dyDescent="0.3">
      <c r="A2202" s="84">
        <v>2026</v>
      </c>
      <c r="B2202" s="84" t="s">
        <v>396</v>
      </c>
      <c r="C2202" s="84">
        <v>14</v>
      </c>
      <c r="D2202" s="84">
        <v>11</v>
      </c>
      <c r="E2202" s="85">
        <v>21485.88</v>
      </c>
      <c r="F2202" s="85">
        <v>20305.259999999998</v>
      </c>
      <c r="G2202" s="85">
        <v>-1180.6199999999999</v>
      </c>
    </row>
    <row r="2203" spans="1:7" x14ac:dyDescent="0.3">
      <c r="A2203" s="84">
        <v>2026</v>
      </c>
      <c r="B2203" s="84" t="s">
        <v>396</v>
      </c>
      <c r="C2203" s="84">
        <v>14</v>
      </c>
      <c r="D2203" s="84">
        <v>12</v>
      </c>
      <c r="E2203" s="85">
        <v>21485.88</v>
      </c>
      <c r="F2203" s="85">
        <v>20698.8</v>
      </c>
      <c r="G2203" s="85">
        <v>-787.08</v>
      </c>
    </row>
    <row r="2204" spans="1:7" x14ac:dyDescent="0.3">
      <c r="A2204" s="84">
        <v>2026</v>
      </c>
      <c r="B2204" s="84" t="s">
        <v>396</v>
      </c>
      <c r="C2204" s="84">
        <v>14</v>
      </c>
      <c r="D2204" s="84">
        <v>13</v>
      </c>
      <c r="E2204" s="85">
        <v>21485.88</v>
      </c>
      <c r="F2204" s="85">
        <v>21092.06</v>
      </c>
      <c r="G2204" s="85">
        <v>-393.82</v>
      </c>
    </row>
    <row r="2205" spans="1:7" x14ac:dyDescent="0.3">
      <c r="A2205" s="84">
        <v>2026</v>
      </c>
      <c r="B2205" s="84" t="s">
        <v>396</v>
      </c>
      <c r="C2205" s="84">
        <v>14</v>
      </c>
      <c r="D2205" s="84">
        <v>14</v>
      </c>
      <c r="E2205" s="85">
        <v>21485.88</v>
      </c>
      <c r="F2205" s="85">
        <v>21485.88</v>
      </c>
      <c r="G2205" s="85">
        <v>0</v>
      </c>
    </row>
    <row r="2206" spans="1:7" x14ac:dyDescent="0.3">
      <c r="A2206" s="84">
        <v>2026</v>
      </c>
      <c r="B2206" s="84" t="s">
        <v>396</v>
      </c>
      <c r="C2206" s="84">
        <v>14</v>
      </c>
      <c r="D2206" s="84">
        <v>15</v>
      </c>
      <c r="E2206" s="85">
        <v>21485.88</v>
      </c>
      <c r="F2206" s="85">
        <v>21878.16</v>
      </c>
      <c r="G2206" s="85">
        <v>392.28</v>
      </c>
    </row>
    <row r="2207" spans="1:7" x14ac:dyDescent="0.3">
      <c r="A2207" s="84">
        <v>2026</v>
      </c>
      <c r="B2207" s="84" t="s">
        <v>396</v>
      </c>
      <c r="C2207" s="84">
        <v>14</v>
      </c>
      <c r="D2207" s="84">
        <v>16</v>
      </c>
      <c r="E2207" s="85">
        <v>21485.88</v>
      </c>
      <c r="F2207" s="85">
        <v>22272.12</v>
      </c>
      <c r="G2207" s="85">
        <v>786.24</v>
      </c>
    </row>
    <row r="2208" spans="1:7" x14ac:dyDescent="0.3">
      <c r="A2208" s="84">
        <v>2026</v>
      </c>
      <c r="B2208" s="84" t="s">
        <v>396</v>
      </c>
      <c r="C2208" s="84">
        <v>14</v>
      </c>
      <c r="D2208" s="84">
        <v>17</v>
      </c>
      <c r="E2208" s="85">
        <v>21485.88</v>
      </c>
      <c r="F2208" s="85">
        <v>22664.400000000001</v>
      </c>
      <c r="G2208" s="85">
        <v>1178.52</v>
      </c>
    </row>
    <row r="2209" spans="1:7" x14ac:dyDescent="0.3">
      <c r="A2209" s="84">
        <v>2026</v>
      </c>
      <c r="B2209" s="84" t="s">
        <v>396</v>
      </c>
      <c r="C2209" s="84">
        <v>14</v>
      </c>
      <c r="D2209" s="84">
        <v>18</v>
      </c>
      <c r="E2209" s="85">
        <v>21485.88</v>
      </c>
      <c r="F2209" s="85">
        <v>23057.94</v>
      </c>
      <c r="G2209" s="85">
        <v>1572.06</v>
      </c>
    </row>
    <row r="2210" spans="1:7" x14ac:dyDescent="0.3">
      <c r="A2210" s="84">
        <v>2026</v>
      </c>
      <c r="B2210" s="84" t="s">
        <v>396</v>
      </c>
      <c r="C2210" s="84">
        <v>14</v>
      </c>
      <c r="D2210" s="84">
        <v>19</v>
      </c>
      <c r="E2210" s="85">
        <v>21485.88</v>
      </c>
      <c r="F2210" s="85">
        <v>23451.06</v>
      </c>
      <c r="G2210" s="85">
        <v>1965.18</v>
      </c>
    </row>
    <row r="2211" spans="1:7" x14ac:dyDescent="0.3">
      <c r="A2211" s="84">
        <v>2026</v>
      </c>
      <c r="B2211" s="84" t="s">
        <v>396</v>
      </c>
      <c r="C2211" s="84">
        <v>14</v>
      </c>
      <c r="D2211" s="84">
        <v>20</v>
      </c>
      <c r="E2211" s="85">
        <v>21485.88</v>
      </c>
      <c r="F2211" s="85">
        <v>23844.04</v>
      </c>
      <c r="G2211" s="85">
        <v>2358.16</v>
      </c>
    </row>
    <row r="2212" spans="1:7" x14ac:dyDescent="0.3">
      <c r="A2212" s="84">
        <v>2026</v>
      </c>
      <c r="B2212" s="84" t="s">
        <v>396</v>
      </c>
      <c r="C2212" s="84">
        <v>14</v>
      </c>
      <c r="D2212" s="84">
        <v>21</v>
      </c>
      <c r="E2212" s="85">
        <v>21485.88</v>
      </c>
      <c r="F2212" s="85">
        <v>24433.439999999999</v>
      </c>
      <c r="G2212" s="85">
        <v>2947.56</v>
      </c>
    </row>
    <row r="2213" spans="1:7" x14ac:dyDescent="0.3">
      <c r="A2213" s="84">
        <v>2026</v>
      </c>
      <c r="B2213" s="84" t="s">
        <v>396</v>
      </c>
      <c r="C2213" s="84">
        <v>14</v>
      </c>
      <c r="D2213" s="84">
        <v>22</v>
      </c>
      <c r="E2213" s="85">
        <v>21485.88</v>
      </c>
      <c r="F2213" s="85">
        <v>25072.12</v>
      </c>
      <c r="G2213" s="85">
        <v>3586.24</v>
      </c>
    </row>
    <row r="2214" spans="1:7" x14ac:dyDescent="0.3">
      <c r="A2214" s="84">
        <v>2026</v>
      </c>
      <c r="B2214" s="84" t="s">
        <v>396</v>
      </c>
      <c r="C2214" s="84">
        <v>14</v>
      </c>
      <c r="D2214" s="84">
        <v>23</v>
      </c>
      <c r="E2214" s="85">
        <v>21485.88</v>
      </c>
      <c r="F2214" s="85">
        <v>25712.62</v>
      </c>
      <c r="G2214" s="85">
        <v>4226.74</v>
      </c>
    </row>
    <row r="2215" spans="1:7" x14ac:dyDescent="0.3">
      <c r="A2215" s="84">
        <v>2026</v>
      </c>
      <c r="B2215" s="84" t="s">
        <v>396</v>
      </c>
      <c r="C2215" s="84">
        <v>14</v>
      </c>
      <c r="D2215" s="84">
        <v>24</v>
      </c>
      <c r="E2215" s="85">
        <v>21485.88</v>
      </c>
      <c r="F2215" s="85">
        <v>26351.86</v>
      </c>
      <c r="G2215" s="85">
        <v>4865.9799999999996</v>
      </c>
    </row>
    <row r="2216" spans="1:7" x14ac:dyDescent="0.3">
      <c r="A2216" s="84">
        <v>2026</v>
      </c>
      <c r="B2216" s="84" t="s">
        <v>396</v>
      </c>
      <c r="C2216" s="84">
        <v>14</v>
      </c>
      <c r="D2216" s="84">
        <v>25</v>
      </c>
      <c r="E2216" s="85">
        <v>21485.88</v>
      </c>
      <c r="F2216" s="85">
        <v>26991.94</v>
      </c>
      <c r="G2216" s="85">
        <v>5506.06</v>
      </c>
    </row>
    <row r="2217" spans="1:7" x14ac:dyDescent="0.3">
      <c r="A2217" s="84">
        <v>2026</v>
      </c>
      <c r="B2217" s="84" t="s">
        <v>396</v>
      </c>
      <c r="C2217" s="84">
        <v>14</v>
      </c>
      <c r="D2217" s="84">
        <v>26</v>
      </c>
      <c r="E2217" s="85">
        <v>21485.88</v>
      </c>
      <c r="F2217" s="85">
        <v>28371.22</v>
      </c>
      <c r="G2217" s="85">
        <v>6885.34</v>
      </c>
    </row>
    <row r="2218" spans="1:7" x14ac:dyDescent="0.3">
      <c r="A2218" s="84">
        <v>2026</v>
      </c>
      <c r="B2218" s="84" t="s">
        <v>396</v>
      </c>
      <c r="C2218" s="84">
        <v>14</v>
      </c>
      <c r="D2218" s="84">
        <v>27</v>
      </c>
      <c r="E2218" s="85">
        <v>21485.88</v>
      </c>
      <c r="F2218" s="85">
        <v>30080.48</v>
      </c>
      <c r="G2218" s="85">
        <v>8594.6</v>
      </c>
    </row>
    <row r="2219" spans="1:7" x14ac:dyDescent="0.3">
      <c r="A2219" s="84">
        <v>2026</v>
      </c>
      <c r="B2219" s="84" t="s">
        <v>396</v>
      </c>
      <c r="C2219" s="84">
        <v>14</v>
      </c>
      <c r="D2219" s="84">
        <v>28</v>
      </c>
      <c r="E2219" s="85">
        <v>21485.88</v>
      </c>
      <c r="F2219" s="85">
        <v>30720.98</v>
      </c>
      <c r="G2219" s="85">
        <v>9235.1</v>
      </c>
    </row>
    <row r="2220" spans="1:7" x14ac:dyDescent="0.3">
      <c r="A2220" s="84">
        <v>2026</v>
      </c>
      <c r="B2220" s="84" t="s">
        <v>396</v>
      </c>
      <c r="C2220" s="84">
        <v>14</v>
      </c>
      <c r="D2220" s="84">
        <v>29</v>
      </c>
      <c r="E2220" s="85">
        <v>21485.88</v>
      </c>
      <c r="F2220" s="85">
        <v>31360.36</v>
      </c>
      <c r="G2220" s="85">
        <v>9874.48</v>
      </c>
    </row>
    <row r="2221" spans="1:7" x14ac:dyDescent="0.3">
      <c r="A2221" s="84">
        <v>2026</v>
      </c>
      <c r="B2221" s="84" t="s">
        <v>396</v>
      </c>
      <c r="C2221" s="84">
        <v>14</v>
      </c>
      <c r="D2221" s="84">
        <v>30</v>
      </c>
      <c r="E2221" s="85">
        <v>21485.88</v>
      </c>
      <c r="F2221" s="85">
        <v>33108.68</v>
      </c>
      <c r="G2221" s="85">
        <v>11622.8</v>
      </c>
    </row>
    <row r="2222" spans="1:7" x14ac:dyDescent="0.3">
      <c r="A2222" s="84">
        <v>2026</v>
      </c>
      <c r="B2222" s="84" t="s">
        <v>396</v>
      </c>
      <c r="C2222" s="84">
        <v>15</v>
      </c>
      <c r="D2222" s="84">
        <v>1</v>
      </c>
      <c r="E2222" s="85">
        <v>21878.16</v>
      </c>
      <c r="F2222" s="85">
        <v>17751.240000000002</v>
      </c>
      <c r="G2222" s="85">
        <v>-4126.92</v>
      </c>
    </row>
    <row r="2223" spans="1:7" x14ac:dyDescent="0.3">
      <c r="A2223" s="84">
        <v>2026</v>
      </c>
      <c r="B2223" s="84" t="s">
        <v>396</v>
      </c>
      <c r="C2223" s="84">
        <v>15</v>
      </c>
      <c r="D2223" s="84">
        <v>2</v>
      </c>
      <c r="E2223" s="85">
        <v>21878.16</v>
      </c>
      <c r="F2223" s="85">
        <v>18045.66</v>
      </c>
      <c r="G2223" s="85">
        <v>-3832.5</v>
      </c>
    </row>
    <row r="2224" spans="1:7" x14ac:dyDescent="0.3">
      <c r="A2224" s="84">
        <v>2026</v>
      </c>
      <c r="B2224" s="84" t="s">
        <v>396</v>
      </c>
      <c r="C2224" s="84">
        <v>15</v>
      </c>
      <c r="D2224" s="84">
        <v>3</v>
      </c>
      <c r="E2224" s="85">
        <v>21878.16</v>
      </c>
      <c r="F2224" s="85">
        <v>18340.64</v>
      </c>
      <c r="G2224" s="85">
        <v>-3537.52</v>
      </c>
    </row>
    <row r="2225" spans="1:7" x14ac:dyDescent="0.3">
      <c r="A2225" s="84">
        <v>2026</v>
      </c>
      <c r="B2225" s="84" t="s">
        <v>396</v>
      </c>
      <c r="C2225" s="84">
        <v>15</v>
      </c>
      <c r="D2225" s="84">
        <v>4</v>
      </c>
      <c r="E2225" s="85">
        <v>21878.16</v>
      </c>
      <c r="F2225" s="85">
        <v>18634.78</v>
      </c>
      <c r="G2225" s="85">
        <v>-3243.38</v>
      </c>
    </row>
    <row r="2226" spans="1:7" x14ac:dyDescent="0.3">
      <c r="A2226" s="84">
        <v>2026</v>
      </c>
      <c r="B2226" s="84" t="s">
        <v>396</v>
      </c>
      <c r="C2226" s="84">
        <v>15</v>
      </c>
      <c r="D2226" s="84">
        <v>5</v>
      </c>
      <c r="E2226" s="85">
        <v>21878.16</v>
      </c>
      <c r="F2226" s="85">
        <v>18929.48</v>
      </c>
      <c r="G2226" s="85">
        <v>-2948.68</v>
      </c>
    </row>
    <row r="2227" spans="1:7" x14ac:dyDescent="0.3">
      <c r="A2227" s="84">
        <v>2026</v>
      </c>
      <c r="B2227" s="84" t="s">
        <v>396</v>
      </c>
      <c r="C2227" s="84">
        <v>15</v>
      </c>
      <c r="D2227" s="84">
        <v>6</v>
      </c>
      <c r="E2227" s="85">
        <v>21878.16</v>
      </c>
      <c r="F2227" s="85">
        <v>19126.18</v>
      </c>
      <c r="G2227" s="85">
        <v>-2751.98</v>
      </c>
    </row>
    <row r="2228" spans="1:7" x14ac:dyDescent="0.3">
      <c r="A2228" s="84">
        <v>2026</v>
      </c>
      <c r="B2228" s="84" t="s">
        <v>396</v>
      </c>
      <c r="C2228" s="84">
        <v>15</v>
      </c>
      <c r="D2228" s="84">
        <v>7</v>
      </c>
      <c r="E2228" s="85">
        <v>21878.16</v>
      </c>
      <c r="F2228" s="85">
        <v>19322.38</v>
      </c>
      <c r="G2228" s="85">
        <v>-2555.7800000000002</v>
      </c>
    </row>
    <row r="2229" spans="1:7" x14ac:dyDescent="0.3">
      <c r="A2229" s="84">
        <v>2026</v>
      </c>
      <c r="B2229" s="84" t="s">
        <v>396</v>
      </c>
      <c r="C2229" s="84">
        <v>15</v>
      </c>
      <c r="D2229" s="84">
        <v>8</v>
      </c>
      <c r="E2229" s="85">
        <v>21878.16</v>
      </c>
      <c r="F2229" s="85">
        <v>19519.16</v>
      </c>
      <c r="G2229" s="85">
        <v>-2359</v>
      </c>
    </row>
    <row r="2230" spans="1:7" x14ac:dyDescent="0.3">
      <c r="A2230" s="84">
        <v>2026</v>
      </c>
      <c r="B2230" s="84" t="s">
        <v>396</v>
      </c>
      <c r="C2230" s="84">
        <v>15</v>
      </c>
      <c r="D2230" s="84">
        <v>9</v>
      </c>
      <c r="E2230" s="85">
        <v>21878.16</v>
      </c>
      <c r="F2230" s="85">
        <v>19716.28</v>
      </c>
      <c r="G2230" s="85">
        <v>-2161.88</v>
      </c>
    </row>
    <row r="2231" spans="1:7" x14ac:dyDescent="0.3">
      <c r="A2231" s="84">
        <v>2026</v>
      </c>
      <c r="B2231" s="84" t="s">
        <v>396</v>
      </c>
      <c r="C2231" s="84">
        <v>15</v>
      </c>
      <c r="D2231" s="84">
        <v>10</v>
      </c>
      <c r="E2231" s="85">
        <v>21878.16</v>
      </c>
      <c r="F2231" s="85">
        <v>19912.7</v>
      </c>
      <c r="G2231" s="85">
        <v>-1965.46</v>
      </c>
    </row>
    <row r="2232" spans="1:7" x14ac:dyDescent="0.3">
      <c r="A2232" s="84">
        <v>2026</v>
      </c>
      <c r="B2232" s="84" t="s">
        <v>396</v>
      </c>
      <c r="C2232" s="84">
        <v>15</v>
      </c>
      <c r="D2232" s="84">
        <v>11</v>
      </c>
      <c r="E2232" s="85">
        <v>21878.16</v>
      </c>
      <c r="F2232" s="85">
        <v>20305.259999999998</v>
      </c>
      <c r="G2232" s="85">
        <v>-1572.9</v>
      </c>
    </row>
    <row r="2233" spans="1:7" x14ac:dyDescent="0.3">
      <c r="A2233" s="84">
        <v>2026</v>
      </c>
      <c r="B2233" s="84" t="s">
        <v>396</v>
      </c>
      <c r="C2233" s="84">
        <v>15</v>
      </c>
      <c r="D2233" s="84">
        <v>12</v>
      </c>
      <c r="E2233" s="85">
        <v>21878.16</v>
      </c>
      <c r="F2233" s="85">
        <v>20698.8</v>
      </c>
      <c r="G2233" s="85">
        <v>-1179.3599999999999</v>
      </c>
    </row>
    <row r="2234" spans="1:7" x14ac:dyDescent="0.3">
      <c r="A2234" s="84">
        <v>2026</v>
      </c>
      <c r="B2234" s="84" t="s">
        <v>396</v>
      </c>
      <c r="C2234" s="84">
        <v>15</v>
      </c>
      <c r="D2234" s="84">
        <v>13</v>
      </c>
      <c r="E2234" s="85">
        <v>21878.16</v>
      </c>
      <c r="F2234" s="85">
        <v>21092.06</v>
      </c>
      <c r="G2234" s="85">
        <v>-786.1</v>
      </c>
    </row>
    <row r="2235" spans="1:7" x14ac:dyDescent="0.3">
      <c r="A2235" s="84">
        <v>2026</v>
      </c>
      <c r="B2235" s="84" t="s">
        <v>396</v>
      </c>
      <c r="C2235" s="84">
        <v>15</v>
      </c>
      <c r="D2235" s="84">
        <v>14</v>
      </c>
      <c r="E2235" s="85">
        <v>21878.16</v>
      </c>
      <c r="F2235" s="85">
        <v>21485.88</v>
      </c>
      <c r="G2235" s="85">
        <v>-392.28</v>
      </c>
    </row>
    <row r="2236" spans="1:7" x14ac:dyDescent="0.3">
      <c r="A2236" s="84">
        <v>2026</v>
      </c>
      <c r="B2236" s="84" t="s">
        <v>396</v>
      </c>
      <c r="C2236" s="84">
        <v>15</v>
      </c>
      <c r="D2236" s="84">
        <v>15</v>
      </c>
      <c r="E2236" s="85">
        <v>21878.16</v>
      </c>
      <c r="F2236" s="85">
        <v>21878.16</v>
      </c>
      <c r="G2236" s="85">
        <v>0</v>
      </c>
    </row>
    <row r="2237" spans="1:7" x14ac:dyDescent="0.3">
      <c r="A2237" s="84">
        <v>2026</v>
      </c>
      <c r="B2237" s="84" t="s">
        <v>396</v>
      </c>
      <c r="C2237" s="84">
        <v>15</v>
      </c>
      <c r="D2237" s="84">
        <v>16</v>
      </c>
      <c r="E2237" s="85">
        <v>21878.16</v>
      </c>
      <c r="F2237" s="85">
        <v>22272.12</v>
      </c>
      <c r="G2237" s="85">
        <v>393.96</v>
      </c>
    </row>
    <row r="2238" spans="1:7" x14ac:dyDescent="0.3">
      <c r="A2238" s="84">
        <v>2026</v>
      </c>
      <c r="B2238" s="84" t="s">
        <v>396</v>
      </c>
      <c r="C2238" s="84">
        <v>15</v>
      </c>
      <c r="D2238" s="84">
        <v>17</v>
      </c>
      <c r="E2238" s="85">
        <v>21878.16</v>
      </c>
      <c r="F2238" s="85">
        <v>22664.400000000001</v>
      </c>
      <c r="G2238" s="85">
        <v>786.24</v>
      </c>
    </row>
    <row r="2239" spans="1:7" x14ac:dyDescent="0.3">
      <c r="A2239" s="84">
        <v>2026</v>
      </c>
      <c r="B2239" s="84" t="s">
        <v>396</v>
      </c>
      <c r="C2239" s="84">
        <v>15</v>
      </c>
      <c r="D2239" s="84">
        <v>18</v>
      </c>
      <c r="E2239" s="85">
        <v>21878.16</v>
      </c>
      <c r="F2239" s="85">
        <v>23057.94</v>
      </c>
      <c r="G2239" s="85">
        <v>1179.78</v>
      </c>
    </row>
    <row r="2240" spans="1:7" x14ac:dyDescent="0.3">
      <c r="A2240" s="84">
        <v>2026</v>
      </c>
      <c r="B2240" s="84" t="s">
        <v>396</v>
      </c>
      <c r="C2240" s="84">
        <v>15</v>
      </c>
      <c r="D2240" s="84">
        <v>19</v>
      </c>
      <c r="E2240" s="85">
        <v>21878.16</v>
      </c>
      <c r="F2240" s="85">
        <v>23451.06</v>
      </c>
      <c r="G2240" s="85">
        <v>1572.9</v>
      </c>
    </row>
    <row r="2241" spans="1:7" x14ac:dyDescent="0.3">
      <c r="A2241" s="84">
        <v>2026</v>
      </c>
      <c r="B2241" s="84" t="s">
        <v>396</v>
      </c>
      <c r="C2241" s="84">
        <v>15</v>
      </c>
      <c r="D2241" s="84">
        <v>20</v>
      </c>
      <c r="E2241" s="85">
        <v>21878.16</v>
      </c>
      <c r="F2241" s="85">
        <v>23844.04</v>
      </c>
      <c r="G2241" s="85">
        <v>1965.88</v>
      </c>
    </row>
    <row r="2242" spans="1:7" x14ac:dyDescent="0.3">
      <c r="A2242" s="84">
        <v>2026</v>
      </c>
      <c r="B2242" s="84" t="s">
        <v>396</v>
      </c>
      <c r="C2242" s="84">
        <v>15</v>
      </c>
      <c r="D2242" s="84">
        <v>21</v>
      </c>
      <c r="E2242" s="85">
        <v>21878.16</v>
      </c>
      <c r="F2242" s="85">
        <v>24433.439999999999</v>
      </c>
      <c r="G2242" s="85">
        <v>2555.2800000000002</v>
      </c>
    </row>
    <row r="2243" spans="1:7" x14ac:dyDescent="0.3">
      <c r="A2243" s="84">
        <v>2026</v>
      </c>
      <c r="B2243" s="84" t="s">
        <v>396</v>
      </c>
      <c r="C2243" s="84">
        <v>15</v>
      </c>
      <c r="D2243" s="84">
        <v>22</v>
      </c>
      <c r="E2243" s="85">
        <v>21878.16</v>
      </c>
      <c r="F2243" s="85">
        <v>25072.12</v>
      </c>
      <c r="G2243" s="85">
        <v>3193.96</v>
      </c>
    </row>
    <row r="2244" spans="1:7" x14ac:dyDescent="0.3">
      <c r="A2244" s="84">
        <v>2026</v>
      </c>
      <c r="B2244" s="84" t="s">
        <v>396</v>
      </c>
      <c r="C2244" s="84">
        <v>15</v>
      </c>
      <c r="D2244" s="84">
        <v>23</v>
      </c>
      <c r="E2244" s="85">
        <v>21878.16</v>
      </c>
      <c r="F2244" s="85">
        <v>25712.62</v>
      </c>
      <c r="G2244" s="85">
        <v>3834.46</v>
      </c>
    </row>
    <row r="2245" spans="1:7" x14ac:dyDescent="0.3">
      <c r="A2245" s="84">
        <v>2026</v>
      </c>
      <c r="B2245" s="84" t="s">
        <v>396</v>
      </c>
      <c r="C2245" s="84">
        <v>15</v>
      </c>
      <c r="D2245" s="84">
        <v>24</v>
      </c>
      <c r="E2245" s="85">
        <v>21878.16</v>
      </c>
      <c r="F2245" s="85">
        <v>26351.86</v>
      </c>
      <c r="G2245" s="85">
        <v>4473.7</v>
      </c>
    </row>
    <row r="2246" spans="1:7" x14ac:dyDescent="0.3">
      <c r="A2246" s="84">
        <v>2026</v>
      </c>
      <c r="B2246" s="84" t="s">
        <v>396</v>
      </c>
      <c r="C2246" s="84">
        <v>15</v>
      </c>
      <c r="D2246" s="84">
        <v>25</v>
      </c>
      <c r="E2246" s="85">
        <v>21878.16</v>
      </c>
      <c r="F2246" s="85">
        <v>26991.94</v>
      </c>
      <c r="G2246" s="85">
        <v>5113.78</v>
      </c>
    </row>
    <row r="2247" spans="1:7" x14ac:dyDescent="0.3">
      <c r="A2247" s="84">
        <v>2026</v>
      </c>
      <c r="B2247" s="84" t="s">
        <v>396</v>
      </c>
      <c r="C2247" s="84">
        <v>15</v>
      </c>
      <c r="D2247" s="84">
        <v>26</v>
      </c>
      <c r="E2247" s="85">
        <v>21878.16</v>
      </c>
      <c r="F2247" s="85">
        <v>28371.22</v>
      </c>
      <c r="G2247" s="85">
        <v>6493.06</v>
      </c>
    </row>
    <row r="2248" spans="1:7" x14ac:dyDescent="0.3">
      <c r="A2248" s="84">
        <v>2026</v>
      </c>
      <c r="B2248" s="84" t="s">
        <v>396</v>
      </c>
      <c r="C2248" s="84">
        <v>15</v>
      </c>
      <c r="D2248" s="84">
        <v>27</v>
      </c>
      <c r="E2248" s="85">
        <v>21878.16</v>
      </c>
      <c r="F2248" s="85">
        <v>30080.48</v>
      </c>
      <c r="G2248" s="85">
        <v>8202.32</v>
      </c>
    </row>
    <row r="2249" spans="1:7" x14ac:dyDescent="0.3">
      <c r="A2249" s="84">
        <v>2026</v>
      </c>
      <c r="B2249" s="84" t="s">
        <v>396</v>
      </c>
      <c r="C2249" s="84">
        <v>15</v>
      </c>
      <c r="D2249" s="84">
        <v>28</v>
      </c>
      <c r="E2249" s="85">
        <v>21878.16</v>
      </c>
      <c r="F2249" s="85">
        <v>30720.98</v>
      </c>
      <c r="G2249" s="85">
        <v>8842.82</v>
      </c>
    </row>
    <row r="2250" spans="1:7" x14ac:dyDescent="0.3">
      <c r="A2250" s="84">
        <v>2026</v>
      </c>
      <c r="B2250" s="84" t="s">
        <v>396</v>
      </c>
      <c r="C2250" s="84">
        <v>15</v>
      </c>
      <c r="D2250" s="84">
        <v>29</v>
      </c>
      <c r="E2250" s="85">
        <v>21878.16</v>
      </c>
      <c r="F2250" s="85">
        <v>31360.36</v>
      </c>
      <c r="G2250" s="85">
        <v>9482.2000000000007</v>
      </c>
    </row>
    <row r="2251" spans="1:7" x14ac:dyDescent="0.3">
      <c r="A2251" s="84">
        <v>2026</v>
      </c>
      <c r="B2251" s="84" t="s">
        <v>396</v>
      </c>
      <c r="C2251" s="84">
        <v>15</v>
      </c>
      <c r="D2251" s="84">
        <v>30</v>
      </c>
      <c r="E2251" s="85">
        <v>21878.16</v>
      </c>
      <c r="F2251" s="85">
        <v>33108.68</v>
      </c>
      <c r="G2251" s="85">
        <v>11230.52</v>
      </c>
    </row>
    <row r="2252" spans="1:7" x14ac:dyDescent="0.3">
      <c r="A2252" s="84">
        <v>2026</v>
      </c>
      <c r="B2252" s="84" t="s">
        <v>396</v>
      </c>
      <c r="C2252" s="84">
        <v>16</v>
      </c>
      <c r="D2252" s="84">
        <v>1</v>
      </c>
      <c r="E2252" s="85">
        <v>22272.12</v>
      </c>
      <c r="F2252" s="85">
        <v>17751.240000000002</v>
      </c>
      <c r="G2252" s="85">
        <v>-4520.88</v>
      </c>
    </row>
    <row r="2253" spans="1:7" x14ac:dyDescent="0.3">
      <c r="A2253" s="84">
        <v>2026</v>
      </c>
      <c r="B2253" s="84" t="s">
        <v>396</v>
      </c>
      <c r="C2253" s="84">
        <v>16</v>
      </c>
      <c r="D2253" s="84">
        <v>2</v>
      </c>
      <c r="E2253" s="85">
        <v>22272.12</v>
      </c>
      <c r="F2253" s="85">
        <v>18045.66</v>
      </c>
      <c r="G2253" s="85">
        <v>-4226.46</v>
      </c>
    </row>
    <row r="2254" spans="1:7" x14ac:dyDescent="0.3">
      <c r="A2254" s="84">
        <v>2026</v>
      </c>
      <c r="B2254" s="84" t="s">
        <v>396</v>
      </c>
      <c r="C2254" s="84">
        <v>16</v>
      </c>
      <c r="D2254" s="84">
        <v>3</v>
      </c>
      <c r="E2254" s="85">
        <v>22272.12</v>
      </c>
      <c r="F2254" s="85">
        <v>18340.64</v>
      </c>
      <c r="G2254" s="85">
        <v>-3931.48</v>
      </c>
    </row>
    <row r="2255" spans="1:7" x14ac:dyDescent="0.3">
      <c r="A2255" s="84">
        <v>2026</v>
      </c>
      <c r="B2255" s="84" t="s">
        <v>396</v>
      </c>
      <c r="C2255" s="84">
        <v>16</v>
      </c>
      <c r="D2255" s="84">
        <v>4</v>
      </c>
      <c r="E2255" s="85">
        <v>22272.12</v>
      </c>
      <c r="F2255" s="85">
        <v>18634.78</v>
      </c>
      <c r="G2255" s="85">
        <v>-3637.34</v>
      </c>
    </row>
    <row r="2256" spans="1:7" x14ac:dyDescent="0.3">
      <c r="A2256" s="84">
        <v>2026</v>
      </c>
      <c r="B2256" s="84" t="s">
        <v>396</v>
      </c>
      <c r="C2256" s="84">
        <v>16</v>
      </c>
      <c r="D2256" s="84">
        <v>5</v>
      </c>
      <c r="E2256" s="85">
        <v>22272.12</v>
      </c>
      <c r="F2256" s="85">
        <v>18929.48</v>
      </c>
      <c r="G2256" s="85">
        <v>-3342.64</v>
      </c>
    </row>
    <row r="2257" spans="1:7" x14ac:dyDescent="0.3">
      <c r="A2257" s="84">
        <v>2026</v>
      </c>
      <c r="B2257" s="84" t="s">
        <v>396</v>
      </c>
      <c r="C2257" s="84">
        <v>16</v>
      </c>
      <c r="D2257" s="84">
        <v>6</v>
      </c>
      <c r="E2257" s="85">
        <v>22272.12</v>
      </c>
      <c r="F2257" s="85">
        <v>19126.18</v>
      </c>
      <c r="G2257" s="85">
        <v>-3145.94</v>
      </c>
    </row>
    <row r="2258" spans="1:7" x14ac:dyDescent="0.3">
      <c r="A2258" s="84">
        <v>2026</v>
      </c>
      <c r="B2258" s="84" t="s">
        <v>396</v>
      </c>
      <c r="C2258" s="84">
        <v>16</v>
      </c>
      <c r="D2258" s="84">
        <v>7</v>
      </c>
      <c r="E2258" s="85">
        <v>22272.12</v>
      </c>
      <c r="F2258" s="85">
        <v>19322.38</v>
      </c>
      <c r="G2258" s="85">
        <v>-2949.74</v>
      </c>
    </row>
    <row r="2259" spans="1:7" x14ac:dyDescent="0.3">
      <c r="A2259" s="84">
        <v>2026</v>
      </c>
      <c r="B2259" s="84" t="s">
        <v>396</v>
      </c>
      <c r="C2259" s="84">
        <v>16</v>
      </c>
      <c r="D2259" s="84">
        <v>8</v>
      </c>
      <c r="E2259" s="85">
        <v>22272.12</v>
      </c>
      <c r="F2259" s="85">
        <v>19519.16</v>
      </c>
      <c r="G2259" s="85">
        <v>-2752.96</v>
      </c>
    </row>
    <row r="2260" spans="1:7" x14ac:dyDescent="0.3">
      <c r="A2260" s="84">
        <v>2026</v>
      </c>
      <c r="B2260" s="84" t="s">
        <v>396</v>
      </c>
      <c r="C2260" s="84">
        <v>16</v>
      </c>
      <c r="D2260" s="84">
        <v>9</v>
      </c>
      <c r="E2260" s="85">
        <v>22272.12</v>
      </c>
      <c r="F2260" s="85">
        <v>19716.28</v>
      </c>
      <c r="G2260" s="85">
        <v>-2555.84</v>
      </c>
    </row>
    <row r="2261" spans="1:7" x14ac:dyDescent="0.3">
      <c r="A2261" s="84">
        <v>2026</v>
      </c>
      <c r="B2261" s="84" t="s">
        <v>396</v>
      </c>
      <c r="C2261" s="84">
        <v>16</v>
      </c>
      <c r="D2261" s="84">
        <v>10</v>
      </c>
      <c r="E2261" s="85">
        <v>22272.12</v>
      </c>
      <c r="F2261" s="85">
        <v>19912.7</v>
      </c>
      <c r="G2261" s="85">
        <v>-2359.42</v>
      </c>
    </row>
    <row r="2262" spans="1:7" x14ac:dyDescent="0.3">
      <c r="A2262" s="84">
        <v>2026</v>
      </c>
      <c r="B2262" s="84" t="s">
        <v>396</v>
      </c>
      <c r="C2262" s="84">
        <v>16</v>
      </c>
      <c r="D2262" s="84">
        <v>11</v>
      </c>
      <c r="E2262" s="85">
        <v>22272.12</v>
      </c>
      <c r="F2262" s="85">
        <v>20305.259999999998</v>
      </c>
      <c r="G2262" s="85">
        <v>-1966.86</v>
      </c>
    </row>
    <row r="2263" spans="1:7" x14ac:dyDescent="0.3">
      <c r="A2263" s="84">
        <v>2026</v>
      </c>
      <c r="B2263" s="84" t="s">
        <v>396</v>
      </c>
      <c r="C2263" s="84">
        <v>16</v>
      </c>
      <c r="D2263" s="84">
        <v>12</v>
      </c>
      <c r="E2263" s="85">
        <v>22272.12</v>
      </c>
      <c r="F2263" s="85">
        <v>20698.8</v>
      </c>
      <c r="G2263" s="85">
        <v>-1573.32</v>
      </c>
    </row>
    <row r="2264" spans="1:7" x14ac:dyDescent="0.3">
      <c r="A2264" s="84">
        <v>2026</v>
      </c>
      <c r="B2264" s="84" t="s">
        <v>396</v>
      </c>
      <c r="C2264" s="84">
        <v>16</v>
      </c>
      <c r="D2264" s="84">
        <v>13</v>
      </c>
      <c r="E2264" s="85">
        <v>22272.12</v>
      </c>
      <c r="F2264" s="85">
        <v>21092.06</v>
      </c>
      <c r="G2264" s="85">
        <v>-1180.06</v>
      </c>
    </row>
    <row r="2265" spans="1:7" x14ac:dyDescent="0.3">
      <c r="A2265" s="84">
        <v>2026</v>
      </c>
      <c r="B2265" s="84" t="s">
        <v>396</v>
      </c>
      <c r="C2265" s="84">
        <v>16</v>
      </c>
      <c r="D2265" s="84">
        <v>14</v>
      </c>
      <c r="E2265" s="85">
        <v>22272.12</v>
      </c>
      <c r="F2265" s="85">
        <v>21485.88</v>
      </c>
      <c r="G2265" s="85">
        <v>-786.24</v>
      </c>
    </row>
    <row r="2266" spans="1:7" x14ac:dyDescent="0.3">
      <c r="A2266" s="84">
        <v>2026</v>
      </c>
      <c r="B2266" s="84" t="s">
        <v>396</v>
      </c>
      <c r="C2266" s="84">
        <v>16</v>
      </c>
      <c r="D2266" s="84">
        <v>15</v>
      </c>
      <c r="E2266" s="85">
        <v>22272.12</v>
      </c>
      <c r="F2266" s="85">
        <v>21878.16</v>
      </c>
      <c r="G2266" s="85">
        <v>-393.96</v>
      </c>
    </row>
    <row r="2267" spans="1:7" x14ac:dyDescent="0.3">
      <c r="A2267" s="84">
        <v>2026</v>
      </c>
      <c r="B2267" s="84" t="s">
        <v>396</v>
      </c>
      <c r="C2267" s="84">
        <v>16</v>
      </c>
      <c r="D2267" s="84">
        <v>16</v>
      </c>
      <c r="E2267" s="85">
        <v>22272.12</v>
      </c>
      <c r="F2267" s="85">
        <v>22272.12</v>
      </c>
      <c r="G2267" s="85">
        <v>0</v>
      </c>
    </row>
    <row r="2268" spans="1:7" x14ac:dyDescent="0.3">
      <c r="A2268" s="84">
        <v>2026</v>
      </c>
      <c r="B2268" s="84" t="s">
        <v>396</v>
      </c>
      <c r="C2268" s="84">
        <v>16</v>
      </c>
      <c r="D2268" s="84">
        <v>17</v>
      </c>
      <c r="E2268" s="85">
        <v>22272.12</v>
      </c>
      <c r="F2268" s="85">
        <v>22664.400000000001</v>
      </c>
      <c r="G2268" s="85">
        <v>392.28</v>
      </c>
    </row>
    <row r="2269" spans="1:7" x14ac:dyDescent="0.3">
      <c r="A2269" s="84">
        <v>2026</v>
      </c>
      <c r="B2269" s="84" t="s">
        <v>396</v>
      </c>
      <c r="C2269" s="84">
        <v>16</v>
      </c>
      <c r="D2269" s="84">
        <v>18</v>
      </c>
      <c r="E2269" s="85">
        <v>22272.12</v>
      </c>
      <c r="F2269" s="85">
        <v>23057.94</v>
      </c>
      <c r="G2269" s="85">
        <v>785.82</v>
      </c>
    </row>
    <row r="2270" spans="1:7" x14ac:dyDescent="0.3">
      <c r="A2270" s="84">
        <v>2026</v>
      </c>
      <c r="B2270" s="84" t="s">
        <v>396</v>
      </c>
      <c r="C2270" s="84">
        <v>16</v>
      </c>
      <c r="D2270" s="84">
        <v>19</v>
      </c>
      <c r="E2270" s="85">
        <v>22272.12</v>
      </c>
      <c r="F2270" s="85">
        <v>23451.06</v>
      </c>
      <c r="G2270" s="85">
        <v>1178.94</v>
      </c>
    </row>
    <row r="2271" spans="1:7" x14ac:dyDescent="0.3">
      <c r="A2271" s="84">
        <v>2026</v>
      </c>
      <c r="B2271" s="84" t="s">
        <v>396</v>
      </c>
      <c r="C2271" s="84">
        <v>16</v>
      </c>
      <c r="D2271" s="84">
        <v>20</v>
      </c>
      <c r="E2271" s="85">
        <v>22272.12</v>
      </c>
      <c r="F2271" s="85">
        <v>23844.04</v>
      </c>
      <c r="G2271" s="85">
        <v>1571.92</v>
      </c>
    </row>
    <row r="2272" spans="1:7" x14ac:dyDescent="0.3">
      <c r="A2272" s="84">
        <v>2026</v>
      </c>
      <c r="B2272" s="84" t="s">
        <v>396</v>
      </c>
      <c r="C2272" s="84">
        <v>16</v>
      </c>
      <c r="D2272" s="84">
        <v>21</v>
      </c>
      <c r="E2272" s="85">
        <v>22272.12</v>
      </c>
      <c r="F2272" s="85">
        <v>24433.439999999999</v>
      </c>
      <c r="G2272" s="85">
        <v>2161.3200000000002</v>
      </c>
    </row>
    <row r="2273" spans="1:7" x14ac:dyDescent="0.3">
      <c r="A2273" s="84">
        <v>2026</v>
      </c>
      <c r="B2273" s="84" t="s">
        <v>396</v>
      </c>
      <c r="C2273" s="84">
        <v>16</v>
      </c>
      <c r="D2273" s="84">
        <v>22</v>
      </c>
      <c r="E2273" s="85">
        <v>22272.12</v>
      </c>
      <c r="F2273" s="85">
        <v>25072.12</v>
      </c>
      <c r="G2273" s="85">
        <v>2800</v>
      </c>
    </row>
    <row r="2274" spans="1:7" x14ac:dyDescent="0.3">
      <c r="A2274" s="84">
        <v>2026</v>
      </c>
      <c r="B2274" s="84" t="s">
        <v>396</v>
      </c>
      <c r="C2274" s="84">
        <v>16</v>
      </c>
      <c r="D2274" s="84">
        <v>23</v>
      </c>
      <c r="E2274" s="85">
        <v>22272.12</v>
      </c>
      <c r="F2274" s="85">
        <v>25712.62</v>
      </c>
      <c r="G2274" s="85">
        <v>3440.5</v>
      </c>
    </row>
    <row r="2275" spans="1:7" x14ac:dyDescent="0.3">
      <c r="A2275" s="84">
        <v>2026</v>
      </c>
      <c r="B2275" s="84" t="s">
        <v>396</v>
      </c>
      <c r="C2275" s="84">
        <v>16</v>
      </c>
      <c r="D2275" s="84">
        <v>24</v>
      </c>
      <c r="E2275" s="85">
        <v>22272.12</v>
      </c>
      <c r="F2275" s="85">
        <v>26351.86</v>
      </c>
      <c r="G2275" s="85">
        <v>4079.74</v>
      </c>
    </row>
    <row r="2276" spans="1:7" x14ac:dyDescent="0.3">
      <c r="A2276" s="84">
        <v>2026</v>
      </c>
      <c r="B2276" s="84" t="s">
        <v>396</v>
      </c>
      <c r="C2276" s="84">
        <v>16</v>
      </c>
      <c r="D2276" s="84">
        <v>25</v>
      </c>
      <c r="E2276" s="85">
        <v>22272.12</v>
      </c>
      <c r="F2276" s="85">
        <v>26991.94</v>
      </c>
      <c r="G2276" s="85">
        <v>4719.82</v>
      </c>
    </row>
    <row r="2277" spans="1:7" x14ac:dyDescent="0.3">
      <c r="A2277" s="84">
        <v>2026</v>
      </c>
      <c r="B2277" s="84" t="s">
        <v>396</v>
      </c>
      <c r="C2277" s="84">
        <v>16</v>
      </c>
      <c r="D2277" s="84">
        <v>26</v>
      </c>
      <c r="E2277" s="85">
        <v>22272.12</v>
      </c>
      <c r="F2277" s="85">
        <v>28371.22</v>
      </c>
      <c r="G2277" s="85">
        <v>6099.1</v>
      </c>
    </row>
    <row r="2278" spans="1:7" x14ac:dyDescent="0.3">
      <c r="A2278" s="84">
        <v>2026</v>
      </c>
      <c r="B2278" s="84" t="s">
        <v>396</v>
      </c>
      <c r="C2278" s="84">
        <v>16</v>
      </c>
      <c r="D2278" s="84">
        <v>27</v>
      </c>
      <c r="E2278" s="85">
        <v>22272.12</v>
      </c>
      <c r="F2278" s="85">
        <v>30080.48</v>
      </c>
      <c r="G2278" s="85">
        <v>7808.36</v>
      </c>
    </row>
    <row r="2279" spans="1:7" x14ac:dyDescent="0.3">
      <c r="A2279" s="84">
        <v>2026</v>
      </c>
      <c r="B2279" s="84" t="s">
        <v>396</v>
      </c>
      <c r="C2279" s="84">
        <v>16</v>
      </c>
      <c r="D2279" s="84">
        <v>28</v>
      </c>
      <c r="E2279" s="85">
        <v>22272.12</v>
      </c>
      <c r="F2279" s="85">
        <v>30720.98</v>
      </c>
      <c r="G2279" s="85">
        <v>8448.86</v>
      </c>
    </row>
    <row r="2280" spans="1:7" x14ac:dyDescent="0.3">
      <c r="A2280" s="84">
        <v>2026</v>
      </c>
      <c r="B2280" s="84" t="s">
        <v>396</v>
      </c>
      <c r="C2280" s="84">
        <v>16</v>
      </c>
      <c r="D2280" s="84">
        <v>29</v>
      </c>
      <c r="E2280" s="85">
        <v>22272.12</v>
      </c>
      <c r="F2280" s="85">
        <v>31360.36</v>
      </c>
      <c r="G2280" s="85">
        <v>9088.24</v>
      </c>
    </row>
    <row r="2281" spans="1:7" x14ac:dyDescent="0.3">
      <c r="A2281" s="84">
        <v>2026</v>
      </c>
      <c r="B2281" s="84" t="s">
        <v>396</v>
      </c>
      <c r="C2281" s="84">
        <v>16</v>
      </c>
      <c r="D2281" s="84">
        <v>30</v>
      </c>
      <c r="E2281" s="85">
        <v>22272.12</v>
      </c>
      <c r="F2281" s="85">
        <v>33108.68</v>
      </c>
      <c r="G2281" s="85">
        <v>10836.56</v>
      </c>
    </row>
    <row r="2282" spans="1:7" x14ac:dyDescent="0.3">
      <c r="A2282" s="84">
        <v>2026</v>
      </c>
      <c r="B2282" s="84" t="s">
        <v>396</v>
      </c>
      <c r="C2282" s="84">
        <v>17</v>
      </c>
      <c r="D2282" s="84">
        <v>1</v>
      </c>
      <c r="E2282" s="85">
        <v>22664.400000000001</v>
      </c>
      <c r="F2282" s="85">
        <v>17751.240000000002</v>
      </c>
      <c r="G2282" s="85">
        <v>-4913.16</v>
      </c>
    </row>
    <row r="2283" spans="1:7" x14ac:dyDescent="0.3">
      <c r="A2283" s="84">
        <v>2026</v>
      </c>
      <c r="B2283" s="84" t="s">
        <v>396</v>
      </c>
      <c r="C2283" s="84">
        <v>17</v>
      </c>
      <c r="D2283" s="84">
        <v>2</v>
      </c>
      <c r="E2283" s="85">
        <v>22664.400000000001</v>
      </c>
      <c r="F2283" s="85">
        <v>18045.66</v>
      </c>
      <c r="G2283" s="85">
        <v>-4618.74</v>
      </c>
    </row>
    <row r="2284" spans="1:7" x14ac:dyDescent="0.3">
      <c r="A2284" s="84">
        <v>2026</v>
      </c>
      <c r="B2284" s="84" t="s">
        <v>396</v>
      </c>
      <c r="C2284" s="84">
        <v>17</v>
      </c>
      <c r="D2284" s="84">
        <v>3</v>
      </c>
      <c r="E2284" s="85">
        <v>22664.400000000001</v>
      </c>
      <c r="F2284" s="85">
        <v>18340.64</v>
      </c>
      <c r="G2284" s="85">
        <v>-4323.76</v>
      </c>
    </row>
    <row r="2285" spans="1:7" x14ac:dyDescent="0.3">
      <c r="A2285" s="84">
        <v>2026</v>
      </c>
      <c r="B2285" s="84" t="s">
        <v>396</v>
      </c>
      <c r="C2285" s="84">
        <v>17</v>
      </c>
      <c r="D2285" s="84">
        <v>4</v>
      </c>
      <c r="E2285" s="85">
        <v>22664.400000000001</v>
      </c>
      <c r="F2285" s="85">
        <v>18634.78</v>
      </c>
      <c r="G2285" s="85">
        <v>-4029.62</v>
      </c>
    </row>
    <row r="2286" spans="1:7" x14ac:dyDescent="0.3">
      <c r="A2286" s="84">
        <v>2026</v>
      </c>
      <c r="B2286" s="84" t="s">
        <v>396</v>
      </c>
      <c r="C2286" s="84">
        <v>17</v>
      </c>
      <c r="D2286" s="84">
        <v>5</v>
      </c>
      <c r="E2286" s="85">
        <v>22664.400000000001</v>
      </c>
      <c r="F2286" s="85">
        <v>18929.48</v>
      </c>
      <c r="G2286" s="85">
        <v>-3734.92</v>
      </c>
    </row>
    <row r="2287" spans="1:7" x14ac:dyDescent="0.3">
      <c r="A2287" s="84">
        <v>2026</v>
      </c>
      <c r="B2287" s="84" t="s">
        <v>396</v>
      </c>
      <c r="C2287" s="84">
        <v>17</v>
      </c>
      <c r="D2287" s="84">
        <v>6</v>
      </c>
      <c r="E2287" s="85">
        <v>22664.400000000001</v>
      </c>
      <c r="F2287" s="85">
        <v>19126.18</v>
      </c>
      <c r="G2287" s="85">
        <v>-3538.22</v>
      </c>
    </row>
    <row r="2288" spans="1:7" x14ac:dyDescent="0.3">
      <c r="A2288" s="84">
        <v>2026</v>
      </c>
      <c r="B2288" s="84" t="s">
        <v>396</v>
      </c>
      <c r="C2288" s="84">
        <v>17</v>
      </c>
      <c r="D2288" s="84">
        <v>7</v>
      </c>
      <c r="E2288" s="85">
        <v>22664.400000000001</v>
      </c>
      <c r="F2288" s="85">
        <v>19322.38</v>
      </c>
      <c r="G2288" s="85">
        <v>-3342.02</v>
      </c>
    </row>
    <row r="2289" spans="1:7" x14ac:dyDescent="0.3">
      <c r="A2289" s="84">
        <v>2026</v>
      </c>
      <c r="B2289" s="84" t="s">
        <v>396</v>
      </c>
      <c r="C2289" s="84">
        <v>17</v>
      </c>
      <c r="D2289" s="84">
        <v>8</v>
      </c>
      <c r="E2289" s="85">
        <v>22664.400000000001</v>
      </c>
      <c r="F2289" s="85">
        <v>19519.16</v>
      </c>
      <c r="G2289" s="85">
        <v>-3145.24</v>
      </c>
    </row>
    <row r="2290" spans="1:7" x14ac:dyDescent="0.3">
      <c r="A2290" s="84">
        <v>2026</v>
      </c>
      <c r="B2290" s="84" t="s">
        <v>396</v>
      </c>
      <c r="C2290" s="84">
        <v>17</v>
      </c>
      <c r="D2290" s="84">
        <v>9</v>
      </c>
      <c r="E2290" s="85">
        <v>22664.400000000001</v>
      </c>
      <c r="F2290" s="85">
        <v>19716.28</v>
      </c>
      <c r="G2290" s="85">
        <v>-2948.12</v>
      </c>
    </row>
    <row r="2291" spans="1:7" x14ac:dyDescent="0.3">
      <c r="A2291" s="84">
        <v>2026</v>
      </c>
      <c r="B2291" s="84" t="s">
        <v>396</v>
      </c>
      <c r="C2291" s="84">
        <v>17</v>
      </c>
      <c r="D2291" s="84">
        <v>10</v>
      </c>
      <c r="E2291" s="85">
        <v>22664.400000000001</v>
      </c>
      <c r="F2291" s="85">
        <v>19912.7</v>
      </c>
      <c r="G2291" s="85">
        <v>-2751.7</v>
      </c>
    </row>
    <row r="2292" spans="1:7" x14ac:dyDescent="0.3">
      <c r="A2292" s="84">
        <v>2026</v>
      </c>
      <c r="B2292" s="84" t="s">
        <v>396</v>
      </c>
      <c r="C2292" s="84">
        <v>17</v>
      </c>
      <c r="D2292" s="84">
        <v>11</v>
      </c>
      <c r="E2292" s="85">
        <v>22664.400000000001</v>
      </c>
      <c r="F2292" s="85">
        <v>20305.259999999998</v>
      </c>
      <c r="G2292" s="85">
        <v>-2359.14</v>
      </c>
    </row>
    <row r="2293" spans="1:7" x14ac:dyDescent="0.3">
      <c r="A2293" s="84">
        <v>2026</v>
      </c>
      <c r="B2293" s="84" t="s">
        <v>396</v>
      </c>
      <c r="C2293" s="84">
        <v>17</v>
      </c>
      <c r="D2293" s="84">
        <v>12</v>
      </c>
      <c r="E2293" s="85">
        <v>22664.400000000001</v>
      </c>
      <c r="F2293" s="85">
        <v>20698.8</v>
      </c>
      <c r="G2293" s="85">
        <v>-1965.6</v>
      </c>
    </row>
    <row r="2294" spans="1:7" x14ac:dyDescent="0.3">
      <c r="A2294" s="84">
        <v>2026</v>
      </c>
      <c r="B2294" s="84" t="s">
        <v>396</v>
      </c>
      <c r="C2294" s="84">
        <v>17</v>
      </c>
      <c r="D2294" s="84">
        <v>13</v>
      </c>
      <c r="E2294" s="85">
        <v>22664.400000000001</v>
      </c>
      <c r="F2294" s="85">
        <v>21092.06</v>
      </c>
      <c r="G2294" s="85">
        <v>-1572.34</v>
      </c>
    </row>
    <row r="2295" spans="1:7" x14ac:dyDescent="0.3">
      <c r="A2295" s="84">
        <v>2026</v>
      </c>
      <c r="B2295" s="84" t="s">
        <v>396</v>
      </c>
      <c r="C2295" s="84">
        <v>17</v>
      </c>
      <c r="D2295" s="84">
        <v>14</v>
      </c>
      <c r="E2295" s="85">
        <v>22664.400000000001</v>
      </c>
      <c r="F2295" s="85">
        <v>21485.88</v>
      </c>
      <c r="G2295" s="85">
        <v>-1178.52</v>
      </c>
    </row>
    <row r="2296" spans="1:7" x14ac:dyDescent="0.3">
      <c r="A2296" s="84">
        <v>2026</v>
      </c>
      <c r="B2296" s="84" t="s">
        <v>396</v>
      </c>
      <c r="C2296" s="84">
        <v>17</v>
      </c>
      <c r="D2296" s="84">
        <v>15</v>
      </c>
      <c r="E2296" s="85">
        <v>22664.400000000001</v>
      </c>
      <c r="F2296" s="85">
        <v>21878.16</v>
      </c>
      <c r="G2296" s="85">
        <v>-786.24</v>
      </c>
    </row>
    <row r="2297" spans="1:7" x14ac:dyDescent="0.3">
      <c r="A2297" s="84">
        <v>2026</v>
      </c>
      <c r="B2297" s="84" t="s">
        <v>396</v>
      </c>
      <c r="C2297" s="84">
        <v>17</v>
      </c>
      <c r="D2297" s="84">
        <v>16</v>
      </c>
      <c r="E2297" s="85">
        <v>22664.400000000001</v>
      </c>
      <c r="F2297" s="85">
        <v>22272.12</v>
      </c>
      <c r="G2297" s="85">
        <v>-392.28</v>
      </c>
    </row>
    <row r="2298" spans="1:7" x14ac:dyDescent="0.3">
      <c r="A2298" s="84">
        <v>2026</v>
      </c>
      <c r="B2298" s="84" t="s">
        <v>396</v>
      </c>
      <c r="C2298" s="84">
        <v>17</v>
      </c>
      <c r="D2298" s="84">
        <v>17</v>
      </c>
      <c r="E2298" s="85">
        <v>22664.400000000001</v>
      </c>
      <c r="F2298" s="85">
        <v>22664.400000000001</v>
      </c>
      <c r="G2298" s="85">
        <v>0</v>
      </c>
    </row>
    <row r="2299" spans="1:7" x14ac:dyDescent="0.3">
      <c r="A2299" s="84">
        <v>2026</v>
      </c>
      <c r="B2299" s="84" t="s">
        <v>396</v>
      </c>
      <c r="C2299" s="84">
        <v>17</v>
      </c>
      <c r="D2299" s="84">
        <v>18</v>
      </c>
      <c r="E2299" s="85">
        <v>22664.400000000001</v>
      </c>
      <c r="F2299" s="85">
        <v>23057.94</v>
      </c>
      <c r="G2299" s="85">
        <v>393.54</v>
      </c>
    </row>
    <row r="2300" spans="1:7" x14ac:dyDescent="0.3">
      <c r="A2300" s="84">
        <v>2026</v>
      </c>
      <c r="B2300" s="84" t="s">
        <v>396</v>
      </c>
      <c r="C2300" s="84">
        <v>17</v>
      </c>
      <c r="D2300" s="84">
        <v>19</v>
      </c>
      <c r="E2300" s="85">
        <v>22664.400000000001</v>
      </c>
      <c r="F2300" s="85">
        <v>23451.06</v>
      </c>
      <c r="G2300" s="85">
        <v>786.66</v>
      </c>
    </row>
    <row r="2301" spans="1:7" x14ac:dyDescent="0.3">
      <c r="A2301" s="84">
        <v>2026</v>
      </c>
      <c r="B2301" s="84" t="s">
        <v>396</v>
      </c>
      <c r="C2301" s="84">
        <v>17</v>
      </c>
      <c r="D2301" s="84">
        <v>20</v>
      </c>
      <c r="E2301" s="85">
        <v>22664.400000000001</v>
      </c>
      <c r="F2301" s="85">
        <v>23844.04</v>
      </c>
      <c r="G2301" s="85">
        <v>1179.6400000000001</v>
      </c>
    </row>
    <row r="2302" spans="1:7" x14ac:dyDescent="0.3">
      <c r="A2302" s="84">
        <v>2026</v>
      </c>
      <c r="B2302" s="84" t="s">
        <v>396</v>
      </c>
      <c r="C2302" s="84">
        <v>17</v>
      </c>
      <c r="D2302" s="84">
        <v>21</v>
      </c>
      <c r="E2302" s="85">
        <v>22664.400000000001</v>
      </c>
      <c r="F2302" s="85">
        <v>24433.439999999999</v>
      </c>
      <c r="G2302" s="85">
        <v>1769.04</v>
      </c>
    </row>
    <row r="2303" spans="1:7" x14ac:dyDescent="0.3">
      <c r="A2303" s="84">
        <v>2026</v>
      </c>
      <c r="B2303" s="84" t="s">
        <v>396</v>
      </c>
      <c r="C2303" s="84">
        <v>17</v>
      </c>
      <c r="D2303" s="84">
        <v>22</v>
      </c>
      <c r="E2303" s="85">
        <v>22664.400000000001</v>
      </c>
      <c r="F2303" s="85">
        <v>25072.12</v>
      </c>
      <c r="G2303" s="85">
        <v>2407.7199999999998</v>
      </c>
    </row>
    <row r="2304" spans="1:7" x14ac:dyDescent="0.3">
      <c r="A2304" s="84">
        <v>2026</v>
      </c>
      <c r="B2304" s="84" t="s">
        <v>396</v>
      </c>
      <c r="C2304" s="84">
        <v>17</v>
      </c>
      <c r="D2304" s="84">
        <v>23</v>
      </c>
      <c r="E2304" s="85">
        <v>22664.400000000001</v>
      </c>
      <c r="F2304" s="85">
        <v>25712.62</v>
      </c>
      <c r="G2304" s="85">
        <v>3048.22</v>
      </c>
    </row>
    <row r="2305" spans="1:7" x14ac:dyDescent="0.3">
      <c r="A2305" s="84">
        <v>2026</v>
      </c>
      <c r="B2305" s="84" t="s">
        <v>396</v>
      </c>
      <c r="C2305" s="84">
        <v>17</v>
      </c>
      <c r="D2305" s="84">
        <v>24</v>
      </c>
      <c r="E2305" s="85">
        <v>22664.400000000001</v>
      </c>
      <c r="F2305" s="85">
        <v>26351.86</v>
      </c>
      <c r="G2305" s="85">
        <v>3687.46</v>
      </c>
    </row>
    <row r="2306" spans="1:7" x14ac:dyDescent="0.3">
      <c r="A2306" s="84">
        <v>2026</v>
      </c>
      <c r="B2306" s="84" t="s">
        <v>396</v>
      </c>
      <c r="C2306" s="84">
        <v>17</v>
      </c>
      <c r="D2306" s="84">
        <v>25</v>
      </c>
      <c r="E2306" s="85">
        <v>22664.400000000001</v>
      </c>
      <c r="F2306" s="85">
        <v>26991.94</v>
      </c>
      <c r="G2306" s="85">
        <v>4327.54</v>
      </c>
    </row>
    <row r="2307" spans="1:7" x14ac:dyDescent="0.3">
      <c r="A2307" s="84">
        <v>2026</v>
      </c>
      <c r="B2307" s="84" t="s">
        <v>396</v>
      </c>
      <c r="C2307" s="84">
        <v>17</v>
      </c>
      <c r="D2307" s="84">
        <v>26</v>
      </c>
      <c r="E2307" s="85">
        <v>22664.400000000001</v>
      </c>
      <c r="F2307" s="85">
        <v>28371.22</v>
      </c>
      <c r="G2307" s="85">
        <v>5706.82</v>
      </c>
    </row>
    <row r="2308" spans="1:7" x14ac:dyDescent="0.3">
      <c r="A2308" s="84">
        <v>2026</v>
      </c>
      <c r="B2308" s="84" t="s">
        <v>396</v>
      </c>
      <c r="C2308" s="84">
        <v>17</v>
      </c>
      <c r="D2308" s="84">
        <v>27</v>
      </c>
      <c r="E2308" s="85">
        <v>22664.400000000001</v>
      </c>
      <c r="F2308" s="85">
        <v>30080.48</v>
      </c>
      <c r="G2308" s="85">
        <v>7416.08</v>
      </c>
    </row>
    <row r="2309" spans="1:7" x14ac:dyDescent="0.3">
      <c r="A2309" s="84">
        <v>2026</v>
      </c>
      <c r="B2309" s="84" t="s">
        <v>396</v>
      </c>
      <c r="C2309" s="84">
        <v>17</v>
      </c>
      <c r="D2309" s="84">
        <v>28</v>
      </c>
      <c r="E2309" s="85">
        <v>22664.400000000001</v>
      </c>
      <c r="F2309" s="85">
        <v>30720.98</v>
      </c>
      <c r="G2309" s="85">
        <v>8056.58</v>
      </c>
    </row>
    <row r="2310" spans="1:7" x14ac:dyDescent="0.3">
      <c r="A2310" s="84">
        <v>2026</v>
      </c>
      <c r="B2310" s="84" t="s">
        <v>396</v>
      </c>
      <c r="C2310" s="84">
        <v>17</v>
      </c>
      <c r="D2310" s="84">
        <v>29</v>
      </c>
      <c r="E2310" s="85">
        <v>22664.400000000001</v>
      </c>
      <c r="F2310" s="85">
        <v>31360.36</v>
      </c>
      <c r="G2310" s="85">
        <v>8695.9599999999991</v>
      </c>
    </row>
    <row r="2311" spans="1:7" x14ac:dyDescent="0.3">
      <c r="A2311" s="84">
        <v>2026</v>
      </c>
      <c r="B2311" s="84" t="s">
        <v>396</v>
      </c>
      <c r="C2311" s="84">
        <v>17</v>
      </c>
      <c r="D2311" s="84">
        <v>30</v>
      </c>
      <c r="E2311" s="85">
        <v>22664.400000000001</v>
      </c>
      <c r="F2311" s="85">
        <v>33108.68</v>
      </c>
      <c r="G2311" s="85">
        <v>10444.280000000001</v>
      </c>
    </row>
    <row r="2312" spans="1:7" x14ac:dyDescent="0.3">
      <c r="A2312" s="84">
        <v>2026</v>
      </c>
      <c r="B2312" s="84" t="s">
        <v>396</v>
      </c>
      <c r="C2312" s="84">
        <v>18</v>
      </c>
      <c r="D2312" s="84">
        <v>1</v>
      </c>
      <c r="E2312" s="85">
        <v>23057.94</v>
      </c>
      <c r="F2312" s="85">
        <v>17751.240000000002</v>
      </c>
      <c r="G2312" s="85">
        <v>-5306.7</v>
      </c>
    </row>
    <row r="2313" spans="1:7" x14ac:dyDescent="0.3">
      <c r="A2313" s="84">
        <v>2026</v>
      </c>
      <c r="B2313" s="84" t="s">
        <v>396</v>
      </c>
      <c r="C2313" s="84">
        <v>18</v>
      </c>
      <c r="D2313" s="84">
        <v>2</v>
      </c>
      <c r="E2313" s="85">
        <v>23057.94</v>
      </c>
      <c r="F2313" s="85">
        <v>18045.66</v>
      </c>
      <c r="G2313" s="85">
        <v>-5012.28</v>
      </c>
    </row>
    <row r="2314" spans="1:7" x14ac:dyDescent="0.3">
      <c r="A2314" s="84">
        <v>2026</v>
      </c>
      <c r="B2314" s="84" t="s">
        <v>396</v>
      </c>
      <c r="C2314" s="84">
        <v>18</v>
      </c>
      <c r="D2314" s="84">
        <v>3</v>
      </c>
      <c r="E2314" s="85">
        <v>23057.94</v>
      </c>
      <c r="F2314" s="85">
        <v>18340.64</v>
      </c>
      <c r="G2314" s="85">
        <v>-4717.3</v>
      </c>
    </row>
    <row r="2315" spans="1:7" x14ac:dyDescent="0.3">
      <c r="A2315" s="84">
        <v>2026</v>
      </c>
      <c r="B2315" s="84" t="s">
        <v>396</v>
      </c>
      <c r="C2315" s="84">
        <v>18</v>
      </c>
      <c r="D2315" s="84">
        <v>4</v>
      </c>
      <c r="E2315" s="85">
        <v>23057.94</v>
      </c>
      <c r="F2315" s="85">
        <v>18634.78</v>
      </c>
      <c r="G2315" s="85">
        <v>-4423.16</v>
      </c>
    </row>
    <row r="2316" spans="1:7" x14ac:dyDescent="0.3">
      <c r="A2316" s="84">
        <v>2026</v>
      </c>
      <c r="B2316" s="84" t="s">
        <v>396</v>
      </c>
      <c r="C2316" s="84">
        <v>18</v>
      </c>
      <c r="D2316" s="84">
        <v>5</v>
      </c>
      <c r="E2316" s="85">
        <v>23057.94</v>
      </c>
      <c r="F2316" s="85">
        <v>18929.48</v>
      </c>
      <c r="G2316" s="85">
        <v>-4128.46</v>
      </c>
    </row>
    <row r="2317" spans="1:7" x14ac:dyDescent="0.3">
      <c r="A2317" s="84">
        <v>2026</v>
      </c>
      <c r="B2317" s="84" t="s">
        <v>396</v>
      </c>
      <c r="C2317" s="84">
        <v>18</v>
      </c>
      <c r="D2317" s="84">
        <v>6</v>
      </c>
      <c r="E2317" s="85">
        <v>23057.94</v>
      </c>
      <c r="F2317" s="85">
        <v>19126.18</v>
      </c>
      <c r="G2317" s="85">
        <v>-3931.76</v>
      </c>
    </row>
    <row r="2318" spans="1:7" x14ac:dyDescent="0.3">
      <c r="A2318" s="84">
        <v>2026</v>
      </c>
      <c r="B2318" s="84" t="s">
        <v>396</v>
      </c>
      <c r="C2318" s="84">
        <v>18</v>
      </c>
      <c r="D2318" s="84">
        <v>7</v>
      </c>
      <c r="E2318" s="85">
        <v>23057.94</v>
      </c>
      <c r="F2318" s="85">
        <v>19322.38</v>
      </c>
      <c r="G2318" s="85">
        <v>-3735.56</v>
      </c>
    </row>
    <row r="2319" spans="1:7" x14ac:dyDescent="0.3">
      <c r="A2319" s="84">
        <v>2026</v>
      </c>
      <c r="B2319" s="84" t="s">
        <v>396</v>
      </c>
      <c r="C2319" s="84">
        <v>18</v>
      </c>
      <c r="D2319" s="84">
        <v>8</v>
      </c>
      <c r="E2319" s="85">
        <v>23057.94</v>
      </c>
      <c r="F2319" s="85">
        <v>19519.16</v>
      </c>
      <c r="G2319" s="85">
        <v>-3538.78</v>
      </c>
    </row>
    <row r="2320" spans="1:7" x14ac:dyDescent="0.3">
      <c r="A2320" s="84">
        <v>2026</v>
      </c>
      <c r="B2320" s="84" t="s">
        <v>396</v>
      </c>
      <c r="C2320" s="84">
        <v>18</v>
      </c>
      <c r="D2320" s="84">
        <v>9</v>
      </c>
      <c r="E2320" s="85">
        <v>23057.94</v>
      </c>
      <c r="F2320" s="85">
        <v>19716.28</v>
      </c>
      <c r="G2320" s="85">
        <v>-3341.66</v>
      </c>
    </row>
    <row r="2321" spans="1:7" x14ac:dyDescent="0.3">
      <c r="A2321" s="84">
        <v>2026</v>
      </c>
      <c r="B2321" s="84" t="s">
        <v>396</v>
      </c>
      <c r="C2321" s="84">
        <v>18</v>
      </c>
      <c r="D2321" s="84">
        <v>10</v>
      </c>
      <c r="E2321" s="85">
        <v>23057.94</v>
      </c>
      <c r="F2321" s="85">
        <v>19912.7</v>
      </c>
      <c r="G2321" s="85">
        <v>-3145.24</v>
      </c>
    </row>
    <row r="2322" spans="1:7" x14ac:dyDescent="0.3">
      <c r="A2322" s="84">
        <v>2026</v>
      </c>
      <c r="B2322" s="84" t="s">
        <v>396</v>
      </c>
      <c r="C2322" s="84">
        <v>18</v>
      </c>
      <c r="D2322" s="84">
        <v>11</v>
      </c>
      <c r="E2322" s="85">
        <v>23057.94</v>
      </c>
      <c r="F2322" s="85">
        <v>20305.259999999998</v>
      </c>
      <c r="G2322" s="85">
        <v>-2752.68</v>
      </c>
    </row>
    <row r="2323" spans="1:7" x14ac:dyDescent="0.3">
      <c r="A2323" s="84">
        <v>2026</v>
      </c>
      <c r="B2323" s="84" t="s">
        <v>396</v>
      </c>
      <c r="C2323" s="84">
        <v>18</v>
      </c>
      <c r="D2323" s="84">
        <v>12</v>
      </c>
      <c r="E2323" s="85">
        <v>23057.94</v>
      </c>
      <c r="F2323" s="85">
        <v>20698.8</v>
      </c>
      <c r="G2323" s="85">
        <v>-2359.14</v>
      </c>
    </row>
    <row r="2324" spans="1:7" x14ac:dyDescent="0.3">
      <c r="A2324" s="84">
        <v>2026</v>
      </c>
      <c r="B2324" s="84" t="s">
        <v>396</v>
      </c>
      <c r="C2324" s="84">
        <v>18</v>
      </c>
      <c r="D2324" s="84">
        <v>13</v>
      </c>
      <c r="E2324" s="85">
        <v>23057.94</v>
      </c>
      <c r="F2324" s="85">
        <v>21092.06</v>
      </c>
      <c r="G2324" s="85">
        <v>-1965.88</v>
      </c>
    </row>
    <row r="2325" spans="1:7" x14ac:dyDescent="0.3">
      <c r="A2325" s="84">
        <v>2026</v>
      </c>
      <c r="B2325" s="84" t="s">
        <v>396</v>
      </c>
      <c r="C2325" s="84">
        <v>18</v>
      </c>
      <c r="D2325" s="84">
        <v>14</v>
      </c>
      <c r="E2325" s="85">
        <v>23057.94</v>
      </c>
      <c r="F2325" s="85">
        <v>21485.88</v>
      </c>
      <c r="G2325" s="85">
        <v>-1572.06</v>
      </c>
    </row>
    <row r="2326" spans="1:7" x14ac:dyDescent="0.3">
      <c r="A2326" s="84">
        <v>2026</v>
      </c>
      <c r="B2326" s="84" t="s">
        <v>396</v>
      </c>
      <c r="C2326" s="84">
        <v>18</v>
      </c>
      <c r="D2326" s="84">
        <v>15</v>
      </c>
      <c r="E2326" s="85">
        <v>23057.94</v>
      </c>
      <c r="F2326" s="85">
        <v>21878.16</v>
      </c>
      <c r="G2326" s="85">
        <v>-1179.78</v>
      </c>
    </row>
    <row r="2327" spans="1:7" x14ac:dyDescent="0.3">
      <c r="A2327" s="84">
        <v>2026</v>
      </c>
      <c r="B2327" s="84" t="s">
        <v>396</v>
      </c>
      <c r="C2327" s="84">
        <v>18</v>
      </c>
      <c r="D2327" s="84">
        <v>16</v>
      </c>
      <c r="E2327" s="85">
        <v>23057.94</v>
      </c>
      <c r="F2327" s="85">
        <v>22272.12</v>
      </c>
      <c r="G2327" s="85">
        <v>-785.82</v>
      </c>
    </row>
    <row r="2328" spans="1:7" x14ac:dyDescent="0.3">
      <c r="A2328" s="84">
        <v>2026</v>
      </c>
      <c r="B2328" s="84" t="s">
        <v>396</v>
      </c>
      <c r="C2328" s="84">
        <v>18</v>
      </c>
      <c r="D2328" s="84">
        <v>17</v>
      </c>
      <c r="E2328" s="85">
        <v>23057.94</v>
      </c>
      <c r="F2328" s="85">
        <v>22664.400000000001</v>
      </c>
      <c r="G2328" s="85">
        <v>-393.54</v>
      </c>
    </row>
    <row r="2329" spans="1:7" x14ac:dyDescent="0.3">
      <c r="A2329" s="84">
        <v>2026</v>
      </c>
      <c r="B2329" s="84" t="s">
        <v>396</v>
      </c>
      <c r="C2329" s="84">
        <v>18</v>
      </c>
      <c r="D2329" s="84">
        <v>18</v>
      </c>
      <c r="E2329" s="85">
        <v>23057.94</v>
      </c>
      <c r="F2329" s="85">
        <v>23057.94</v>
      </c>
      <c r="G2329" s="85">
        <v>0</v>
      </c>
    </row>
    <row r="2330" spans="1:7" x14ac:dyDescent="0.3">
      <c r="A2330" s="84">
        <v>2026</v>
      </c>
      <c r="B2330" s="84" t="s">
        <v>396</v>
      </c>
      <c r="C2330" s="84">
        <v>18</v>
      </c>
      <c r="D2330" s="84">
        <v>19</v>
      </c>
      <c r="E2330" s="85">
        <v>23057.94</v>
      </c>
      <c r="F2330" s="85">
        <v>23451.06</v>
      </c>
      <c r="G2330" s="85">
        <v>393.12</v>
      </c>
    </row>
    <row r="2331" spans="1:7" x14ac:dyDescent="0.3">
      <c r="A2331" s="84">
        <v>2026</v>
      </c>
      <c r="B2331" s="84" t="s">
        <v>396</v>
      </c>
      <c r="C2331" s="84">
        <v>18</v>
      </c>
      <c r="D2331" s="84">
        <v>20</v>
      </c>
      <c r="E2331" s="85">
        <v>23057.94</v>
      </c>
      <c r="F2331" s="85">
        <v>23844.04</v>
      </c>
      <c r="G2331" s="85">
        <v>786.1</v>
      </c>
    </row>
    <row r="2332" spans="1:7" x14ac:dyDescent="0.3">
      <c r="A2332" s="84">
        <v>2026</v>
      </c>
      <c r="B2332" s="84" t="s">
        <v>396</v>
      </c>
      <c r="C2332" s="84">
        <v>18</v>
      </c>
      <c r="D2332" s="84">
        <v>21</v>
      </c>
      <c r="E2332" s="85">
        <v>23057.94</v>
      </c>
      <c r="F2332" s="85">
        <v>24433.439999999999</v>
      </c>
      <c r="G2332" s="85">
        <v>1375.5</v>
      </c>
    </row>
    <row r="2333" spans="1:7" x14ac:dyDescent="0.3">
      <c r="A2333" s="84">
        <v>2026</v>
      </c>
      <c r="B2333" s="84" t="s">
        <v>396</v>
      </c>
      <c r="C2333" s="84">
        <v>18</v>
      </c>
      <c r="D2333" s="84">
        <v>22</v>
      </c>
      <c r="E2333" s="85">
        <v>23057.94</v>
      </c>
      <c r="F2333" s="85">
        <v>25072.12</v>
      </c>
      <c r="G2333" s="85">
        <v>2014.18</v>
      </c>
    </row>
    <row r="2334" spans="1:7" x14ac:dyDescent="0.3">
      <c r="A2334" s="84">
        <v>2026</v>
      </c>
      <c r="B2334" s="84" t="s">
        <v>396</v>
      </c>
      <c r="C2334" s="84">
        <v>18</v>
      </c>
      <c r="D2334" s="84">
        <v>23</v>
      </c>
      <c r="E2334" s="85">
        <v>23057.94</v>
      </c>
      <c r="F2334" s="85">
        <v>25712.62</v>
      </c>
      <c r="G2334" s="85">
        <v>2654.68</v>
      </c>
    </row>
    <row r="2335" spans="1:7" x14ac:dyDescent="0.3">
      <c r="A2335" s="84">
        <v>2026</v>
      </c>
      <c r="B2335" s="84" t="s">
        <v>396</v>
      </c>
      <c r="C2335" s="84">
        <v>18</v>
      </c>
      <c r="D2335" s="84">
        <v>24</v>
      </c>
      <c r="E2335" s="85">
        <v>23057.94</v>
      </c>
      <c r="F2335" s="85">
        <v>26351.86</v>
      </c>
      <c r="G2335" s="85">
        <v>3293.92</v>
      </c>
    </row>
    <row r="2336" spans="1:7" x14ac:dyDescent="0.3">
      <c r="A2336" s="84">
        <v>2026</v>
      </c>
      <c r="B2336" s="84" t="s">
        <v>396</v>
      </c>
      <c r="C2336" s="84">
        <v>18</v>
      </c>
      <c r="D2336" s="84">
        <v>25</v>
      </c>
      <c r="E2336" s="85">
        <v>23057.94</v>
      </c>
      <c r="F2336" s="85">
        <v>26991.94</v>
      </c>
      <c r="G2336" s="85">
        <v>3934</v>
      </c>
    </row>
    <row r="2337" spans="1:7" x14ac:dyDescent="0.3">
      <c r="A2337" s="84">
        <v>2026</v>
      </c>
      <c r="B2337" s="84" t="s">
        <v>396</v>
      </c>
      <c r="C2337" s="84">
        <v>18</v>
      </c>
      <c r="D2337" s="84">
        <v>26</v>
      </c>
      <c r="E2337" s="85">
        <v>23057.94</v>
      </c>
      <c r="F2337" s="85">
        <v>28371.22</v>
      </c>
      <c r="G2337" s="85">
        <v>5313.28</v>
      </c>
    </row>
    <row r="2338" spans="1:7" x14ac:dyDescent="0.3">
      <c r="A2338" s="84">
        <v>2026</v>
      </c>
      <c r="B2338" s="84" t="s">
        <v>396</v>
      </c>
      <c r="C2338" s="84">
        <v>18</v>
      </c>
      <c r="D2338" s="84">
        <v>27</v>
      </c>
      <c r="E2338" s="85">
        <v>23057.94</v>
      </c>
      <c r="F2338" s="85">
        <v>30080.48</v>
      </c>
      <c r="G2338" s="85">
        <v>7022.54</v>
      </c>
    </row>
    <row r="2339" spans="1:7" x14ac:dyDescent="0.3">
      <c r="A2339" s="84">
        <v>2026</v>
      </c>
      <c r="B2339" s="84" t="s">
        <v>396</v>
      </c>
      <c r="C2339" s="84">
        <v>18</v>
      </c>
      <c r="D2339" s="84">
        <v>28</v>
      </c>
      <c r="E2339" s="85">
        <v>23057.94</v>
      </c>
      <c r="F2339" s="85">
        <v>30720.98</v>
      </c>
      <c r="G2339" s="85">
        <v>7663.04</v>
      </c>
    </row>
    <row r="2340" spans="1:7" x14ac:dyDescent="0.3">
      <c r="A2340" s="84">
        <v>2026</v>
      </c>
      <c r="B2340" s="84" t="s">
        <v>396</v>
      </c>
      <c r="C2340" s="84">
        <v>18</v>
      </c>
      <c r="D2340" s="84">
        <v>29</v>
      </c>
      <c r="E2340" s="85">
        <v>23057.94</v>
      </c>
      <c r="F2340" s="85">
        <v>31360.36</v>
      </c>
      <c r="G2340" s="85">
        <v>8302.42</v>
      </c>
    </row>
    <row r="2341" spans="1:7" x14ac:dyDescent="0.3">
      <c r="A2341" s="84">
        <v>2026</v>
      </c>
      <c r="B2341" s="84" t="s">
        <v>396</v>
      </c>
      <c r="C2341" s="84">
        <v>18</v>
      </c>
      <c r="D2341" s="84">
        <v>30</v>
      </c>
      <c r="E2341" s="85">
        <v>23057.94</v>
      </c>
      <c r="F2341" s="85">
        <v>33108.68</v>
      </c>
      <c r="G2341" s="85">
        <v>10050.74</v>
      </c>
    </row>
    <row r="2342" spans="1:7" x14ac:dyDescent="0.3">
      <c r="A2342" s="84">
        <v>2026</v>
      </c>
      <c r="B2342" s="84" t="s">
        <v>396</v>
      </c>
      <c r="C2342" s="84">
        <v>19</v>
      </c>
      <c r="D2342" s="84">
        <v>1</v>
      </c>
      <c r="E2342" s="85">
        <v>23451.06</v>
      </c>
      <c r="F2342" s="85">
        <v>17751.240000000002</v>
      </c>
      <c r="G2342" s="85">
        <v>-5699.82</v>
      </c>
    </row>
    <row r="2343" spans="1:7" x14ac:dyDescent="0.3">
      <c r="A2343" s="84">
        <v>2026</v>
      </c>
      <c r="B2343" s="84" t="s">
        <v>396</v>
      </c>
      <c r="C2343" s="84">
        <v>19</v>
      </c>
      <c r="D2343" s="84">
        <v>2</v>
      </c>
      <c r="E2343" s="85">
        <v>23451.06</v>
      </c>
      <c r="F2343" s="85">
        <v>18045.66</v>
      </c>
      <c r="G2343" s="85">
        <v>-5405.4</v>
      </c>
    </row>
    <row r="2344" spans="1:7" x14ac:dyDescent="0.3">
      <c r="A2344" s="84">
        <v>2026</v>
      </c>
      <c r="B2344" s="84" t="s">
        <v>396</v>
      </c>
      <c r="C2344" s="84">
        <v>19</v>
      </c>
      <c r="D2344" s="84">
        <v>3</v>
      </c>
      <c r="E2344" s="85">
        <v>23451.06</v>
      </c>
      <c r="F2344" s="85">
        <v>18340.64</v>
      </c>
      <c r="G2344" s="85">
        <v>-5110.42</v>
      </c>
    </row>
    <row r="2345" spans="1:7" x14ac:dyDescent="0.3">
      <c r="A2345" s="84">
        <v>2026</v>
      </c>
      <c r="B2345" s="84" t="s">
        <v>396</v>
      </c>
      <c r="C2345" s="84">
        <v>19</v>
      </c>
      <c r="D2345" s="84">
        <v>4</v>
      </c>
      <c r="E2345" s="85">
        <v>23451.06</v>
      </c>
      <c r="F2345" s="85">
        <v>18634.78</v>
      </c>
      <c r="G2345" s="85">
        <v>-4816.28</v>
      </c>
    </row>
    <row r="2346" spans="1:7" x14ac:dyDescent="0.3">
      <c r="A2346" s="84">
        <v>2026</v>
      </c>
      <c r="B2346" s="84" t="s">
        <v>396</v>
      </c>
      <c r="C2346" s="84">
        <v>19</v>
      </c>
      <c r="D2346" s="84">
        <v>5</v>
      </c>
      <c r="E2346" s="85">
        <v>23451.06</v>
      </c>
      <c r="F2346" s="85">
        <v>18929.48</v>
      </c>
      <c r="G2346" s="85">
        <v>-4521.58</v>
      </c>
    </row>
    <row r="2347" spans="1:7" x14ac:dyDescent="0.3">
      <c r="A2347" s="84">
        <v>2026</v>
      </c>
      <c r="B2347" s="84" t="s">
        <v>396</v>
      </c>
      <c r="C2347" s="84">
        <v>19</v>
      </c>
      <c r="D2347" s="84">
        <v>6</v>
      </c>
      <c r="E2347" s="85">
        <v>23451.06</v>
      </c>
      <c r="F2347" s="85">
        <v>19126.18</v>
      </c>
      <c r="G2347" s="85">
        <v>-4324.88</v>
      </c>
    </row>
    <row r="2348" spans="1:7" x14ac:dyDescent="0.3">
      <c r="A2348" s="84">
        <v>2026</v>
      </c>
      <c r="B2348" s="84" t="s">
        <v>396</v>
      </c>
      <c r="C2348" s="84">
        <v>19</v>
      </c>
      <c r="D2348" s="84">
        <v>7</v>
      </c>
      <c r="E2348" s="85">
        <v>23451.06</v>
      </c>
      <c r="F2348" s="85">
        <v>19322.38</v>
      </c>
      <c r="G2348" s="85">
        <v>-4128.68</v>
      </c>
    </row>
    <row r="2349" spans="1:7" x14ac:dyDescent="0.3">
      <c r="A2349" s="84">
        <v>2026</v>
      </c>
      <c r="B2349" s="84" t="s">
        <v>396</v>
      </c>
      <c r="C2349" s="84">
        <v>19</v>
      </c>
      <c r="D2349" s="84">
        <v>8</v>
      </c>
      <c r="E2349" s="85">
        <v>23451.06</v>
      </c>
      <c r="F2349" s="85">
        <v>19519.16</v>
      </c>
      <c r="G2349" s="85">
        <v>-3931.9</v>
      </c>
    </row>
    <row r="2350" spans="1:7" x14ac:dyDescent="0.3">
      <c r="A2350" s="84">
        <v>2026</v>
      </c>
      <c r="B2350" s="84" t="s">
        <v>396</v>
      </c>
      <c r="C2350" s="84">
        <v>19</v>
      </c>
      <c r="D2350" s="84">
        <v>9</v>
      </c>
      <c r="E2350" s="85">
        <v>23451.06</v>
      </c>
      <c r="F2350" s="85">
        <v>19716.28</v>
      </c>
      <c r="G2350" s="85">
        <v>-3734.78</v>
      </c>
    </row>
    <row r="2351" spans="1:7" x14ac:dyDescent="0.3">
      <c r="A2351" s="84">
        <v>2026</v>
      </c>
      <c r="B2351" s="84" t="s">
        <v>396</v>
      </c>
      <c r="C2351" s="84">
        <v>19</v>
      </c>
      <c r="D2351" s="84">
        <v>10</v>
      </c>
      <c r="E2351" s="85">
        <v>23451.06</v>
      </c>
      <c r="F2351" s="85">
        <v>19912.7</v>
      </c>
      <c r="G2351" s="85">
        <v>-3538.36</v>
      </c>
    </row>
    <row r="2352" spans="1:7" x14ac:dyDescent="0.3">
      <c r="A2352" s="84">
        <v>2026</v>
      </c>
      <c r="B2352" s="84" t="s">
        <v>396</v>
      </c>
      <c r="C2352" s="84">
        <v>19</v>
      </c>
      <c r="D2352" s="84">
        <v>11</v>
      </c>
      <c r="E2352" s="85">
        <v>23451.06</v>
      </c>
      <c r="F2352" s="85">
        <v>20305.259999999998</v>
      </c>
      <c r="G2352" s="85">
        <v>-3145.8</v>
      </c>
    </row>
    <row r="2353" spans="1:7" x14ac:dyDescent="0.3">
      <c r="A2353" s="84">
        <v>2026</v>
      </c>
      <c r="B2353" s="84" t="s">
        <v>396</v>
      </c>
      <c r="C2353" s="84">
        <v>19</v>
      </c>
      <c r="D2353" s="84">
        <v>12</v>
      </c>
      <c r="E2353" s="85">
        <v>23451.06</v>
      </c>
      <c r="F2353" s="85">
        <v>20698.8</v>
      </c>
      <c r="G2353" s="85">
        <v>-2752.26</v>
      </c>
    </row>
    <row r="2354" spans="1:7" x14ac:dyDescent="0.3">
      <c r="A2354" s="84">
        <v>2026</v>
      </c>
      <c r="B2354" s="84" t="s">
        <v>396</v>
      </c>
      <c r="C2354" s="84">
        <v>19</v>
      </c>
      <c r="D2354" s="84">
        <v>13</v>
      </c>
      <c r="E2354" s="85">
        <v>23451.06</v>
      </c>
      <c r="F2354" s="85">
        <v>21092.06</v>
      </c>
      <c r="G2354" s="85">
        <v>-2359</v>
      </c>
    </row>
    <row r="2355" spans="1:7" x14ac:dyDescent="0.3">
      <c r="A2355" s="84">
        <v>2026</v>
      </c>
      <c r="B2355" s="84" t="s">
        <v>396</v>
      </c>
      <c r="C2355" s="84">
        <v>19</v>
      </c>
      <c r="D2355" s="84">
        <v>14</v>
      </c>
      <c r="E2355" s="85">
        <v>23451.06</v>
      </c>
      <c r="F2355" s="85">
        <v>21485.88</v>
      </c>
      <c r="G2355" s="85">
        <v>-1965.18</v>
      </c>
    </row>
    <row r="2356" spans="1:7" x14ac:dyDescent="0.3">
      <c r="A2356" s="84">
        <v>2026</v>
      </c>
      <c r="B2356" s="84" t="s">
        <v>396</v>
      </c>
      <c r="C2356" s="84">
        <v>19</v>
      </c>
      <c r="D2356" s="84">
        <v>15</v>
      </c>
      <c r="E2356" s="85">
        <v>23451.06</v>
      </c>
      <c r="F2356" s="85">
        <v>21878.16</v>
      </c>
      <c r="G2356" s="85">
        <v>-1572.9</v>
      </c>
    </row>
    <row r="2357" spans="1:7" x14ac:dyDescent="0.3">
      <c r="A2357" s="84">
        <v>2026</v>
      </c>
      <c r="B2357" s="84" t="s">
        <v>396</v>
      </c>
      <c r="C2357" s="84">
        <v>19</v>
      </c>
      <c r="D2357" s="84">
        <v>16</v>
      </c>
      <c r="E2357" s="85">
        <v>23451.06</v>
      </c>
      <c r="F2357" s="85">
        <v>22272.12</v>
      </c>
      <c r="G2357" s="85">
        <v>-1178.94</v>
      </c>
    </row>
    <row r="2358" spans="1:7" x14ac:dyDescent="0.3">
      <c r="A2358" s="84">
        <v>2026</v>
      </c>
      <c r="B2358" s="84" t="s">
        <v>396</v>
      </c>
      <c r="C2358" s="84">
        <v>19</v>
      </c>
      <c r="D2358" s="84">
        <v>17</v>
      </c>
      <c r="E2358" s="85">
        <v>23451.06</v>
      </c>
      <c r="F2358" s="85">
        <v>22664.400000000001</v>
      </c>
      <c r="G2358" s="85">
        <v>-786.66</v>
      </c>
    </row>
    <row r="2359" spans="1:7" x14ac:dyDescent="0.3">
      <c r="A2359" s="84">
        <v>2026</v>
      </c>
      <c r="B2359" s="84" t="s">
        <v>396</v>
      </c>
      <c r="C2359" s="84">
        <v>19</v>
      </c>
      <c r="D2359" s="84">
        <v>18</v>
      </c>
      <c r="E2359" s="85">
        <v>23451.06</v>
      </c>
      <c r="F2359" s="85">
        <v>23057.94</v>
      </c>
      <c r="G2359" s="85">
        <v>-393.12</v>
      </c>
    </row>
    <row r="2360" spans="1:7" x14ac:dyDescent="0.3">
      <c r="A2360" s="84">
        <v>2026</v>
      </c>
      <c r="B2360" s="84" t="s">
        <v>396</v>
      </c>
      <c r="C2360" s="84">
        <v>19</v>
      </c>
      <c r="D2360" s="84">
        <v>19</v>
      </c>
      <c r="E2360" s="85">
        <v>23451.06</v>
      </c>
      <c r="F2360" s="85">
        <v>23451.06</v>
      </c>
      <c r="G2360" s="85">
        <v>0</v>
      </c>
    </row>
    <row r="2361" spans="1:7" x14ac:dyDescent="0.3">
      <c r="A2361" s="84">
        <v>2026</v>
      </c>
      <c r="B2361" s="84" t="s">
        <v>396</v>
      </c>
      <c r="C2361" s="84">
        <v>19</v>
      </c>
      <c r="D2361" s="84">
        <v>20</v>
      </c>
      <c r="E2361" s="85">
        <v>23451.06</v>
      </c>
      <c r="F2361" s="85">
        <v>23844.04</v>
      </c>
      <c r="G2361" s="85">
        <v>392.98</v>
      </c>
    </row>
    <row r="2362" spans="1:7" x14ac:dyDescent="0.3">
      <c r="A2362" s="84">
        <v>2026</v>
      </c>
      <c r="B2362" s="84" t="s">
        <v>396</v>
      </c>
      <c r="C2362" s="84">
        <v>19</v>
      </c>
      <c r="D2362" s="84">
        <v>21</v>
      </c>
      <c r="E2362" s="85">
        <v>23451.06</v>
      </c>
      <c r="F2362" s="85">
        <v>24433.439999999999</v>
      </c>
      <c r="G2362" s="85">
        <v>982.38</v>
      </c>
    </row>
    <row r="2363" spans="1:7" x14ac:dyDescent="0.3">
      <c r="A2363" s="84">
        <v>2026</v>
      </c>
      <c r="B2363" s="84" t="s">
        <v>396</v>
      </c>
      <c r="C2363" s="84">
        <v>19</v>
      </c>
      <c r="D2363" s="84">
        <v>22</v>
      </c>
      <c r="E2363" s="85">
        <v>23451.06</v>
      </c>
      <c r="F2363" s="85">
        <v>25072.12</v>
      </c>
      <c r="G2363" s="85">
        <v>1621.06</v>
      </c>
    </row>
    <row r="2364" spans="1:7" x14ac:dyDescent="0.3">
      <c r="A2364" s="84">
        <v>2026</v>
      </c>
      <c r="B2364" s="84" t="s">
        <v>396</v>
      </c>
      <c r="C2364" s="84">
        <v>19</v>
      </c>
      <c r="D2364" s="84">
        <v>23</v>
      </c>
      <c r="E2364" s="85">
        <v>23451.06</v>
      </c>
      <c r="F2364" s="85">
        <v>25712.62</v>
      </c>
      <c r="G2364" s="85">
        <v>2261.56</v>
      </c>
    </row>
    <row r="2365" spans="1:7" x14ac:dyDescent="0.3">
      <c r="A2365" s="84">
        <v>2026</v>
      </c>
      <c r="B2365" s="84" t="s">
        <v>396</v>
      </c>
      <c r="C2365" s="84">
        <v>19</v>
      </c>
      <c r="D2365" s="84">
        <v>24</v>
      </c>
      <c r="E2365" s="85">
        <v>23451.06</v>
      </c>
      <c r="F2365" s="85">
        <v>26351.86</v>
      </c>
      <c r="G2365" s="85">
        <v>2900.8</v>
      </c>
    </row>
    <row r="2366" spans="1:7" x14ac:dyDescent="0.3">
      <c r="A2366" s="84">
        <v>2026</v>
      </c>
      <c r="B2366" s="84" t="s">
        <v>396</v>
      </c>
      <c r="C2366" s="84">
        <v>19</v>
      </c>
      <c r="D2366" s="84">
        <v>25</v>
      </c>
      <c r="E2366" s="85">
        <v>23451.06</v>
      </c>
      <c r="F2366" s="85">
        <v>26991.94</v>
      </c>
      <c r="G2366" s="85">
        <v>3540.88</v>
      </c>
    </row>
    <row r="2367" spans="1:7" x14ac:dyDescent="0.3">
      <c r="A2367" s="84">
        <v>2026</v>
      </c>
      <c r="B2367" s="84" t="s">
        <v>396</v>
      </c>
      <c r="C2367" s="84">
        <v>19</v>
      </c>
      <c r="D2367" s="84">
        <v>26</v>
      </c>
      <c r="E2367" s="85">
        <v>23451.06</v>
      </c>
      <c r="F2367" s="85">
        <v>28371.22</v>
      </c>
      <c r="G2367" s="85">
        <v>4920.16</v>
      </c>
    </row>
    <row r="2368" spans="1:7" x14ac:dyDescent="0.3">
      <c r="A2368" s="84">
        <v>2026</v>
      </c>
      <c r="B2368" s="84" t="s">
        <v>396</v>
      </c>
      <c r="C2368" s="84">
        <v>19</v>
      </c>
      <c r="D2368" s="84">
        <v>27</v>
      </c>
      <c r="E2368" s="85">
        <v>23451.06</v>
      </c>
      <c r="F2368" s="85">
        <v>30080.48</v>
      </c>
      <c r="G2368" s="85">
        <v>6629.42</v>
      </c>
    </row>
    <row r="2369" spans="1:7" x14ac:dyDescent="0.3">
      <c r="A2369" s="84">
        <v>2026</v>
      </c>
      <c r="B2369" s="84" t="s">
        <v>396</v>
      </c>
      <c r="C2369" s="84">
        <v>19</v>
      </c>
      <c r="D2369" s="84">
        <v>28</v>
      </c>
      <c r="E2369" s="85">
        <v>23451.06</v>
      </c>
      <c r="F2369" s="85">
        <v>30720.98</v>
      </c>
      <c r="G2369" s="85">
        <v>7269.92</v>
      </c>
    </row>
    <row r="2370" spans="1:7" x14ac:dyDescent="0.3">
      <c r="A2370" s="84">
        <v>2026</v>
      </c>
      <c r="B2370" s="84" t="s">
        <v>396</v>
      </c>
      <c r="C2370" s="84">
        <v>19</v>
      </c>
      <c r="D2370" s="84">
        <v>29</v>
      </c>
      <c r="E2370" s="85">
        <v>23451.06</v>
      </c>
      <c r="F2370" s="85">
        <v>31360.36</v>
      </c>
      <c r="G2370" s="85">
        <v>7909.3</v>
      </c>
    </row>
    <row r="2371" spans="1:7" x14ac:dyDescent="0.3">
      <c r="A2371" s="84">
        <v>2026</v>
      </c>
      <c r="B2371" s="84" t="s">
        <v>396</v>
      </c>
      <c r="C2371" s="84">
        <v>19</v>
      </c>
      <c r="D2371" s="84">
        <v>30</v>
      </c>
      <c r="E2371" s="85">
        <v>23451.06</v>
      </c>
      <c r="F2371" s="85">
        <v>33108.68</v>
      </c>
      <c r="G2371" s="85">
        <v>9657.6200000000008</v>
      </c>
    </row>
    <row r="2372" spans="1:7" x14ac:dyDescent="0.3">
      <c r="A2372" s="84">
        <v>2026</v>
      </c>
      <c r="B2372" s="84" t="s">
        <v>396</v>
      </c>
      <c r="C2372" s="84">
        <v>20</v>
      </c>
      <c r="D2372" s="84">
        <v>1</v>
      </c>
      <c r="E2372" s="85">
        <v>23844.04</v>
      </c>
      <c r="F2372" s="85">
        <v>17751.240000000002</v>
      </c>
      <c r="G2372" s="85">
        <v>-6092.8</v>
      </c>
    </row>
    <row r="2373" spans="1:7" x14ac:dyDescent="0.3">
      <c r="A2373" s="84">
        <v>2026</v>
      </c>
      <c r="B2373" s="84" t="s">
        <v>396</v>
      </c>
      <c r="C2373" s="84">
        <v>20</v>
      </c>
      <c r="D2373" s="84">
        <v>2</v>
      </c>
      <c r="E2373" s="85">
        <v>23844.04</v>
      </c>
      <c r="F2373" s="85">
        <v>18045.66</v>
      </c>
      <c r="G2373" s="85">
        <v>-5798.38</v>
      </c>
    </row>
    <row r="2374" spans="1:7" x14ac:dyDescent="0.3">
      <c r="A2374" s="84">
        <v>2026</v>
      </c>
      <c r="B2374" s="84" t="s">
        <v>396</v>
      </c>
      <c r="C2374" s="84">
        <v>20</v>
      </c>
      <c r="D2374" s="84">
        <v>3</v>
      </c>
      <c r="E2374" s="85">
        <v>23844.04</v>
      </c>
      <c r="F2374" s="85">
        <v>18340.64</v>
      </c>
      <c r="G2374" s="85">
        <v>-5503.4</v>
      </c>
    </row>
    <row r="2375" spans="1:7" x14ac:dyDescent="0.3">
      <c r="A2375" s="84">
        <v>2026</v>
      </c>
      <c r="B2375" s="84" t="s">
        <v>396</v>
      </c>
      <c r="C2375" s="84">
        <v>20</v>
      </c>
      <c r="D2375" s="84">
        <v>4</v>
      </c>
      <c r="E2375" s="85">
        <v>23844.04</v>
      </c>
      <c r="F2375" s="85">
        <v>18634.78</v>
      </c>
      <c r="G2375" s="85">
        <v>-5209.26</v>
      </c>
    </row>
    <row r="2376" spans="1:7" x14ac:dyDescent="0.3">
      <c r="A2376" s="84">
        <v>2026</v>
      </c>
      <c r="B2376" s="84" t="s">
        <v>396</v>
      </c>
      <c r="C2376" s="84">
        <v>20</v>
      </c>
      <c r="D2376" s="84">
        <v>5</v>
      </c>
      <c r="E2376" s="85">
        <v>23844.04</v>
      </c>
      <c r="F2376" s="85">
        <v>18929.48</v>
      </c>
      <c r="G2376" s="85">
        <v>-4914.5600000000004</v>
      </c>
    </row>
    <row r="2377" spans="1:7" x14ac:dyDescent="0.3">
      <c r="A2377" s="84">
        <v>2026</v>
      </c>
      <c r="B2377" s="84" t="s">
        <v>396</v>
      </c>
      <c r="C2377" s="84">
        <v>20</v>
      </c>
      <c r="D2377" s="84">
        <v>6</v>
      </c>
      <c r="E2377" s="85">
        <v>23844.04</v>
      </c>
      <c r="F2377" s="85">
        <v>19126.18</v>
      </c>
      <c r="G2377" s="85">
        <v>-4717.8599999999997</v>
      </c>
    </row>
    <row r="2378" spans="1:7" x14ac:dyDescent="0.3">
      <c r="A2378" s="84">
        <v>2026</v>
      </c>
      <c r="B2378" s="84" t="s">
        <v>396</v>
      </c>
      <c r="C2378" s="84">
        <v>20</v>
      </c>
      <c r="D2378" s="84">
        <v>7</v>
      </c>
      <c r="E2378" s="85">
        <v>23844.04</v>
      </c>
      <c r="F2378" s="85">
        <v>19322.38</v>
      </c>
      <c r="G2378" s="85">
        <v>-4521.66</v>
      </c>
    </row>
    <row r="2379" spans="1:7" x14ac:dyDescent="0.3">
      <c r="A2379" s="84">
        <v>2026</v>
      </c>
      <c r="B2379" s="84" t="s">
        <v>396</v>
      </c>
      <c r="C2379" s="84">
        <v>20</v>
      </c>
      <c r="D2379" s="84">
        <v>8</v>
      </c>
      <c r="E2379" s="85">
        <v>23844.04</v>
      </c>
      <c r="F2379" s="85">
        <v>19519.16</v>
      </c>
      <c r="G2379" s="85">
        <v>-4324.88</v>
      </c>
    </row>
    <row r="2380" spans="1:7" x14ac:dyDescent="0.3">
      <c r="A2380" s="84">
        <v>2026</v>
      </c>
      <c r="B2380" s="84" t="s">
        <v>396</v>
      </c>
      <c r="C2380" s="84">
        <v>20</v>
      </c>
      <c r="D2380" s="84">
        <v>9</v>
      </c>
      <c r="E2380" s="85">
        <v>23844.04</v>
      </c>
      <c r="F2380" s="85">
        <v>19716.28</v>
      </c>
      <c r="G2380" s="85">
        <v>-4127.76</v>
      </c>
    </row>
    <row r="2381" spans="1:7" x14ac:dyDescent="0.3">
      <c r="A2381" s="84">
        <v>2026</v>
      </c>
      <c r="B2381" s="84" t="s">
        <v>396</v>
      </c>
      <c r="C2381" s="84">
        <v>20</v>
      </c>
      <c r="D2381" s="84">
        <v>10</v>
      </c>
      <c r="E2381" s="85">
        <v>23844.04</v>
      </c>
      <c r="F2381" s="85">
        <v>19912.7</v>
      </c>
      <c r="G2381" s="85">
        <v>-3931.34</v>
      </c>
    </row>
    <row r="2382" spans="1:7" x14ac:dyDescent="0.3">
      <c r="A2382" s="84">
        <v>2026</v>
      </c>
      <c r="B2382" s="84" t="s">
        <v>396</v>
      </c>
      <c r="C2382" s="84">
        <v>20</v>
      </c>
      <c r="D2382" s="84">
        <v>11</v>
      </c>
      <c r="E2382" s="85">
        <v>23844.04</v>
      </c>
      <c r="F2382" s="85">
        <v>20305.259999999998</v>
      </c>
      <c r="G2382" s="85">
        <v>-3538.78</v>
      </c>
    </row>
    <row r="2383" spans="1:7" x14ac:dyDescent="0.3">
      <c r="A2383" s="84">
        <v>2026</v>
      </c>
      <c r="B2383" s="84" t="s">
        <v>396</v>
      </c>
      <c r="C2383" s="84">
        <v>20</v>
      </c>
      <c r="D2383" s="84">
        <v>12</v>
      </c>
      <c r="E2383" s="85">
        <v>23844.04</v>
      </c>
      <c r="F2383" s="85">
        <v>20698.8</v>
      </c>
      <c r="G2383" s="85">
        <v>-3145.24</v>
      </c>
    </row>
    <row r="2384" spans="1:7" x14ac:dyDescent="0.3">
      <c r="A2384" s="84">
        <v>2026</v>
      </c>
      <c r="B2384" s="84" t="s">
        <v>396</v>
      </c>
      <c r="C2384" s="84">
        <v>20</v>
      </c>
      <c r="D2384" s="84">
        <v>13</v>
      </c>
      <c r="E2384" s="85">
        <v>23844.04</v>
      </c>
      <c r="F2384" s="85">
        <v>21092.06</v>
      </c>
      <c r="G2384" s="85">
        <v>-2751.98</v>
      </c>
    </row>
    <row r="2385" spans="1:7" x14ac:dyDescent="0.3">
      <c r="A2385" s="84">
        <v>2026</v>
      </c>
      <c r="B2385" s="84" t="s">
        <v>396</v>
      </c>
      <c r="C2385" s="84">
        <v>20</v>
      </c>
      <c r="D2385" s="84">
        <v>14</v>
      </c>
      <c r="E2385" s="85">
        <v>23844.04</v>
      </c>
      <c r="F2385" s="85">
        <v>21485.88</v>
      </c>
      <c r="G2385" s="85">
        <v>-2358.16</v>
      </c>
    </row>
    <row r="2386" spans="1:7" x14ac:dyDescent="0.3">
      <c r="A2386" s="84">
        <v>2026</v>
      </c>
      <c r="B2386" s="84" t="s">
        <v>396</v>
      </c>
      <c r="C2386" s="84">
        <v>20</v>
      </c>
      <c r="D2386" s="84">
        <v>15</v>
      </c>
      <c r="E2386" s="85">
        <v>23844.04</v>
      </c>
      <c r="F2386" s="85">
        <v>21878.16</v>
      </c>
      <c r="G2386" s="85">
        <v>-1965.88</v>
      </c>
    </row>
    <row r="2387" spans="1:7" x14ac:dyDescent="0.3">
      <c r="A2387" s="84">
        <v>2026</v>
      </c>
      <c r="B2387" s="84" t="s">
        <v>396</v>
      </c>
      <c r="C2387" s="84">
        <v>20</v>
      </c>
      <c r="D2387" s="84">
        <v>16</v>
      </c>
      <c r="E2387" s="85">
        <v>23844.04</v>
      </c>
      <c r="F2387" s="85">
        <v>22272.12</v>
      </c>
      <c r="G2387" s="85">
        <v>-1571.92</v>
      </c>
    </row>
    <row r="2388" spans="1:7" x14ac:dyDescent="0.3">
      <c r="A2388" s="84">
        <v>2026</v>
      </c>
      <c r="B2388" s="84" t="s">
        <v>396</v>
      </c>
      <c r="C2388" s="84">
        <v>20</v>
      </c>
      <c r="D2388" s="84">
        <v>17</v>
      </c>
      <c r="E2388" s="85">
        <v>23844.04</v>
      </c>
      <c r="F2388" s="85">
        <v>22664.400000000001</v>
      </c>
      <c r="G2388" s="85">
        <v>-1179.6400000000001</v>
      </c>
    </row>
    <row r="2389" spans="1:7" x14ac:dyDescent="0.3">
      <c r="A2389" s="84">
        <v>2026</v>
      </c>
      <c r="B2389" s="84" t="s">
        <v>396</v>
      </c>
      <c r="C2389" s="84">
        <v>20</v>
      </c>
      <c r="D2389" s="84">
        <v>18</v>
      </c>
      <c r="E2389" s="85">
        <v>23844.04</v>
      </c>
      <c r="F2389" s="85">
        <v>23057.94</v>
      </c>
      <c r="G2389" s="85">
        <v>-786.1</v>
      </c>
    </row>
    <row r="2390" spans="1:7" x14ac:dyDescent="0.3">
      <c r="A2390" s="84">
        <v>2026</v>
      </c>
      <c r="B2390" s="84" t="s">
        <v>396</v>
      </c>
      <c r="C2390" s="84">
        <v>20</v>
      </c>
      <c r="D2390" s="84">
        <v>19</v>
      </c>
      <c r="E2390" s="85">
        <v>23844.04</v>
      </c>
      <c r="F2390" s="85">
        <v>23451.06</v>
      </c>
      <c r="G2390" s="85">
        <v>-392.98</v>
      </c>
    </row>
    <row r="2391" spans="1:7" x14ac:dyDescent="0.3">
      <c r="A2391" s="84">
        <v>2026</v>
      </c>
      <c r="B2391" s="84" t="s">
        <v>396</v>
      </c>
      <c r="C2391" s="84">
        <v>20</v>
      </c>
      <c r="D2391" s="84">
        <v>20</v>
      </c>
      <c r="E2391" s="85">
        <v>23844.04</v>
      </c>
      <c r="F2391" s="85">
        <v>23844.04</v>
      </c>
      <c r="G2391" s="85">
        <v>0</v>
      </c>
    </row>
    <row r="2392" spans="1:7" x14ac:dyDescent="0.3">
      <c r="A2392" s="84">
        <v>2026</v>
      </c>
      <c r="B2392" s="84" t="s">
        <v>396</v>
      </c>
      <c r="C2392" s="84">
        <v>20</v>
      </c>
      <c r="D2392" s="84">
        <v>21</v>
      </c>
      <c r="E2392" s="85">
        <v>23844.04</v>
      </c>
      <c r="F2392" s="85">
        <v>24433.439999999999</v>
      </c>
      <c r="G2392" s="85">
        <v>589.4</v>
      </c>
    </row>
    <row r="2393" spans="1:7" x14ac:dyDescent="0.3">
      <c r="A2393" s="84">
        <v>2026</v>
      </c>
      <c r="B2393" s="84" t="s">
        <v>396</v>
      </c>
      <c r="C2393" s="84">
        <v>20</v>
      </c>
      <c r="D2393" s="84">
        <v>22</v>
      </c>
      <c r="E2393" s="85">
        <v>23844.04</v>
      </c>
      <c r="F2393" s="85">
        <v>25072.12</v>
      </c>
      <c r="G2393" s="85">
        <v>1228.08</v>
      </c>
    </row>
    <row r="2394" spans="1:7" x14ac:dyDescent="0.3">
      <c r="A2394" s="84">
        <v>2026</v>
      </c>
      <c r="B2394" s="84" t="s">
        <v>396</v>
      </c>
      <c r="C2394" s="84">
        <v>20</v>
      </c>
      <c r="D2394" s="84">
        <v>23</v>
      </c>
      <c r="E2394" s="85">
        <v>23844.04</v>
      </c>
      <c r="F2394" s="85">
        <v>25712.62</v>
      </c>
      <c r="G2394" s="85">
        <v>1868.58</v>
      </c>
    </row>
    <row r="2395" spans="1:7" x14ac:dyDescent="0.3">
      <c r="A2395" s="84">
        <v>2026</v>
      </c>
      <c r="B2395" s="84" t="s">
        <v>396</v>
      </c>
      <c r="C2395" s="84">
        <v>20</v>
      </c>
      <c r="D2395" s="84">
        <v>24</v>
      </c>
      <c r="E2395" s="85">
        <v>23844.04</v>
      </c>
      <c r="F2395" s="85">
        <v>26351.86</v>
      </c>
      <c r="G2395" s="85">
        <v>2507.8200000000002</v>
      </c>
    </row>
    <row r="2396" spans="1:7" x14ac:dyDescent="0.3">
      <c r="A2396" s="84">
        <v>2026</v>
      </c>
      <c r="B2396" s="84" t="s">
        <v>396</v>
      </c>
      <c r="C2396" s="84">
        <v>20</v>
      </c>
      <c r="D2396" s="84">
        <v>25</v>
      </c>
      <c r="E2396" s="85">
        <v>23844.04</v>
      </c>
      <c r="F2396" s="85">
        <v>26991.94</v>
      </c>
      <c r="G2396" s="85">
        <v>3147.9</v>
      </c>
    </row>
    <row r="2397" spans="1:7" x14ac:dyDescent="0.3">
      <c r="A2397" s="84">
        <v>2026</v>
      </c>
      <c r="B2397" s="84" t="s">
        <v>396</v>
      </c>
      <c r="C2397" s="84">
        <v>20</v>
      </c>
      <c r="D2397" s="84">
        <v>26</v>
      </c>
      <c r="E2397" s="85">
        <v>23844.04</v>
      </c>
      <c r="F2397" s="85">
        <v>28371.22</v>
      </c>
      <c r="G2397" s="85">
        <v>4527.18</v>
      </c>
    </row>
    <row r="2398" spans="1:7" x14ac:dyDescent="0.3">
      <c r="A2398" s="84">
        <v>2026</v>
      </c>
      <c r="B2398" s="84" t="s">
        <v>396</v>
      </c>
      <c r="C2398" s="84">
        <v>20</v>
      </c>
      <c r="D2398" s="84">
        <v>27</v>
      </c>
      <c r="E2398" s="85">
        <v>23844.04</v>
      </c>
      <c r="F2398" s="85">
        <v>30080.48</v>
      </c>
      <c r="G2398" s="85">
        <v>6236.44</v>
      </c>
    </row>
    <row r="2399" spans="1:7" x14ac:dyDescent="0.3">
      <c r="A2399" s="84">
        <v>2026</v>
      </c>
      <c r="B2399" s="84" t="s">
        <v>396</v>
      </c>
      <c r="C2399" s="84">
        <v>20</v>
      </c>
      <c r="D2399" s="84">
        <v>28</v>
      </c>
      <c r="E2399" s="85">
        <v>23844.04</v>
      </c>
      <c r="F2399" s="85">
        <v>30720.98</v>
      </c>
      <c r="G2399" s="85">
        <v>6876.94</v>
      </c>
    </row>
    <row r="2400" spans="1:7" x14ac:dyDescent="0.3">
      <c r="A2400" s="84">
        <v>2026</v>
      </c>
      <c r="B2400" s="84" t="s">
        <v>396</v>
      </c>
      <c r="C2400" s="84">
        <v>20</v>
      </c>
      <c r="D2400" s="84">
        <v>29</v>
      </c>
      <c r="E2400" s="85">
        <v>23844.04</v>
      </c>
      <c r="F2400" s="85">
        <v>31360.36</v>
      </c>
      <c r="G2400" s="85">
        <v>7516.32</v>
      </c>
    </row>
    <row r="2401" spans="1:7" x14ac:dyDescent="0.3">
      <c r="A2401" s="84">
        <v>2026</v>
      </c>
      <c r="B2401" s="84" t="s">
        <v>396</v>
      </c>
      <c r="C2401" s="84">
        <v>20</v>
      </c>
      <c r="D2401" s="84">
        <v>30</v>
      </c>
      <c r="E2401" s="85">
        <v>23844.04</v>
      </c>
      <c r="F2401" s="85">
        <v>33108.68</v>
      </c>
      <c r="G2401" s="85">
        <v>9264.64</v>
      </c>
    </row>
    <row r="2402" spans="1:7" x14ac:dyDescent="0.3">
      <c r="A2402" s="84">
        <v>2026</v>
      </c>
      <c r="B2402" s="84" t="s">
        <v>396</v>
      </c>
      <c r="C2402" s="84">
        <v>21</v>
      </c>
      <c r="D2402" s="84">
        <v>1</v>
      </c>
      <c r="E2402" s="85">
        <v>24433.439999999999</v>
      </c>
      <c r="F2402" s="85">
        <v>17751.240000000002</v>
      </c>
      <c r="G2402" s="85">
        <v>-6682.2</v>
      </c>
    </row>
    <row r="2403" spans="1:7" x14ac:dyDescent="0.3">
      <c r="A2403" s="84">
        <v>2026</v>
      </c>
      <c r="B2403" s="84" t="s">
        <v>396</v>
      </c>
      <c r="C2403" s="84">
        <v>21</v>
      </c>
      <c r="D2403" s="84">
        <v>2</v>
      </c>
      <c r="E2403" s="85">
        <v>24433.439999999999</v>
      </c>
      <c r="F2403" s="85">
        <v>18045.66</v>
      </c>
      <c r="G2403" s="85">
        <v>-6387.78</v>
      </c>
    </row>
    <row r="2404" spans="1:7" x14ac:dyDescent="0.3">
      <c r="A2404" s="84">
        <v>2026</v>
      </c>
      <c r="B2404" s="84" t="s">
        <v>396</v>
      </c>
      <c r="C2404" s="84">
        <v>21</v>
      </c>
      <c r="D2404" s="84">
        <v>3</v>
      </c>
      <c r="E2404" s="85">
        <v>24433.439999999999</v>
      </c>
      <c r="F2404" s="85">
        <v>18340.64</v>
      </c>
      <c r="G2404" s="85">
        <v>-6092.8</v>
      </c>
    </row>
    <row r="2405" spans="1:7" x14ac:dyDescent="0.3">
      <c r="A2405" s="84">
        <v>2026</v>
      </c>
      <c r="B2405" s="84" t="s">
        <v>396</v>
      </c>
      <c r="C2405" s="84">
        <v>21</v>
      </c>
      <c r="D2405" s="84">
        <v>4</v>
      </c>
      <c r="E2405" s="85">
        <v>24433.439999999999</v>
      </c>
      <c r="F2405" s="85">
        <v>18634.78</v>
      </c>
      <c r="G2405" s="85">
        <v>-5798.66</v>
      </c>
    </row>
    <row r="2406" spans="1:7" x14ac:dyDescent="0.3">
      <c r="A2406" s="84">
        <v>2026</v>
      </c>
      <c r="B2406" s="84" t="s">
        <v>396</v>
      </c>
      <c r="C2406" s="84">
        <v>21</v>
      </c>
      <c r="D2406" s="84">
        <v>5</v>
      </c>
      <c r="E2406" s="85">
        <v>24433.439999999999</v>
      </c>
      <c r="F2406" s="85">
        <v>18929.48</v>
      </c>
      <c r="G2406" s="85">
        <v>-5503.96</v>
      </c>
    </row>
    <row r="2407" spans="1:7" x14ac:dyDescent="0.3">
      <c r="A2407" s="84">
        <v>2026</v>
      </c>
      <c r="B2407" s="84" t="s">
        <v>396</v>
      </c>
      <c r="C2407" s="84">
        <v>21</v>
      </c>
      <c r="D2407" s="84">
        <v>6</v>
      </c>
      <c r="E2407" s="85">
        <v>24433.439999999999</v>
      </c>
      <c r="F2407" s="85">
        <v>19126.18</v>
      </c>
      <c r="G2407" s="85">
        <v>-5307.26</v>
      </c>
    </row>
    <row r="2408" spans="1:7" x14ac:dyDescent="0.3">
      <c r="A2408" s="84">
        <v>2026</v>
      </c>
      <c r="B2408" s="84" t="s">
        <v>396</v>
      </c>
      <c r="C2408" s="84">
        <v>21</v>
      </c>
      <c r="D2408" s="84">
        <v>7</v>
      </c>
      <c r="E2408" s="85">
        <v>24433.439999999999</v>
      </c>
      <c r="F2408" s="85">
        <v>19322.38</v>
      </c>
      <c r="G2408" s="85">
        <v>-5111.0600000000004</v>
      </c>
    </row>
    <row r="2409" spans="1:7" x14ac:dyDescent="0.3">
      <c r="A2409" s="84">
        <v>2026</v>
      </c>
      <c r="B2409" s="84" t="s">
        <v>396</v>
      </c>
      <c r="C2409" s="84">
        <v>21</v>
      </c>
      <c r="D2409" s="84">
        <v>8</v>
      </c>
      <c r="E2409" s="85">
        <v>24433.439999999999</v>
      </c>
      <c r="F2409" s="85">
        <v>19519.16</v>
      </c>
      <c r="G2409" s="85">
        <v>-4914.28</v>
      </c>
    </row>
    <row r="2410" spans="1:7" x14ac:dyDescent="0.3">
      <c r="A2410" s="84">
        <v>2026</v>
      </c>
      <c r="B2410" s="84" t="s">
        <v>396</v>
      </c>
      <c r="C2410" s="84">
        <v>21</v>
      </c>
      <c r="D2410" s="84">
        <v>9</v>
      </c>
      <c r="E2410" s="85">
        <v>24433.439999999999</v>
      </c>
      <c r="F2410" s="85">
        <v>19716.28</v>
      </c>
      <c r="G2410" s="85">
        <v>-4717.16</v>
      </c>
    </row>
    <row r="2411" spans="1:7" x14ac:dyDescent="0.3">
      <c r="A2411" s="84">
        <v>2026</v>
      </c>
      <c r="B2411" s="84" t="s">
        <v>396</v>
      </c>
      <c r="C2411" s="84">
        <v>21</v>
      </c>
      <c r="D2411" s="84">
        <v>10</v>
      </c>
      <c r="E2411" s="85">
        <v>24433.439999999999</v>
      </c>
      <c r="F2411" s="85">
        <v>19912.7</v>
      </c>
      <c r="G2411" s="85">
        <v>-4520.74</v>
      </c>
    </row>
    <row r="2412" spans="1:7" x14ac:dyDescent="0.3">
      <c r="A2412" s="84">
        <v>2026</v>
      </c>
      <c r="B2412" s="84" t="s">
        <v>396</v>
      </c>
      <c r="C2412" s="84">
        <v>21</v>
      </c>
      <c r="D2412" s="84">
        <v>11</v>
      </c>
      <c r="E2412" s="85">
        <v>24433.439999999999</v>
      </c>
      <c r="F2412" s="85">
        <v>20305.259999999998</v>
      </c>
      <c r="G2412" s="85">
        <v>-4128.18</v>
      </c>
    </row>
    <row r="2413" spans="1:7" x14ac:dyDescent="0.3">
      <c r="A2413" s="84">
        <v>2026</v>
      </c>
      <c r="B2413" s="84" t="s">
        <v>396</v>
      </c>
      <c r="C2413" s="84">
        <v>21</v>
      </c>
      <c r="D2413" s="84">
        <v>12</v>
      </c>
      <c r="E2413" s="85">
        <v>24433.439999999999</v>
      </c>
      <c r="F2413" s="85">
        <v>20698.8</v>
      </c>
      <c r="G2413" s="85">
        <v>-3734.64</v>
      </c>
    </row>
    <row r="2414" spans="1:7" x14ac:dyDescent="0.3">
      <c r="A2414" s="84">
        <v>2026</v>
      </c>
      <c r="B2414" s="84" t="s">
        <v>396</v>
      </c>
      <c r="C2414" s="84">
        <v>21</v>
      </c>
      <c r="D2414" s="84">
        <v>13</v>
      </c>
      <c r="E2414" s="85">
        <v>24433.439999999999</v>
      </c>
      <c r="F2414" s="85">
        <v>21092.06</v>
      </c>
      <c r="G2414" s="85">
        <v>-3341.38</v>
      </c>
    </row>
    <row r="2415" spans="1:7" x14ac:dyDescent="0.3">
      <c r="A2415" s="84">
        <v>2026</v>
      </c>
      <c r="B2415" s="84" t="s">
        <v>396</v>
      </c>
      <c r="C2415" s="84">
        <v>21</v>
      </c>
      <c r="D2415" s="84">
        <v>14</v>
      </c>
      <c r="E2415" s="85">
        <v>24433.439999999999</v>
      </c>
      <c r="F2415" s="85">
        <v>21485.88</v>
      </c>
      <c r="G2415" s="85">
        <v>-2947.56</v>
      </c>
    </row>
    <row r="2416" spans="1:7" x14ac:dyDescent="0.3">
      <c r="A2416" s="84">
        <v>2026</v>
      </c>
      <c r="B2416" s="84" t="s">
        <v>396</v>
      </c>
      <c r="C2416" s="84">
        <v>21</v>
      </c>
      <c r="D2416" s="84">
        <v>15</v>
      </c>
      <c r="E2416" s="85">
        <v>24433.439999999999</v>
      </c>
      <c r="F2416" s="85">
        <v>21878.16</v>
      </c>
      <c r="G2416" s="85">
        <v>-2555.2800000000002</v>
      </c>
    </row>
    <row r="2417" spans="1:7" x14ac:dyDescent="0.3">
      <c r="A2417" s="84">
        <v>2026</v>
      </c>
      <c r="B2417" s="84" t="s">
        <v>396</v>
      </c>
      <c r="C2417" s="84">
        <v>21</v>
      </c>
      <c r="D2417" s="84">
        <v>16</v>
      </c>
      <c r="E2417" s="85">
        <v>24433.439999999999</v>
      </c>
      <c r="F2417" s="85">
        <v>22272.12</v>
      </c>
      <c r="G2417" s="85">
        <v>-2161.3200000000002</v>
      </c>
    </row>
    <row r="2418" spans="1:7" x14ac:dyDescent="0.3">
      <c r="A2418" s="84">
        <v>2026</v>
      </c>
      <c r="B2418" s="84" t="s">
        <v>396</v>
      </c>
      <c r="C2418" s="84">
        <v>21</v>
      </c>
      <c r="D2418" s="84">
        <v>17</v>
      </c>
      <c r="E2418" s="85">
        <v>24433.439999999999</v>
      </c>
      <c r="F2418" s="85">
        <v>22664.400000000001</v>
      </c>
      <c r="G2418" s="85">
        <v>-1769.04</v>
      </c>
    </row>
    <row r="2419" spans="1:7" x14ac:dyDescent="0.3">
      <c r="A2419" s="84">
        <v>2026</v>
      </c>
      <c r="B2419" s="84" t="s">
        <v>396</v>
      </c>
      <c r="C2419" s="84">
        <v>21</v>
      </c>
      <c r="D2419" s="84">
        <v>18</v>
      </c>
      <c r="E2419" s="85">
        <v>24433.439999999999</v>
      </c>
      <c r="F2419" s="85">
        <v>23057.94</v>
      </c>
      <c r="G2419" s="85">
        <v>-1375.5</v>
      </c>
    </row>
    <row r="2420" spans="1:7" x14ac:dyDescent="0.3">
      <c r="A2420" s="84">
        <v>2026</v>
      </c>
      <c r="B2420" s="84" t="s">
        <v>396</v>
      </c>
      <c r="C2420" s="84">
        <v>21</v>
      </c>
      <c r="D2420" s="84">
        <v>19</v>
      </c>
      <c r="E2420" s="85">
        <v>24433.439999999999</v>
      </c>
      <c r="F2420" s="85">
        <v>23451.06</v>
      </c>
      <c r="G2420" s="85">
        <v>-982.38</v>
      </c>
    </row>
    <row r="2421" spans="1:7" x14ac:dyDescent="0.3">
      <c r="A2421" s="84">
        <v>2026</v>
      </c>
      <c r="B2421" s="84" t="s">
        <v>396</v>
      </c>
      <c r="C2421" s="84">
        <v>21</v>
      </c>
      <c r="D2421" s="84">
        <v>20</v>
      </c>
      <c r="E2421" s="85">
        <v>24433.439999999999</v>
      </c>
      <c r="F2421" s="85">
        <v>23844.04</v>
      </c>
      <c r="G2421" s="85">
        <v>-589.4</v>
      </c>
    </row>
    <row r="2422" spans="1:7" x14ac:dyDescent="0.3">
      <c r="A2422" s="84">
        <v>2026</v>
      </c>
      <c r="B2422" s="84" t="s">
        <v>396</v>
      </c>
      <c r="C2422" s="84">
        <v>21</v>
      </c>
      <c r="D2422" s="84">
        <v>21</v>
      </c>
      <c r="E2422" s="85">
        <v>24433.439999999999</v>
      </c>
      <c r="F2422" s="85">
        <v>24433.439999999999</v>
      </c>
      <c r="G2422" s="85">
        <v>0</v>
      </c>
    </row>
    <row r="2423" spans="1:7" x14ac:dyDescent="0.3">
      <c r="A2423" s="84">
        <v>2026</v>
      </c>
      <c r="B2423" s="84" t="s">
        <v>396</v>
      </c>
      <c r="C2423" s="84">
        <v>21</v>
      </c>
      <c r="D2423" s="84">
        <v>22</v>
      </c>
      <c r="E2423" s="85">
        <v>24433.439999999999</v>
      </c>
      <c r="F2423" s="85">
        <v>25072.12</v>
      </c>
      <c r="G2423" s="85">
        <v>638.67999999999995</v>
      </c>
    </row>
    <row r="2424" spans="1:7" x14ac:dyDescent="0.3">
      <c r="A2424" s="84">
        <v>2026</v>
      </c>
      <c r="B2424" s="84" t="s">
        <v>396</v>
      </c>
      <c r="C2424" s="84">
        <v>21</v>
      </c>
      <c r="D2424" s="84">
        <v>23</v>
      </c>
      <c r="E2424" s="85">
        <v>24433.439999999999</v>
      </c>
      <c r="F2424" s="85">
        <v>25712.62</v>
      </c>
      <c r="G2424" s="85">
        <v>1279.18</v>
      </c>
    </row>
    <row r="2425" spans="1:7" x14ac:dyDescent="0.3">
      <c r="A2425" s="84">
        <v>2026</v>
      </c>
      <c r="B2425" s="84" t="s">
        <v>396</v>
      </c>
      <c r="C2425" s="84">
        <v>21</v>
      </c>
      <c r="D2425" s="84">
        <v>24</v>
      </c>
      <c r="E2425" s="85">
        <v>24433.439999999999</v>
      </c>
      <c r="F2425" s="85">
        <v>26351.86</v>
      </c>
      <c r="G2425" s="85">
        <v>1918.42</v>
      </c>
    </row>
    <row r="2426" spans="1:7" x14ac:dyDescent="0.3">
      <c r="A2426" s="84">
        <v>2026</v>
      </c>
      <c r="B2426" s="84" t="s">
        <v>396</v>
      </c>
      <c r="C2426" s="84">
        <v>21</v>
      </c>
      <c r="D2426" s="84">
        <v>25</v>
      </c>
      <c r="E2426" s="85">
        <v>24433.439999999999</v>
      </c>
      <c r="F2426" s="85">
        <v>26991.94</v>
      </c>
      <c r="G2426" s="85">
        <v>2558.5</v>
      </c>
    </row>
    <row r="2427" spans="1:7" x14ac:dyDescent="0.3">
      <c r="A2427" s="84">
        <v>2026</v>
      </c>
      <c r="B2427" s="84" t="s">
        <v>396</v>
      </c>
      <c r="C2427" s="84">
        <v>21</v>
      </c>
      <c r="D2427" s="84">
        <v>26</v>
      </c>
      <c r="E2427" s="85">
        <v>24433.439999999999</v>
      </c>
      <c r="F2427" s="85">
        <v>28371.22</v>
      </c>
      <c r="G2427" s="85">
        <v>3937.78</v>
      </c>
    </row>
    <row r="2428" spans="1:7" x14ac:dyDescent="0.3">
      <c r="A2428" s="84">
        <v>2026</v>
      </c>
      <c r="B2428" s="84" t="s">
        <v>396</v>
      </c>
      <c r="C2428" s="84">
        <v>21</v>
      </c>
      <c r="D2428" s="84">
        <v>27</v>
      </c>
      <c r="E2428" s="85">
        <v>24433.439999999999</v>
      </c>
      <c r="F2428" s="85">
        <v>30080.48</v>
      </c>
      <c r="G2428" s="85">
        <v>5647.04</v>
      </c>
    </row>
    <row r="2429" spans="1:7" x14ac:dyDescent="0.3">
      <c r="A2429" s="84">
        <v>2026</v>
      </c>
      <c r="B2429" s="84" t="s">
        <v>396</v>
      </c>
      <c r="C2429" s="84">
        <v>21</v>
      </c>
      <c r="D2429" s="84">
        <v>28</v>
      </c>
      <c r="E2429" s="85">
        <v>24433.439999999999</v>
      </c>
      <c r="F2429" s="85">
        <v>30720.98</v>
      </c>
      <c r="G2429" s="85">
        <v>6287.54</v>
      </c>
    </row>
    <row r="2430" spans="1:7" x14ac:dyDescent="0.3">
      <c r="A2430" s="84">
        <v>2026</v>
      </c>
      <c r="B2430" s="84" t="s">
        <v>396</v>
      </c>
      <c r="C2430" s="84">
        <v>21</v>
      </c>
      <c r="D2430" s="84">
        <v>29</v>
      </c>
      <c r="E2430" s="85">
        <v>24433.439999999999</v>
      </c>
      <c r="F2430" s="85">
        <v>31360.36</v>
      </c>
      <c r="G2430" s="85">
        <v>6926.92</v>
      </c>
    </row>
    <row r="2431" spans="1:7" x14ac:dyDescent="0.3">
      <c r="A2431" s="84">
        <v>2026</v>
      </c>
      <c r="B2431" s="84" t="s">
        <v>396</v>
      </c>
      <c r="C2431" s="84">
        <v>21</v>
      </c>
      <c r="D2431" s="84">
        <v>30</v>
      </c>
      <c r="E2431" s="85">
        <v>24433.439999999999</v>
      </c>
      <c r="F2431" s="85">
        <v>33108.68</v>
      </c>
      <c r="G2431" s="85">
        <v>8675.24</v>
      </c>
    </row>
    <row r="2432" spans="1:7" x14ac:dyDescent="0.3">
      <c r="A2432" s="84">
        <v>2026</v>
      </c>
      <c r="B2432" s="84" t="s">
        <v>396</v>
      </c>
      <c r="C2432" s="84">
        <v>22</v>
      </c>
      <c r="D2432" s="84">
        <v>1</v>
      </c>
      <c r="E2432" s="85">
        <v>25072.12</v>
      </c>
      <c r="F2432" s="85">
        <v>17751.240000000002</v>
      </c>
      <c r="G2432" s="85">
        <v>-7320.88</v>
      </c>
    </row>
    <row r="2433" spans="1:7" x14ac:dyDescent="0.3">
      <c r="A2433" s="84">
        <v>2026</v>
      </c>
      <c r="B2433" s="84" t="s">
        <v>396</v>
      </c>
      <c r="C2433" s="84">
        <v>22</v>
      </c>
      <c r="D2433" s="84">
        <v>2</v>
      </c>
      <c r="E2433" s="85">
        <v>25072.12</v>
      </c>
      <c r="F2433" s="85">
        <v>18045.66</v>
      </c>
      <c r="G2433" s="85">
        <v>-7026.46</v>
      </c>
    </row>
    <row r="2434" spans="1:7" x14ac:dyDescent="0.3">
      <c r="A2434" s="84">
        <v>2026</v>
      </c>
      <c r="B2434" s="84" t="s">
        <v>396</v>
      </c>
      <c r="C2434" s="84">
        <v>22</v>
      </c>
      <c r="D2434" s="84">
        <v>3</v>
      </c>
      <c r="E2434" s="85">
        <v>25072.12</v>
      </c>
      <c r="F2434" s="85">
        <v>18340.64</v>
      </c>
      <c r="G2434" s="85">
        <v>-6731.48</v>
      </c>
    </row>
    <row r="2435" spans="1:7" x14ac:dyDescent="0.3">
      <c r="A2435" s="84">
        <v>2026</v>
      </c>
      <c r="B2435" s="84" t="s">
        <v>396</v>
      </c>
      <c r="C2435" s="84">
        <v>22</v>
      </c>
      <c r="D2435" s="84">
        <v>4</v>
      </c>
      <c r="E2435" s="85">
        <v>25072.12</v>
      </c>
      <c r="F2435" s="85">
        <v>18634.78</v>
      </c>
      <c r="G2435" s="85">
        <v>-6437.34</v>
      </c>
    </row>
    <row r="2436" spans="1:7" x14ac:dyDescent="0.3">
      <c r="A2436" s="84">
        <v>2026</v>
      </c>
      <c r="B2436" s="84" t="s">
        <v>396</v>
      </c>
      <c r="C2436" s="84">
        <v>22</v>
      </c>
      <c r="D2436" s="84">
        <v>5</v>
      </c>
      <c r="E2436" s="85">
        <v>25072.12</v>
      </c>
      <c r="F2436" s="85">
        <v>18929.48</v>
      </c>
      <c r="G2436" s="85">
        <v>-6142.64</v>
      </c>
    </row>
    <row r="2437" spans="1:7" x14ac:dyDescent="0.3">
      <c r="A2437" s="84">
        <v>2026</v>
      </c>
      <c r="B2437" s="84" t="s">
        <v>396</v>
      </c>
      <c r="C2437" s="84">
        <v>22</v>
      </c>
      <c r="D2437" s="84">
        <v>6</v>
      </c>
      <c r="E2437" s="85">
        <v>25072.12</v>
      </c>
      <c r="F2437" s="85">
        <v>19126.18</v>
      </c>
      <c r="G2437" s="85">
        <v>-5945.94</v>
      </c>
    </row>
    <row r="2438" spans="1:7" x14ac:dyDescent="0.3">
      <c r="A2438" s="84">
        <v>2026</v>
      </c>
      <c r="B2438" s="84" t="s">
        <v>396</v>
      </c>
      <c r="C2438" s="84">
        <v>22</v>
      </c>
      <c r="D2438" s="84">
        <v>7</v>
      </c>
      <c r="E2438" s="85">
        <v>25072.12</v>
      </c>
      <c r="F2438" s="85">
        <v>19322.38</v>
      </c>
      <c r="G2438" s="85">
        <v>-5749.74</v>
      </c>
    </row>
    <row r="2439" spans="1:7" x14ac:dyDescent="0.3">
      <c r="A2439" s="84">
        <v>2026</v>
      </c>
      <c r="B2439" s="84" t="s">
        <v>396</v>
      </c>
      <c r="C2439" s="84">
        <v>22</v>
      </c>
      <c r="D2439" s="84">
        <v>8</v>
      </c>
      <c r="E2439" s="85">
        <v>25072.12</v>
      </c>
      <c r="F2439" s="85">
        <v>19519.16</v>
      </c>
      <c r="G2439" s="85">
        <v>-5552.96</v>
      </c>
    </row>
    <row r="2440" spans="1:7" x14ac:dyDescent="0.3">
      <c r="A2440" s="84">
        <v>2026</v>
      </c>
      <c r="B2440" s="84" t="s">
        <v>396</v>
      </c>
      <c r="C2440" s="84">
        <v>22</v>
      </c>
      <c r="D2440" s="84">
        <v>9</v>
      </c>
      <c r="E2440" s="85">
        <v>25072.12</v>
      </c>
      <c r="F2440" s="85">
        <v>19716.28</v>
      </c>
      <c r="G2440" s="85">
        <v>-5355.84</v>
      </c>
    </row>
    <row r="2441" spans="1:7" x14ac:dyDescent="0.3">
      <c r="A2441" s="84">
        <v>2026</v>
      </c>
      <c r="B2441" s="84" t="s">
        <v>396</v>
      </c>
      <c r="C2441" s="84">
        <v>22</v>
      </c>
      <c r="D2441" s="84">
        <v>10</v>
      </c>
      <c r="E2441" s="85">
        <v>25072.12</v>
      </c>
      <c r="F2441" s="85">
        <v>19912.7</v>
      </c>
      <c r="G2441" s="85">
        <v>-5159.42</v>
      </c>
    </row>
    <row r="2442" spans="1:7" x14ac:dyDescent="0.3">
      <c r="A2442" s="84">
        <v>2026</v>
      </c>
      <c r="B2442" s="84" t="s">
        <v>396</v>
      </c>
      <c r="C2442" s="84">
        <v>22</v>
      </c>
      <c r="D2442" s="84">
        <v>11</v>
      </c>
      <c r="E2442" s="85">
        <v>25072.12</v>
      </c>
      <c r="F2442" s="85">
        <v>20305.259999999998</v>
      </c>
      <c r="G2442" s="85">
        <v>-4766.8599999999997</v>
      </c>
    </row>
    <row r="2443" spans="1:7" x14ac:dyDescent="0.3">
      <c r="A2443" s="84">
        <v>2026</v>
      </c>
      <c r="B2443" s="84" t="s">
        <v>396</v>
      </c>
      <c r="C2443" s="84">
        <v>22</v>
      </c>
      <c r="D2443" s="84">
        <v>12</v>
      </c>
      <c r="E2443" s="85">
        <v>25072.12</v>
      </c>
      <c r="F2443" s="85">
        <v>20698.8</v>
      </c>
      <c r="G2443" s="85">
        <v>-4373.32</v>
      </c>
    </row>
    <row r="2444" spans="1:7" x14ac:dyDescent="0.3">
      <c r="A2444" s="84">
        <v>2026</v>
      </c>
      <c r="B2444" s="84" t="s">
        <v>396</v>
      </c>
      <c r="C2444" s="84">
        <v>22</v>
      </c>
      <c r="D2444" s="84">
        <v>13</v>
      </c>
      <c r="E2444" s="85">
        <v>25072.12</v>
      </c>
      <c r="F2444" s="85">
        <v>21092.06</v>
      </c>
      <c r="G2444" s="85">
        <v>-3980.06</v>
      </c>
    </row>
    <row r="2445" spans="1:7" x14ac:dyDescent="0.3">
      <c r="A2445" s="84">
        <v>2026</v>
      </c>
      <c r="B2445" s="84" t="s">
        <v>396</v>
      </c>
      <c r="C2445" s="84">
        <v>22</v>
      </c>
      <c r="D2445" s="84">
        <v>14</v>
      </c>
      <c r="E2445" s="85">
        <v>25072.12</v>
      </c>
      <c r="F2445" s="85">
        <v>21485.88</v>
      </c>
      <c r="G2445" s="85">
        <v>-3586.24</v>
      </c>
    </row>
    <row r="2446" spans="1:7" x14ac:dyDescent="0.3">
      <c r="A2446" s="84">
        <v>2026</v>
      </c>
      <c r="B2446" s="84" t="s">
        <v>396</v>
      </c>
      <c r="C2446" s="84">
        <v>22</v>
      </c>
      <c r="D2446" s="84">
        <v>15</v>
      </c>
      <c r="E2446" s="85">
        <v>25072.12</v>
      </c>
      <c r="F2446" s="85">
        <v>21878.16</v>
      </c>
      <c r="G2446" s="85">
        <v>-3193.96</v>
      </c>
    </row>
    <row r="2447" spans="1:7" x14ac:dyDescent="0.3">
      <c r="A2447" s="84">
        <v>2026</v>
      </c>
      <c r="B2447" s="84" t="s">
        <v>396</v>
      </c>
      <c r="C2447" s="84">
        <v>22</v>
      </c>
      <c r="D2447" s="84">
        <v>16</v>
      </c>
      <c r="E2447" s="85">
        <v>25072.12</v>
      </c>
      <c r="F2447" s="85">
        <v>22272.12</v>
      </c>
      <c r="G2447" s="85">
        <v>-2800</v>
      </c>
    </row>
    <row r="2448" spans="1:7" x14ac:dyDescent="0.3">
      <c r="A2448" s="84">
        <v>2026</v>
      </c>
      <c r="B2448" s="84" t="s">
        <v>396</v>
      </c>
      <c r="C2448" s="84">
        <v>22</v>
      </c>
      <c r="D2448" s="84">
        <v>17</v>
      </c>
      <c r="E2448" s="85">
        <v>25072.12</v>
      </c>
      <c r="F2448" s="85">
        <v>22664.400000000001</v>
      </c>
      <c r="G2448" s="85">
        <v>-2407.7199999999998</v>
      </c>
    </row>
    <row r="2449" spans="1:7" x14ac:dyDescent="0.3">
      <c r="A2449" s="84">
        <v>2026</v>
      </c>
      <c r="B2449" s="84" t="s">
        <v>396</v>
      </c>
      <c r="C2449" s="84">
        <v>22</v>
      </c>
      <c r="D2449" s="84">
        <v>18</v>
      </c>
      <c r="E2449" s="85">
        <v>25072.12</v>
      </c>
      <c r="F2449" s="85">
        <v>23057.94</v>
      </c>
      <c r="G2449" s="85">
        <v>-2014.18</v>
      </c>
    </row>
    <row r="2450" spans="1:7" x14ac:dyDescent="0.3">
      <c r="A2450" s="84">
        <v>2026</v>
      </c>
      <c r="B2450" s="84" t="s">
        <v>396</v>
      </c>
      <c r="C2450" s="84">
        <v>22</v>
      </c>
      <c r="D2450" s="84">
        <v>19</v>
      </c>
      <c r="E2450" s="85">
        <v>25072.12</v>
      </c>
      <c r="F2450" s="85">
        <v>23451.06</v>
      </c>
      <c r="G2450" s="85">
        <v>-1621.06</v>
      </c>
    </row>
    <row r="2451" spans="1:7" x14ac:dyDescent="0.3">
      <c r="A2451" s="84">
        <v>2026</v>
      </c>
      <c r="B2451" s="84" t="s">
        <v>396</v>
      </c>
      <c r="C2451" s="84">
        <v>22</v>
      </c>
      <c r="D2451" s="84">
        <v>20</v>
      </c>
      <c r="E2451" s="85">
        <v>25072.12</v>
      </c>
      <c r="F2451" s="85">
        <v>23844.04</v>
      </c>
      <c r="G2451" s="85">
        <v>-1228.08</v>
      </c>
    </row>
    <row r="2452" spans="1:7" x14ac:dyDescent="0.3">
      <c r="A2452" s="84">
        <v>2026</v>
      </c>
      <c r="B2452" s="84" t="s">
        <v>396</v>
      </c>
      <c r="C2452" s="84">
        <v>22</v>
      </c>
      <c r="D2452" s="84">
        <v>21</v>
      </c>
      <c r="E2452" s="85">
        <v>25072.12</v>
      </c>
      <c r="F2452" s="85">
        <v>24433.439999999999</v>
      </c>
      <c r="G2452" s="85">
        <v>-638.67999999999995</v>
      </c>
    </row>
    <row r="2453" spans="1:7" x14ac:dyDescent="0.3">
      <c r="A2453" s="84">
        <v>2026</v>
      </c>
      <c r="B2453" s="84" t="s">
        <v>396</v>
      </c>
      <c r="C2453" s="84">
        <v>22</v>
      </c>
      <c r="D2453" s="84">
        <v>22</v>
      </c>
      <c r="E2453" s="85">
        <v>25072.12</v>
      </c>
      <c r="F2453" s="85">
        <v>25072.12</v>
      </c>
      <c r="G2453" s="85">
        <v>0</v>
      </c>
    </row>
    <row r="2454" spans="1:7" x14ac:dyDescent="0.3">
      <c r="A2454" s="84">
        <v>2026</v>
      </c>
      <c r="B2454" s="84" t="s">
        <v>396</v>
      </c>
      <c r="C2454" s="84">
        <v>22</v>
      </c>
      <c r="D2454" s="84">
        <v>23</v>
      </c>
      <c r="E2454" s="85">
        <v>25072.12</v>
      </c>
      <c r="F2454" s="85">
        <v>25712.62</v>
      </c>
      <c r="G2454" s="85">
        <v>640.5</v>
      </c>
    </row>
    <row r="2455" spans="1:7" x14ac:dyDescent="0.3">
      <c r="A2455" s="84">
        <v>2026</v>
      </c>
      <c r="B2455" s="84" t="s">
        <v>396</v>
      </c>
      <c r="C2455" s="84">
        <v>22</v>
      </c>
      <c r="D2455" s="84">
        <v>24</v>
      </c>
      <c r="E2455" s="85">
        <v>25072.12</v>
      </c>
      <c r="F2455" s="85">
        <v>26351.86</v>
      </c>
      <c r="G2455" s="85">
        <v>1279.74</v>
      </c>
    </row>
    <row r="2456" spans="1:7" x14ac:dyDescent="0.3">
      <c r="A2456" s="84">
        <v>2026</v>
      </c>
      <c r="B2456" s="84" t="s">
        <v>396</v>
      </c>
      <c r="C2456" s="84">
        <v>22</v>
      </c>
      <c r="D2456" s="84">
        <v>25</v>
      </c>
      <c r="E2456" s="85">
        <v>25072.12</v>
      </c>
      <c r="F2456" s="85">
        <v>26991.94</v>
      </c>
      <c r="G2456" s="85">
        <v>1919.82</v>
      </c>
    </row>
    <row r="2457" spans="1:7" x14ac:dyDescent="0.3">
      <c r="A2457" s="84">
        <v>2026</v>
      </c>
      <c r="B2457" s="84" t="s">
        <v>396</v>
      </c>
      <c r="C2457" s="84">
        <v>22</v>
      </c>
      <c r="D2457" s="84">
        <v>26</v>
      </c>
      <c r="E2457" s="85">
        <v>25072.12</v>
      </c>
      <c r="F2457" s="85">
        <v>28371.22</v>
      </c>
      <c r="G2457" s="85">
        <v>3299.1</v>
      </c>
    </row>
    <row r="2458" spans="1:7" x14ac:dyDescent="0.3">
      <c r="A2458" s="84">
        <v>2026</v>
      </c>
      <c r="B2458" s="84" t="s">
        <v>396</v>
      </c>
      <c r="C2458" s="84">
        <v>22</v>
      </c>
      <c r="D2458" s="84">
        <v>27</v>
      </c>
      <c r="E2458" s="85">
        <v>25072.12</v>
      </c>
      <c r="F2458" s="85">
        <v>30080.48</v>
      </c>
      <c r="G2458" s="85">
        <v>5008.3599999999997</v>
      </c>
    </row>
    <row r="2459" spans="1:7" x14ac:dyDescent="0.3">
      <c r="A2459" s="84">
        <v>2026</v>
      </c>
      <c r="B2459" s="84" t="s">
        <v>396</v>
      </c>
      <c r="C2459" s="84">
        <v>22</v>
      </c>
      <c r="D2459" s="84">
        <v>28</v>
      </c>
      <c r="E2459" s="85">
        <v>25072.12</v>
      </c>
      <c r="F2459" s="85">
        <v>30720.98</v>
      </c>
      <c r="G2459" s="85">
        <v>5648.86</v>
      </c>
    </row>
    <row r="2460" spans="1:7" x14ac:dyDescent="0.3">
      <c r="A2460" s="84">
        <v>2026</v>
      </c>
      <c r="B2460" s="84" t="s">
        <v>396</v>
      </c>
      <c r="C2460" s="84">
        <v>22</v>
      </c>
      <c r="D2460" s="84">
        <v>29</v>
      </c>
      <c r="E2460" s="85">
        <v>25072.12</v>
      </c>
      <c r="F2460" s="85">
        <v>31360.36</v>
      </c>
      <c r="G2460" s="85">
        <v>6288.24</v>
      </c>
    </row>
    <row r="2461" spans="1:7" x14ac:dyDescent="0.3">
      <c r="A2461" s="84">
        <v>2026</v>
      </c>
      <c r="B2461" s="84" t="s">
        <v>396</v>
      </c>
      <c r="C2461" s="84">
        <v>22</v>
      </c>
      <c r="D2461" s="84">
        <v>30</v>
      </c>
      <c r="E2461" s="85">
        <v>25072.12</v>
      </c>
      <c r="F2461" s="85">
        <v>33108.68</v>
      </c>
      <c r="G2461" s="85">
        <v>8036.56</v>
      </c>
    </row>
    <row r="2462" spans="1:7" x14ac:dyDescent="0.3">
      <c r="A2462" s="84">
        <v>2026</v>
      </c>
      <c r="B2462" s="84" t="s">
        <v>396</v>
      </c>
      <c r="C2462" s="84">
        <v>23</v>
      </c>
      <c r="D2462" s="84">
        <v>1</v>
      </c>
      <c r="E2462" s="85">
        <v>25712.62</v>
      </c>
      <c r="F2462" s="85">
        <v>17751.240000000002</v>
      </c>
      <c r="G2462" s="85">
        <v>-7961.38</v>
      </c>
    </row>
    <row r="2463" spans="1:7" x14ac:dyDescent="0.3">
      <c r="A2463" s="84">
        <v>2026</v>
      </c>
      <c r="B2463" s="84" t="s">
        <v>396</v>
      </c>
      <c r="C2463" s="84">
        <v>23</v>
      </c>
      <c r="D2463" s="84">
        <v>2</v>
      </c>
      <c r="E2463" s="85">
        <v>25712.62</v>
      </c>
      <c r="F2463" s="85">
        <v>18045.66</v>
      </c>
      <c r="G2463" s="85">
        <v>-7666.96</v>
      </c>
    </row>
    <row r="2464" spans="1:7" x14ac:dyDescent="0.3">
      <c r="A2464" s="84">
        <v>2026</v>
      </c>
      <c r="B2464" s="84" t="s">
        <v>396</v>
      </c>
      <c r="C2464" s="84">
        <v>23</v>
      </c>
      <c r="D2464" s="84">
        <v>3</v>
      </c>
      <c r="E2464" s="85">
        <v>25712.62</v>
      </c>
      <c r="F2464" s="85">
        <v>18340.64</v>
      </c>
      <c r="G2464" s="85">
        <v>-7371.98</v>
      </c>
    </row>
    <row r="2465" spans="1:7" x14ac:dyDescent="0.3">
      <c r="A2465" s="84">
        <v>2026</v>
      </c>
      <c r="B2465" s="84" t="s">
        <v>396</v>
      </c>
      <c r="C2465" s="84">
        <v>23</v>
      </c>
      <c r="D2465" s="84">
        <v>4</v>
      </c>
      <c r="E2465" s="85">
        <v>25712.62</v>
      </c>
      <c r="F2465" s="85">
        <v>18634.78</v>
      </c>
      <c r="G2465" s="85">
        <v>-7077.84</v>
      </c>
    </row>
    <row r="2466" spans="1:7" x14ac:dyDescent="0.3">
      <c r="A2466" s="84">
        <v>2026</v>
      </c>
      <c r="B2466" s="84" t="s">
        <v>396</v>
      </c>
      <c r="C2466" s="84">
        <v>23</v>
      </c>
      <c r="D2466" s="84">
        <v>5</v>
      </c>
      <c r="E2466" s="85">
        <v>25712.62</v>
      </c>
      <c r="F2466" s="85">
        <v>18929.48</v>
      </c>
      <c r="G2466" s="85">
        <v>-6783.14</v>
      </c>
    </row>
    <row r="2467" spans="1:7" x14ac:dyDescent="0.3">
      <c r="A2467" s="84">
        <v>2026</v>
      </c>
      <c r="B2467" s="84" t="s">
        <v>396</v>
      </c>
      <c r="C2467" s="84">
        <v>23</v>
      </c>
      <c r="D2467" s="84">
        <v>6</v>
      </c>
      <c r="E2467" s="85">
        <v>25712.62</v>
      </c>
      <c r="F2467" s="85">
        <v>19126.18</v>
      </c>
      <c r="G2467" s="85">
        <v>-6586.44</v>
      </c>
    </row>
    <row r="2468" spans="1:7" x14ac:dyDescent="0.3">
      <c r="A2468" s="84">
        <v>2026</v>
      </c>
      <c r="B2468" s="84" t="s">
        <v>396</v>
      </c>
      <c r="C2468" s="84">
        <v>23</v>
      </c>
      <c r="D2468" s="84">
        <v>7</v>
      </c>
      <c r="E2468" s="85">
        <v>25712.62</v>
      </c>
      <c r="F2468" s="85">
        <v>19322.38</v>
      </c>
      <c r="G2468" s="85">
        <v>-6390.24</v>
      </c>
    </row>
    <row r="2469" spans="1:7" x14ac:dyDescent="0.3">
      <c r="A2469" s="84">
        <v>2026</v>
      </c>
      <c r="B2469" s="84" t="s">
        <v>396</v>
      </c>
      <c r="C2469" s="84">
        <v>23</v>
      </c>
      <c r="D2469" s="84">
        <v>8</v>
      </c>
      <c r="E2469" s="85">
        <v>25712.62</v>
      </c>
      <c r="F2469" s="85">
        <v>19519.16</v>
      </c>
      <c r="G2469" s="85">
        <v>-6193.46</v>
      </c>
    </row>
    <row r="2470" spans="1:7" x14ac:dyDescent="0.3">
      <c r="A2470" s="84">
        <v>2026</v>
      </c>
      <c r="B2470" s="84" t="s">
        <v>396</v>
      </c>
      <c r="C2470" s="84">
        <v>23</v>
      </c>
      <c r="D2470" s="84">
        <v>9</v>
      </c>
      <c r="E2470" s="85">
        <v>25712.62</v>
      </c>
      <c r="F2470" s="85">
        <v>19716.28</v>
      </c>
      <c r="G2470" s="85">
        <v>-5996.34</v>
      </c>
    </row>
    <row r="2471" spans="1:7" x14ac:dyDescent="0.3">
      <c r="A2471" s="84">
        <v>2026</v>
      </c>
      <c r="B2471" s="84" t="s">
        <v>396</v>
      </c>
      <c r="C2471" s="84">
        <v>23</v>
      </c>
      <c r="D2471" s="84">
        <v>10</v>
      </c>
      <c r="E2471" s="85">
        <v>25712.62</v>
      </c>
      <c r="F2471" s="85">
        <v>19912.7</v>
      </c>
      <c r="G2471" s="85">
        <v>-5799.92</v>
      </c>
    </row>
    <row r="2472" spans="1:7" x14ac:dyDescent="0.3">
      <c r="A2472" s="84">
        <v>2026</v>
      </c>
      <c r="B2472" s="84" t="s">
        <v>396</v>
      </c>
      <c r="C2472" s="84">
        <v>23</v>
      </c>
      <c r="D2472" s="84">
        <v>11</v>
      </c>
      <c r="E2472" s="85">
        <v>25712.62</v>
      </c>
      <c r="F2472" s="85">
        <v>20305.259999999998</v>
      </c>
      <c r="G2472" s="85">
        <v>-5407.36</v>
      </c>
    </row>
    <row r="2473" spans="1:7" x14ac:dyDescent="0.3">
      <c r="A2473" s="84">
        <v>2026</v>
      </c>
      <c r="B2473" s="84" t="s">
        <v>396</v>
      </c>
      <c r="C2473" s="84">
        <v>23</v>
      </c>
      <c r="D2473" s="84">
        <v>12</v>
      </c>
      <c r="E2473" s="85">
        <v>25712.62</v>
      </c>
      <c r="F2473" s="85">
        <v>20698.8</v>
      </c>
      <c r="G2473" s="85">
        <v>-5013.82</v>
      </c>
    </row>
    <row r="2474" spans="1:7" x14ac:dyDescent="0.3">
      <c r="A2474" s="84">
        <v>2026</v>
      </c>
      <c r="B2474" s="84" t="s">
        <v>396</v>
      </c>
      <c r="C2474" s="84">
        <v>23</v>
      </c>
      <c r="D2474" s="84">
        <v>13</v>
      </c>
      <c r="E2474" s="85">
        <v>25712.62</v>
      </c>
      <c r="F2474" s="85">
        <v>21092.06</v>
      </c>
      <c r="G2474" s="85">
        <v>-4620.5600000000004</v>
      </c>
    </row>
    <row r="2475" spans="1:7" x14ac:dyDescent="0.3">
      <c r="A2475" s="84">
        <v>2026</v>
      </c>
      <c r="B2475" s="84" t="s">
        <v>396</v>
      </c>
      <c r="C2475" s="84">
        <v>23</v>
      </c>
      <c r="D2475" s="84">
        <v>14</v>
      </c>
      <c r="E2475" s="85">
        <v>25712.62</v>
      </c>
      <c r="F2475" s="85">
        <v>21485.88</v>
      </c>
      <c r="G2475" s="85">
        <v>-4226.74</v>
      </c>
    </row>
    <row r="2476" spans="1:7" x14ac:dyDescent="0.3">
      <c r="A2476" s="84">
        <v>2026</v>
      </c>
      <c r="B2476" s="84" t="s">
        <v>396</v>
      </c>
      <c r="C2476" s="84">
        <v>23</v>
      </c>
      <c r="D2476" s="84">
        <v>15</v>
      </c>
      <c r="E2476" s="85">
        <v>25712.62</v>
      </c>
      <c r="F2476" s="85">
        <v>21878.16</v>
      </c>
      <c r="G2476" s="85">
        <v>-3834.46</v>
      </c>
    </row>
    <row r="2477" spans="1:7" x14ac:dyDescent="0.3">
      <c r="A2477" s="84">
        <v>2026</v>
      </c>
      <c r="B2477" s="84" t="s">
        <v>396</v>
      </c>
      <c r="C2477" s="84">
        <v>23</v>
      </c>
      <c r="D2477" s="84">
        <v>16</v>
      </c>
      <c r="E2477" s="85">
        <v>25712.62</v>
      </c>
      <c r="F2477" s="85">
        <v>22272.12</v>
      </c>
      <c r="G2477" s="85">
        <v>-3440.5</v>
      </c>
    </row>
    <row r="2478" spans="1:7" x14ac:dyDescent="0.3">
      <c r="A2478" s="84">
        <v>2026</v>
      </c>
      <c r="B2478" s="84" t="s">
        <v>396</v>
      </c>
      <c r="C2478" s="84">
        <v>23</v>
      </c>
      <c r="D2478" s="84">
        <v>17</v>
      </c>
      <c r="E2478" s="85">
        <v>25712.62</v>
      </c>
      <c r="F2478" s="85">
        <v>22664.400000000001</v>
      </c>
      <c r="G2478" s="85">
        <v>-3048.22</v>
      </c>
    </row>
    <row r="2479" spans="1:7" x14ac:dyDescent="0.3">
      <c r="A2479" s="84">
        <v>2026</v>
      </c>
      <c r="B2479" s="84" t="s">
        <v>396</v>
      </c>
      <c r="C2479" s="84">
        <v>23</v>
      </c>
      <c r="D2479" s="84">
        <v>18</v>
      </c>
      <c r="E2479" s="85">
        <v>25712.62</v>
      </c>
      <c r="F2479" s="85">
        <v>23057.94</v>
      </c>
      <c r="G2479" s="85">
        <v>-2654.68</v>
      </c>
    </row>
    <row r="2480" spans="1:7" x14ac:dyDescent="0.3">
      <c r="A2480" s="84">
        <v>2026</v>
      </c>
      <c r="B2480" s="84" t="s">
        <v>396</v>
      </c>
      <c r="C2480" s="84">
        <v>23</v>
      </c>
      <c r="D2480" s="84">
        <v>19</v>
      </c>
      <c r="E2480" s="85">
        <v>25712.62</v>
      </c>
      <c r="F2480" s="85">
        <v>23451.06</v>
      </c>
      <c r="G2480" s="85">
        <v>-2261.56</v>
      </c>
    </row>
    <row r="2481" spans="1:7" x14ac:dyDescent="0.3">
      <c r="A2481" s="84">
        <v>2026</v>
      </c>
      <c r="B2481" s="84" t="s">
        <v>396</v>
      </c>
      <c r="C2481" s="84">
        <v>23</v>
      </c>
      <c r="D2481" s="84">
        <v>20</v>
      </c>
      <c r="E2481" s="85">
        <v>25712.62</v>
      </c>
      <c r="F2481" s="85">
        <v>23844.04</v>
      </c>
      <c r="G2481" s="85">
        <v>-1868.58</v>
      </c>
    </row>
    <row r="2482" spans="1:7" x14ac:dyDescent="0.3">
      <c r="A2482" s="84">
        <v>2026</v>
      </c>
      <c r="B2482" s="84" t="s">
        <v>396</v>
      </c>
      <c r="C2482" s="84">
        <v>23</v>
      </c>
      <c r="D2482" s="84">
        <v>21</v>
      </c>
      <c r="E2482" s="85">
        <v>25712.62</v>
      </c>
      <c r="F2482" s="85">
        <v>24433.439999999999</v>
      </c>
      <c r="G2482" s="85">
        <v>-1279.18</v>
      </c>
    </row>
    <row r="2483" spans="1:7" x14ac:dyDescent="0.3">
      <c r="A2483" s="84">
        <v>2026</v>
      </c>
      <c r="B2483" s="84" t="s">
        <v>396</v>
      </c>
      <c r="C2483" s="84">
        <v>23</v>
      </c>
      <c r="D2483" s="84">
        <v>22</v>
      </c>
      <c r="E2483" s="85">
        <v>25712.62</v>
      </c>
      <c r="F2483" s="85">
        <v>25072.12</v>
      </c>
      <c r="G2483" s="85">
        <v>-640.5</v>
      </c>
    </row>
    <row r="2484" spans="1:7" x14ac:dyDescent="0.3">
      <c r="A2484" s="84">
        <v>2026</v>
      </c>
      <c r="B2484" s="84" t="s">
        <v>396</v>
      </c>
      <c r="C2484" s="84">
        <v>23</v>
      </c>
      <c r="D2484" s="84">
        <v>23</v>
      </c>
      <c r="E2484" s="85">
        <v>25712.62</v>
      </c>
      <c r="F2484" s="85">
        <v>25712.62</v>
      </c>
      <c r="G2484" s="85">
        <v>0</v>
      </c>
    </row>
    <row r="2485" spans="1:7" x14ac:dyDescent="0.3">
      <c r="A2485" s="84">
        <v>2026</v>
      </c>
      <c r="B2485" s="84" t="s">
        <v>396</v>
      </c>
      <c r="C2485" s="84">
        <v>23</v>
      </c>
      <c r="D2485" s="84">
        <v>24</v>
      </c>
      <c r="E2485" s="85">
        <v>25712.62</v>
      </c>
      <c r="F2485" s="85">
        <v>26351.86</v>
      </c>
      <c r="G2485" s="85">
        <v>639.24</v>
      </c>
    </row>
    <row r="2486" spans="1:7" x14ac:dyDescent="0.3">
      <c r="A2486" s="84">
        <v>2026</v>
      </c>
      <c r="B2486" s="84" t="s">
        <v>396</v>
      </c>
      <c r="C2486" s="84">
        <v>23</v>
      </c>
      <c r="D2486" s="84">
        <v>25</v>
      </c>
      <c r="E2486" s="85">
        <v>25712.62</v>
      </c>
      <c r="F2486" s="85">
        <v>26991.94</v>
      </c>
      <c r="G2486" s="85">
        <v>1279.32</v>
      </c>
    </row>
    <row r="2487" spans="1:7" x14ac:dyDescent="0.3">
      <c r="A2487" s="84">
        <v>2026</v>
      </c>
      <c r="B2487" s="84" t="s">
        <v>396</v>
      </c>
      <c r="C2487" s="84">
        <v>23</v>
      </c>
      <c r="D2487" s="84">
        <v>26</v>
      </c>
      <c r="E2487" s="85">
        <v>25712.62</v>
      </c>
      <c r="F2487" s="85">
        <v>28371.22</v>
      </c>
      <c r="G2487" s="85">
        <v>2658.6</v>
      </c>
    </row>
    <row r="2488" spans="1:7" x14ac:dyDescent="0.3">
      <c r="A2488" s="84">
        <v>2026</v>
      </c>
      <c r="B2488" s="84" t="s">
        <v>396</v>
      </c>
      <c r="C2488" s="84">
        <v>23</v>
      </c>
      <c r="D2488" s="84">
        <v>27</v>
      </c>
      <c r="E2488" s="85">
        <v>25712.62</v>
      </c>
      <c r="F2488" s="85">
        <v>30080.48</v>
      </c>
      <c r="G2488" s="85">
        <v>4367.8599999999997</v>
      </c>
    </row>
    <row r="2489" spans="1:7" x14ac:dyDescent="0.3">
      <c r="A2489" s="84">
        <v>2026</v>
      </c>
      <c r="B2489" s="84" t="s">
        <v>396</v>
      </c>
      <c r="C2489" s="84">
        <v>23</v>
      </c>
      <c r="D2489" s="84">
        <v>28</v>
      </c>
      <c r="E2489" s="85">
        <v>25712.62</v>
      </c>
      <c r="F2489" s="85">
        <v>30720.98</v>
      </c>
      <c r="G2489" s="85">
        <v>5008.3599999999997</v>
      </c>
    </row>
    <row r="2490" spans="1:7" x14ac:dyDescent="0.3">
      <c r="A2490" s="84">
        <v>2026</v>
      </c>
      <c r="B2490" s="84" t="s">
        <v>396</v>
      </c>
      <c r="C2490" s="84">
        <v>23</v>
      </c>
      <c r="D2490" s="84">
        <v>29</v>
      </c>
      <c r="E2490" s="85">
        <v>25712.62</v>
      </c>
      <c r="F2490" s="85">
        <v>31360.36</v>
      </c>
      <c r="G2490" s="85">
        <v>5647.74</v>
      </c>
    </row>
    <row r="2491" spans="1:7" x14ac:dyDescent="0.3">
      <c r="A2491" s="84">
        <v>2026</v>
      </c>
      <c r="B2491" s="84" t="s">
        <v>396</v>
      </c>
      <c r="C2491" s="84">
        <v>23</v>
      </c>
      <c r="D2491" s="84">
        <v>30</v>
      </c>
      <c r="E2491" s="85">
        <v>25712.62</v>
      </c>
      <c r="F2491" s="85">
        <v>33108.68</v>
      </c>
      <c r="G2491" s="85">
        <v>7396.06</v>
      </c>
    </row>
    <row r="2492" spans="1:7" x14ac:dyDescent="0.3">
      <c r="A2492" s="84">
        <v>2026</v>
      </c>
      <c r="B2492" s="84" t="s">
        <v>396</v>
      </c>
      <c r="C2492" s="84">
        <v>24</v>
      </c>
      <c r="D2492" s="84">
        <v>1</v>
      </c>
      <c r="E2492" s="85">
        <v>26351.86</v>
      </c>
      <c r="F2492" s="85">
        <v>17751.240000000002</v>
      </c>
      <c r="G2492" s="85">
        <v>-8600.6200000000008</v>
      </c>
    </row>
    <row r="2493" spans="1:7" x14ac:dyDescent="0.3">
      <c r="A2493" s="84">
        <v>2026</v>
      </c>
      <c r="B2493" s="84" t="s">
        <v>396</v>
      </c>
      <c r="C2493" s="84">
        <v>24</v>
      </c>
      <c r="D2493" s="84">
        <v>2</v>
      </c>
      <c r="E2493" s="85">
        <v>26351.86</v>
      </c>
      <c r="F2493" s="85">
        <v>18045.66</v>
      </c>
      <c r="G2493" s="85">
        <v>-8306.2000000000007</v>
      </c>
    </row>
    <row r="2494" spans="1:7" x14ac:dyDescent="0.3">
      <c r="A2494" s="84">
        <v>2026</v>
      </c>
      <c r="B2494" s="84" t="s">
        <v>396</v>
      </c>
      <c r="C2494" s="84">
        <v>24</v>
      </c>
      <c r="D2494" s="84">
        <v>3</v>
      </c>
      <c r="E2494" s="85">
        <v>26351.86</v>
      </c>
      <c r="F2494" s="85">
        <v>18340.64</v>
      </c>
      <c r="G2494" s="85">
        <v>-8011.22</v>
      </c>
    </row>
    <row r="2495" spans="1:7" x14ac:dyDescent="0.3">
      <c r="A2495" s="84">
        <v>2026</v>
      </c>
      <c r="B2495" s="84" t="s">
        <v>396</v>
      </c>
      <c r="C2495" s="84">
        <v>24</v>
      </c>
      <c r="D2495" s="84">
        <v>4</v>
      </c>
      <c r="E2495" s="85">
        <v>26351.86</v>
      </c>
      <c r="F2495" s="85">
        <v>18634.78</v>
      </c>
      <c r="G2495" s="85">
        <v>-7717.08</v>
      </c>
    </row>
    <row r="2496" spans="1:7" x14ac:dyDescent="0.3">
      <c r="A2496" s="84">
        <v>2026</v>
      </c>
      <c r="B2496" s="84" t="s">
        <v>396</v>
      </c>
      <c r="C2496" s="84">
        <v>24</v>
      </c>
      <c r="D2496" s="84">
        <v>5</v>
      </c>
      <c r="E2496" s="85">
        <v>26351.86</v>
      </c>
      <c r="F2496" s="85">
        <v>18929.48</v>
      </c>
      <c r="G2496" s="85">
        <v>-7422.38</v>
      </c>
    </row>
    <row r="2497" spans="1:7" x14ac:dyDescent="0.3">
      <c r="A2497" s="84">
        <v>2026</v>
      </c>
      <c r="B2497" s="84" t="s">
        <v>396</v>
      </c>
      <c r="C2497" s="84">
        <v>24</v>
      </c>
      <c r="D2497" s="84">
        <v>6</v>
      </c>
      <c r="E2497" s="85">
        <v>26351.86</v>
      </c>
      <c r="F2497" s="85">
        <v>19126.18</v>
      </c>
      <c r="G2497" s="85">
        <v>-7225.68</v>
      </c>
    </row>
    <row r="2498" spans="1:7" x14ac:dyDescent="0.3">
      <c r="A2498" s="84">
        <v>2026</v>
      </c>
      <c r="B2498" s="84" t="s">
        <v>396</v>
      </c>
      <c r="C2498" s="84">
        <v>24</v>
      </c>
      <c r="D2498" s="84">
        <v>7</v>
      </c>
      <c r="E2498" s="85">
        <v>26351.86</v>
      </c>
      <c r="F2498" s="85">
        <v>19322.38</v>
      </c>
      <c r="G2498" s="85">
        <v>-7029.48</v>
      </c>
    </row>
    <row r="2499" spans="1:7" x14ac:dyDescent="0.3">
      <c r="A2499" s="84">
        <v>2026</v>
      </c>
      <c r="B2499" s="84" t="s">
        <v>396</v>
      </c>
      <c r="C2499" s="84">
        <v>24</v>
      </c>
      <c r="D2499" s="84">
        <v>8</v>
      </c>
      <c r="E2499" s="85">
        <v>26351.86</v>
      </c>
      <c r="F2499" s="85">
        <v>19519.16</v>
      </c>
      <c r="G2499" s="85">
        <v>-6832.7</v>
      </c>
    </row>
    <row r="2500" spans="1:7" x14ac:dyDescent="0.3">
      <c r="A2500" s="84">
        <v>2026</v>
      </c>
      <c r="B2500" s="84" t="s">
        <v>396</v>
      </c>
      <c r="C2500" s="84">
        <v>24</v>
      </c>
      <c r="D2500" s="84">
        <v>9</v>
      </c>
      <c r="E2500" s="85">
        <v>26351.86</v>
      </c>
      <c r="F2500" s="85">
        <v>19716.28</v>
      </c>
      <c r="G2500" s="85">
        <v>-6635.58</v>
      </c>
    </row>
    <row r="2501" spans="1:7" x14ac:dyDescent="0.3">
      <c r="A2501" s="84">
        <v>2026</v>
      </c>
      <c r="B2501" s="84" t="s">
        <v>396</v>
      </c>
      <c r="C2501" s="84">
        <v>24</v>
      </c>
      <c r="D2501" s="84">
        <v>10</v>
      </c>
      <c r="E2501" s="85">
        <v>26351.86</v>
      </c>
      <c r="F2501" s="85">
        <v>19912.7</v>
      </c>
      <c r="G2501" s="85">
        <v>-6439.16</v>
      </c>
    </row>
    <row r="2502" spans="1:7" x14ac:dyDescent="0.3">
      <c r="A2502" s="84">
        <v>2026</v>
      </c>
      <c r="B2502" s="84" t="s">
        <v>396</v>
      </c>
      <c r="C2502" s="84">
        <v>24</v>
      </c>
      <c r="D2502" s="84">
        <v>11</v>
      </c>
      <c r="E2502" s="85">
        <v>26351.86</v>
      </c>
      <c r="F2502" s="85">
        <v>20305.259999999998</v>
      </c>
      <c r="G2502" s="85">
        <v>-6046.6</v>
      </c>
    </row>
    <row r="2503" spans="1:7" x14ac:dyDescent="0.3">
      <c r="A2503" s="84">
        <v>2026</v>
      </c>
      <c r="B2503" s="84" t="s">
        <v>396</v>
      </c>
      <c r="C2503" s="84">
        <v>24</v>
      </c>
      <c r="D2503" s="84">
        <v>12</v>
      </c>
      <c r="E2503" s="85">
        <v>26351.86</v>
      </c>
      <c r="F2503" s="85">
        <v>20698.8</v>
      </c>
      <c r="G2503" s="85">
        <v>-5653.06</v>
      </c>
    </row>
    <row r="2504" spans="1:7" x14ac:dyDescent="0.3">
      <c r="A2504" s="84">
        <v>2026</v>
      </c>
      <c r="B2504" s="84" t="s">
        <v>396</v>
      </c>
      <c r="C2504" s="84">
        <v>24</v>
      </c>
      <c r="D2504" s="84">
        <v>13</v>
      </c>
      <c r="E2504" s="85">
        <v>26351.86</v>
      </c>
      <c r="F2504" s="85">
        <v>21092.06</v>
      </c>
      <c r="G2504" s="85">
        <v>-5259.8</v>
      </c>
    </row>
    <row r="2505" spans="1:7" x14ac:dyDescent="0.3">
      <c r="A2505" s="84">
        <v>2026</v>
      </c>
      <c r="B2505" s="84" t="s">
        <v>396</v>
      </c>
      <c r="C2505" s="84">
        <v>24</v>
      </c>
      <c r="D2505" s="84">
        <v>14</v>
      </c>
      <c r="E2505" s="85">
        <v>26351.86</v>
      </c>
      <c r="F2505" s="85">
        <v>21485.88</v>
      </c>
      <c r="G2505" s="85">
        <v>-4865.9799999999996</v>
      </c>
    </row>
    <row r="2506" spans="1:7" x14ac:dyDescent="0.3">
      <c r="A2506" s="84">
        <v>2026</v>
      </c>
      <c r="B2506" s="84" t="s">
        <v>396</v>
      </c>
      <c r="C2506" s="84">
        <v>24</v>
      </c>
      <c r="D2506" s="84">
        <v>15</v>
      </c>
      <c r="E2506" s="85">
        <v>26351.86</v>
      </c>
      <c r="F2506" s="85">
        <v>21878.16</v>
      </c>
      <c r="G2506" s="85">
        <v>-4473.7</v>
      </c>
    </row>
    <row r="2507" spans="1:7" x14ac:dyDescent="0.3">
      <c r="A2507" s="84">
        <v>2026</v>
      </c>
      <c r="B2507" s="84" t="s">
        <v>396</v>
      </c>
      <c r="C2507" s="84">
        <v>24</v>
      </c>
      <c r="D2507" s="84">
        <v>16</v>
      </c>
      <c r="E2507" s="85">
        <v>26351.86</v>
      </c>
      <c r="F2507" s="85">
        <v>22272.12</v>
      </c>
      <c r="G2507" s="85">
        <v>-4079.74</v>
      </c>
    </row>
    <row r="2508" spans="1:7" x14ac:dyDescent="0.3">
      <c r="A2508" s="84">
        <v>2026</v>
      </c>
      <c r="B2508" s="84" t="s">
        <v>396</v>
      </c>
      <c r="C2508" s="84">
        <v>24</v>
      </c>
      <c r="D2508" s="84">
        <v>17</v>
      </c>
      <c r="E2508" s="85">
        <v>26351.86</v>
      </c>
      <c r="F2508" s="85">
        <v>22664.400000000001</v>
      </c>
      <c r="G2508" s="85">
        <v>-3687.46</v>
      </c>
    </row>
    <row r="2509" spans="1:7" x14ac:dyDescent="0.3">
      <c r="A2509" s="84">
        <v>2026</v>
      </c>
      <c r="B2509" s="84" t="s">
        <v>396</v>
      </c>
      <c r="C2509" s="84">
        <v>24</v>
      </c>
      <c r="D2509" s="84">
        <v>18</v>
      </c>
      <c r="E2509" s="85">
        <v>26351.86</v>
      </c>
      <c r="F2509" s="85">
        <v>23057.94</v>
      </c>
      <c r="G2509" s="85">
        <v>-3293.92</v>
      </c>
    </row>
    <row r="2510" spans="1:7" x14ac:dyDescent="0.3">
      <c r="A2510" s="84">
        <v>2026</v>
      </c>
      <c r="B2510" s="84" t="s">
        <v>396</v>
      </c>
      <c r="C2510" s="84">
        <v>24</v>
      </c>
      <c r="D2510" s="84">
        <v>19</v>
      </c>
      <c r="E2510" s="85">
        <v>26351.86</v>
      </c>
      <c r="F2510" s="85">
        <v>23451.06</v>
      </c>
      <c r="G2510" s="85">
        <v>-2900.8</v>
      </c>
    </row>
    <row r="2511" spans="1:7" x14ac:dyDescent="0.3">
      <c r="A2511" s="84">
        <v>2026</v>
      </c>
      <c r="B2511" s="84" t="s">
        <v>396</v>
      </c>
      <c r="C2511" s="84">
        <v>24</v>
      </c>
      <c r="D2511" s="84">
        <v>20</v>
      </c>
      <c r="E2511" s="85">
        <v>26351.86</v>
      </c>
      <c r="F2511" s="85">
        <v>23844.04</v>
      </c>
      <c r="G2511" s="85">
        <v>-2507.8200000000002</v>
      </c>
    </row>
    <row r="2512" spans="1:7" x14ac:dyDescent="0.3">
      <c r="A2512" s="84">
        <v>2026</v>
      </c>
      <c r="B2512" s="84" t="s">
        <v>396</v>
      </c>
      <c r="C2512" s="84">
        <v>24</v>
      </c>
      <c r="D2512" s="84">
        <v>21</v>
      </c>
      <c r="E2512" s="85">
        <v>26351.86</v>
      </c>
      <c r="F2512" s="85">
        <v>24433.439999999999</v>
      </c>
      <c r="G2512" s="85">
        <v>-1918.42</v>
      </c>
    </row>
    <row r="2513" spans="1:7" x14ac:dyDescent="0.3">
      <c r="A2513" s="84">
        <v>2026</v>
      </c>
      <c r="B2513" s="84" t="s">
        <v>396</v>
      </c>
      <c r="C2513" s="84">
        <v>24</v>
      </c>
      <c r="D2513" s="84">
        <v>22</v>
      </c>
      <c r="E2513" s="85">
        <v>26351.86</v>
      </c>
      <c r="F2513" s="85">
        <v>25072.12</v>
      </c>
      <c r="G2513" s="85">
        <v>-1279.74</v>
      </c>
    </row>
    <row r="2514" spans="1:7" x14ac:dyDescent="0.3">
      <c r="A2514" s="84">
        <v>2026</v>
      </c>
      <c r="B2514" s="84" t="s">
        <v>396</v>
      </c>
      <c r="C2514" s="84">
        <v>24</v>
      </c>
      <c r="D2514" s="84">
        <v>23</v>
      </c>
      <c r="E2514" s="85">
        <v>26351.86</v>
      </c>
      <c r="F2514" s="85">
        <v>25712.62</v>
      </c>
      <c r="G2514" s="85">
        <v>-639.24</v>
      </c>
    </row>
    <row r="2515" spans="1:7" x14ac:dyDescent="0.3">
      <c r="A2515" s="84">
        <v>2026</v>
      </c>
      <c r="B2515" s="84" t="s">
        <v>396</v>
      </c>
      <c r="C2515" s="84">
        <v>24</v>
      </c>
      <c r="D2515" s="84">
        <v>24</v>
      </c>
      <c r="E2515" s="85">
        <v>26351.86</v>
      </c>
      <c r="F2515" s="85">
        <v>26351.86</v>
      </c>
      <c r="G2515" s="85">
        <v>0</v>
      </c>
    </row>
    <row r="2516" spans="1:7" x14ac:dyDescent="0.3">
      <c r="A2516" s="84">
        <v>2026</v>
      </c>
      <c r="B2516" s="84" t="s">
        <v>396</v>
      </c>
      <c r="C2516" s="84">
        <v>24</v>
      </c>
      <c r="D2516" s="84">
        <v>25</v>
      </c>
      <c r="E2516" s="85">
        <v>26351.86</v>
      </c>
      <c r="F2516" s="85">
        <v>26991.94</v>
      </c>
      <c r="G2516" s="85">
        <v>640.08000000000004</v>
      </c>
    </row>
    <row r="2517" spans="1:7" x14ac:dyDescent="0.3">
      <c r="A2517" s="84">
        <v>2026</v>
      </c>
      <c r="B2517" s="84" t="s">
        <v>396</v>
      </c>
      <c r="C2517" s="84">
        <v>24</v>
      </c>
      <c r="D2517" s="84">
        <v>26</v>
      </c>
      <c r="E2517" s="85">
        <v>26351.86</v>
      </c>
      <c r="F2517" s="85">
        <v>28371.22</v>
      </c>
      <c r="G2517" s="85">
        <v>2019.36</v>
      </c>
    </row>
    <row r="2518" spans="1:7" x14ac:dyDescent="0.3">
      <c r="A2518" s="84">
        <v>2026</v>
      </c>
      <c r="B2518" s="84" t="s">
        <v>396</v>
      </c>
      <c r="C2518" s="84">
        <v>24</v>
      </c>
      <c r="D2518" s="84">
        <v>27</v>
      </c>
      <c r="E2518" s="85">
        <v>26351.86</v>
      </c>
      <c r="F2518" s="85">
        <v>30080.48</v>
      </c>
      <c r="G2518" s="85">
        <v>3728.62</v>
      </c>
    </row>
    <row r="2519" spans="1:7" x14ac:dyDescent="0.3">
      <c r="A2519" s="84">
        <v>2026</v>
      </c>
      <c r="B2519" s="84" t="s">
        <v>396</v>
      </c>
      <c r="C2519" s="84">
        <v>24</v>
      </c>
      <c r="D2519" s="84">
        <v>28</v>
      </c>
      <c r="E2519" s="85">
        <v>26351.86</v>
      </c>
      <c r="F2519" s="85">
        <v>30720.98</v>
      </c>
      <c r="G2519" s="85">
        <v>4369.12</v>
      </c>
    </row>
    <row r="2520" spans="1:7" x14ac:dyDescent="0.3">
      <c r="A2520" s="84">
        <v>2026</v>
      </c>
      <c r="B2520" s="84" t="s">
        <v>396</v>
      </c>
      <c r="C2520" s="84">
        <v>24</v>
      </c>
      <c r="D2520" s="84">
        <v>29</v>
      </c>
      <c r="E2520" s="85">
        <v>26351.86</v>
      </c>
      <c r="F2520" s="85">
        <v>31360.36</v>
      </c>
      <c r="G2520" s="85">
        <v>5008.5</v>
      </c>
    </row>
    <row r="2521" spans="1:7" x14ac:dyDescent="0.3">
      <c r="A2521" s="84">
        <v>2026</v>
      </c>
      <c r="B2521" s="84" t="s">
        <v>396</v>
      </c>
      <c r="C2521" s="84">
        <v>24</v>
      </c>
      <c r="D2521" s="84">
        <v>30</v>
      </c>
      <c r="E2521" s="85">
        <v>26351.86</v>
      </c>
      <c r="F2521" s="85">
        <v>33108.68</v>
      </c>
      <c r="G2521" s="85">
        <v>6756.82</v>
      </c>
    </row>
    <row r="2522" spans="1:7" x14ac:dyDescent="0.3">
      <c r="A2522" s="84">
        <v>2026</v>
      </c>
      <c r="B2522" s="84" t="s">
        <v>396</v>
      </c>
      <c r="C2522" s="84">
        <v>25</v>
      </c>
      <c r="D2522" s="84">
        <v>1</v>
      </c>
      <c r="E2522" s="85">
        <v>26991.94</v>
      </c>
      <c r="F2522" s="85">
        <v>17751.240000000002</v>
      </c>
      <c r="G2522" s="85">
        <v>-9240.7000000000007</v>
      </c>
    </row>
    <row r="2523" spans="1:7" x14ac:dyDescent="0.3">
      <c r="A2523" s="84">
        <v>2026</v>
      </c>
      <c r="B2523" s="84" t="s">
        <v>396</v>
      </c>
      <c r="C2523" s="84">
        <v>25</v>
      </c>
      <c r="D2523" s="84">
        <v>2</v>
      </c>
      <c r="E2523" s="85">
        <v>26991.94</v>
      </c>
      <c r="F2523" s="85">
        <v>18045.66</v>
      </c>
      <c r="G2523" s="85">
        <v>-8946.2800000000007</v>
      </c>
    </row>
    <row r="2524" spans="1:7" x14ac:dyDescent="0.3">
      <c r="A2524" s="84">
        <v>2026</v>
      </c>
      <c r="B2524" s="84" t="s">
        <v>396</v>
      </c>
      <c r="C2524" s="84">
        <v>25</v>
      </c>
      <c r="D2524" s="84">
        <v>3</v>
      </c>
      <c r="E2524" s="85">
        <v>26991.94</v>
      </c>
      <c r="F2524" s="85">
        <v>18340.64</v>
      </c>
      <c r="G2524" s="85">
        <v>-8651.2999999999993</v>
      </c>
    </row>
    <row r="2525" spans="1:7" x14ac:dyDescent="0.3">
      <c r="A2525" s="84">
        <v>2026</v>
      </c>
      <c r="B2525" s="84" t="s">
        <v>396</v>
      </c>
      <c r="C2525" s="84">
        <v>25</v>
      </c>
      <c r="D2525" s="84">
        <v>4</v>
      </c>
      <c r="E2525" s="85">
        <v>26991.94</v>
      </c>
      <c r="F2525" s="85">
        <v>18634.78</v>
      </c>
      <c r="G2525" s="85">
        <v>-8357.16</v>
      </c>
    </row>
    <row r="2526" spans="1:7" x14ac:dyDescent="0.3">
      <c r="A2526" s="84">
        <v>2026</v>
      </c>
      <c r="B2526" s="84" t="s">
        <v>396</v>
      </c>
      <c r="C2526" s="84">
        <v>25</v>
      </c>
      <c r="D2526" s="84">
        <v>5</v>
      </c>
      <c r="E2526" s="85">
        <v>26991.94</v>
      </c>
      <c r="F2526" s="85">
        <v>18929.48</v>
      </c>
      <c r="G2526" s="85">
        <v>-8062.46</v>
      </c>
    </row>
    <row r="2527" spans="1:7" x14ac:dyDescent="0.3">
      <c r="A2527" s="84">
        <v>2026</v>
      </c>
      <c r="B2527" s="84" t="s">
        <v>396</v>
      </c>
      <c r="C2527" s="84">
        <v>25</v>
      </c>
      <c r="D2527" s="84">
        <v>6</v>
      </c>
      <c r="E2527" s="85">
        <v>26991.94</v>
      </c>
      <c r="F2527" s="85">
        <v>19126.18</v>
      </c>
      <c r="G2527" s="85">
        <v>-7865.76</v>
      </c>
    </row>
    <row r="2528" spans="1:7" x14ac:dyDescent="0.3">
      <c r="A2528" s="84">
        <v>2026</v>
      </c>
      <c r="B2528" s="84" t="s">
        <v>396</v>
      </c>
      <c r="C2528" s="84">
        <v>25</v>
      </c>
      <c r="D2528" s="84">
        <v>7</v>
      </c>
      <c r="E2528" s="85">
        <v>26991.94</v>
      </c>
      <c r="F2528" s="85">
        <v>19322.38</v>
      </c>
      <c r="G2528" s="85">
        <v>-7669.56</v>
      </c>
    </row>
    <row r="2529" spans="1:7" x14ac:dyDescent="0.3">
      <c r="A2529" s="84">
        <v>2026</v>
      </c>
      <c r="B2529" s="84" t="s">
        <v>396</v>
      </c>
      <c r="C2529" s="84">
        <v>25</v>
      </c>
      <c r="D2529" s="84">
        <v>8</v>
      </c>
      <c r="E2529" s="85">
        <v>26991.94</v>
      </c>
      <c r="F2529" s="85">
        <v>19519.16</v>
      </c>
      <c r="G2529" s="85">
        <v>-7472.78</v>
      </c>
    </row>
    <row r="2530" spans="1:7" x14ac:dyDescent="0.3">
      <c r="A2530" s="84">
        <v>2026</v>
      </c>
      <c r="B2530" s="84" t="s">
        <v>396</v>
      </c>
      <c r="C2530" s="84">
        <v>25</v>
      </c>
      <c r="D2530" s="84">
        <v>9</v>
      </c>
      <c r="E2530" s="85">
        <v>26991.94</v>
      </c>
      <c r="F2530" s="85">
        <v>19716.28</v>
      </c>
      <c r="G2530" s="85">
        <v>-7275.66</v>
      </c>
    </row>
    <row r="2531" spans="1:7" x14ac:dyDescent="0.3">
      <c r="A2531" s="84">
        <v>2026</v>
      </c>
      <c r="B2531" s="84" t="s">
        <v>396</v>
      </c>
      <c r="C2531" s="84">
        <v>25</v>
      </c>
      <c r="D2531" s="84">
        <v>10</v>
      </c>
      <c r="E2531" s="85">
        <v>26991.94</v>
      </c>
      <c r="F2531" s="85">
        <v>19912.7</v>
      </c>
      <c r="G2531" s="85">
        <v>-7079.24</v>
      </c>
    </row>
    <row r="2532" spans="1:7" x14ac:dyDescent="0.3">
      <c r="A2532" s="84">
        <v>2026</v>
      </c>
      <c r="B2532" s="84" t="s">
        <v>396</v>
      </c>
      <c r="C2532" s="84">
        <v>25</v>
      </c>
      <c r="D2532" s="84">
        <v>11</v>
      </c>
      <c r="E2532" s="85">
        <v>26991.94</v>
      </c>
      <c r="F2532" s="85">
        <v>20305.259999999998</v>
      </c>
      <c r="G2532" s="85">
        <v>-6686.68</v>
      </c>
    </row>
    <row r="2533" spans="1:7" x14ac:dyDescent="0.3">
      <c r="A2533" s="84">
        <v>2026</v>
      </c>
      <c r="B2533" s="84" t="s">
        <v>396</v>
      </c>
      <c r="C2533" s="84">
        <v>25</v>
      </c>
      <c r="D2533" s="84">
        <v>12</v>
      </c>
      <c r="E2533" s="85">
        <v>26991.94</v>
      </c>
      <c r="F2533" s="85">
        <v>20698.8</v>
      </c>
      <c r="G2533" s="85">
        <v>-6293.14</v>
      </c>
    </row>
    <row r="2534" spans="1:7" x14ac:dyDescent="0.3">
      <c r="A2534" s="84">
        <v>2026</v>
      </c>
      <c r="B2534" s="84" t="s">
        <v>396</v>
      </c>
      <c r="C2534" s="84">
        <v>25</v>
      </c>
      <c r="D2534" s="84">
        <v>13</v>
      </c>
      <c r="E2534" s="85">
        <v>26991.94</v>
      </c>
      <c r="F2534" s="85">
        <v>21092.06</v>
      </c>
      <c r="G2534" s="85">
        <v>-5899.88</v>
      </c>
    </row>
    <row r="2535" spans="1:7" x14ac:dyDescent="0.3">
      <c r="A2535" s="84">
        <v>2026</v>
      </c>
      <c r="B2535" s="84" t="s">
        <v>396</v>
      </c>
      <c r="C2535" s="84">
        <v>25</v>
      </c>
      <c r="D2535" s="84">
        <v>14</v>
      </c>
      <c r="E2535" s="85">
        <v>26991.94</v>
      </c>
      <c r="F2535" s="85">
        <v>21485.88</v>
      </c>
      <c r="G2535" s="85">
        <v>-5506.06</v>
      </c>
    </row>
    <row r="2536" spans="1:7" x14ac:dyDescent="0.3">
      <c r="A2536" s="84">
        <v>2026</v>
      </c>
      <c r="B2536" s="84" t="s">
        <v>396</v>
      </c>
      <c r="C2536" s="84">
        <v>25</v>
      </c>
      <c r="D2536" s="84">
        <v>15</v>
      </c>
      <c r="E2536" s="85">
        <v>26991.94</v>
      </c>
      <c r="F2536" s="85">
        <v>21878.16</v>
      </c>
      <c r="G2536" s="85">
        <v>-5113.78</v>
      </c>
    </row>
    <row r="2537" spans="1:7" x14ac:dyDescent="0.3">
      <c r="A2537" s="84">
        <v>2026</v>
      </c>
      <c r="B2537" s="84" t="s">
        <v>396</v>
      </c>
      <c r="C2537" s="84">
        <v>25</v>
      </c>
      <c r="D2537" s="84">
        <v>16</v>
      </c>
      <c r="E2537" s="85">
        <v>26991.94</v>
      </c>
      <c r="F2537" s="85">
        <v>22272.12</v>
      </c>
      <c r="G2537" s="85">
        <v>-4719.82</v>
      </c>
    </row>
    <row r="2538" spans="1:7" x14ac:dyDescent="0.3">
      <c r="A2538" s="84">
        <v>2026</v>
      </c>
      <c r="B2538" s="84" t="s">
        <v>396</v>
      </c>
      <c r="C2538" s="84">
        <v>25</v>
      </c>
      <c r="D2538" s="84">
        <v>17</v>
      </c>
      <c r="E2538" s="85">
        <v>26991.94</v>
      </c>
      <c r="F2538" s="85">
        <v>22664.400000000001</v>
      </c>
      <c r="G2538" s="85">
        <v>-4327.54</v>
      </c>
    </row>
    <row r="2539" spans="1:7" x14ac:dyDescent="0.3">
      <c r="A2539" s="84">
        <v>2026</v>
      </c>
      <c r="B2539" s="84" t="s">
        <v>396</v>
      </c>
      <c r="C2539" s="84">
        <v>25</v>
      </c>
      <c r="D2539" s="84">
        <v>18</v>
      </c>
      <c r="E2539" s="85">
        <v>26991.94</v>
      </c>
      <c r="F2539" s="85">
        <v>23057.94</v>
      </c>
      <c r="G2539" s="85">
        <v>-3934</v>
      </c>
    </row>
    <row r="2540" spans="1:7" x14ac:dyDescent="0.3">
      <c r="A2540" s="84">
        <v>2026</v>
      </c>
      <c r="B2540" s="84" t="s">
        <v>396</v>
      </c>
      <c r="C2540" s="84">
        <v>25</v>
      </c>
      <c r="D2540" s="84">
        <v>19</v>
      </c>
      <c r="E2540" s="85">
        <v>26991.94</v>
      </c>
      <c r="F2540" s="85">
        <v>23451.06</v>
      </c>
      <c r="G2540" s="85">
        <v>-3540.88</v>
      </c>
    </row>
    <row r="2541" spans="1:7" x14ac:dyDescent="0.3">
      <c r="A2541" s="84">
        <v>2026</v>
      </c>
      <c r="B2541" s="84" t="s">
        <v>396</v>
      </c>
      <c r="C2541" s="84">
        <v>25</v>
      </c>
      <c r="D2541" s="84">
        <v>20</v>
      </c>
      <c r="E2541" s="85">
        <v>26991.94</v>
      </c>
      <c r="F2541" s="85">
        <v>23844.04</v>
      </c>
      <c r="G2541" s="85">
        <v>-3147.9</v>
      </c>
    </row>
    <row r="2542" spans="1:7" x14ac:dyDescent="0.3">
      <c r="A2542" s="84">
        <v>2026</v>
      </c>
      <c r="B2542" s="84" t="s">
        <v>396</v>
      </c>
      <c r="C2542" s="84">
        <v>25</v>
      </c>
      <c r="D2542" s="84">
        <v>21</v>
      </c>
      <c r="E2542" s="85">
        <v>26991.94</v>
      </c>
      <c r="F2542" s="85">
        <v>24433.439999999999</v>
      </c>
      <c r="G2542" s="85">
        <v>-2558.5</v>
      </c>
    </row>
    <row r="2543" spans="1:7" x14ac:dyDescent="0.3">
      <c r="A2543" s="84">
        <v>2026</v>
      </c>
      <c r="B2543" s="84" t="s">
        <v>396</v>
      </c>
      <c r="C2543" s="84">
        <v>25</v>
      </c>
      <c r="D2543" s="84">
        <v>22</v>
      </c>
      <c r="E2543" s="85">
        <v>26991.94</v>
      </c>
      <c r="F2543" s="85">
        <v>25072.12</v>
      </c>
      <c r="G2543" s="85">
        <v>-1919.82</v>
      </c>
    </row>
    <row r="2544" spans="1:7" x14ac:dyDescent="0.3">
      <c r="A2544" s="84">
        <v>2026</v>
      </c>
      <c r="B2544" s="84" t="s">
        <v>396</v>
      </c>
      <c r="C2544" s="84">
        <v>25</v>
      </c>
      <c r="D2544" s="84">
        <v>23</v>
      </c>
      <c r="E2544" s="85">
        <v>26991.94</v>
      </c>
      <c r="F2544" s="85">
        <v>25712.62</v>
      </c>
      <c r="G2544" s="85">
        <v>-1279.32</v>
      </c>
    </row>
    <row r="2545" spans="1:7" x14ac:dyDescent="0.3">
      <c r="A2545" s="84">
        <v>2026</v>
      </c>
      <c r="B2545" s="84" t="s">
        <v>396</v>
      </c>
      <c r="C2545" s="84">
        <v>25</v>
      </c>
      <c r="D2545" s="84">
        <v>24</v>
      </c>
      <c r="E2545" s="85">
        <v>26991.94</v>
      </c>
      <c r="F2545" s="85">
        <v>26351.86</v>
      </c>
      <c r="G2545" s="85">
        <v>-640.08000000000004</v>
      </c>
    </row>
    <row r="2546" spans="1:7" x14ac:dyDescent="0.3">
      <c r="A2546" s="84">
        <v>2026</v>
      </c>
      <c r="B2546" s="84" t="s">
        <v>396</v>
      </c>
      <c r="C2546" s="84">
        <v>25</v>
      </c>
      <c r="D2546" s="84">
        <v>25</v>
      </c>
      <c r="E2546" s="85">
        <v>26991.94</v>
      </c>
      <c r="F2546" s="85">
        <v>26991.94</v>
      </c>
      <c r="G2546" s="85">
        <v>0</v>
      </c>
    </row>
    <row r="2547" spans="1:7" x14ac:dyDescent="0.3">
      <c r="A2547" s="84">
        <v>2026</v>
      </c>
      <c r="B2547" s="84" t="s">
        <v>396</v>
      </c>
      <c r="C2547" s="84">
        <v>25</v>
      </c>
      <c r="D2547" s="84">
        <v>26</v>
      </c>
      <c r="E2547" s="85">
        <v>26991.94</v>
      </c>
      <c r="F2547" s="85">
        <v>28371.22</v>
      </c>
      <c r="G2547" s="85">
        <v>1379.28</v>
      </c>
    </row>
    <row r="2548" spans="1:7" x14ac:dyDescent="0.3">
      <c r="A2548" s="84">
        <v>2026</v>
      </c>
      <c r="B2548" s="84" t="s">
        <v>396</v>
      </c>
      <c r="C2548" s="84">
        <v>25</v>
      </c>
      <c r="D2548" s="84">
        <v>27</v>
      </c>
      <c r="E2548" s="85">
        <v>26991.94</v>
      </c>
      <c r="F2548" s="85">
        <v>30080.48</v>
      </c>
      <c r="G2548" s="85">
        <v>3088.54</v>
      </c>
    </row>
    <row r="2549" spans="1:7" x14ac:dyDescent="0.3">
      <c r="A2549" s="84">
        <v>2026</v>
      </c>
      <c r="B2549" s="84" t="s">
        <v>396</v>
      </c>
      <c r="C2549" s="84">
        <v>25</v>
      </c>
      <c r="D2549" s="84">
        <v>28</v>
      </c>
      <c r="E2549" s="85">
        <v>26991.94</v>
      </c>
      <c r="F2549" s="85">
        <v>30720.98</v>
      </c>
      <c r="G2549" s="85">
        <v>3729.04</v>
      </c>
    </row>
    <row r="2550" spans="1:7" x14ac:dyDescent="0.3">
      <c r="A2550" s="84">
        <v>2026</v>
      </c>
      <c r="B2550" s="84" t="s">
        <v>396</v>
      </c>
      <c r="C2550" s="84">
        <v>25</v>
      </c>
      <c r="D2550" s="84">
        <v>29</v>
      </c>
      <c r="E2550" s="85">
        <v>26991.94</v>
      </c>
      <c r="F2550" s="85">
        <v>31360.36</v>
      </c>
      <c r="G2550" s="85">
        <v>4368.42</v>
      </c>
    </row>
    <row r="2551" spans="1:7" x14ac:dyDescent="0.3">
      <c r="A2551" s="84">
        <v>2026</v>
      </c>
      <c r="B2551" s="84" t="s">
        <v>396</v>
      </c>
      <c r="C2551" s="84">
        <v>25</v>
      </c>
      <c r="D2551" s="84">
        <v>30</v>
      </c>
      <c r="E2551" s="85">
        <v>26991.94</v>
      </c>
      <c r="F2551" s="85">
        <v>33108.68</v>
      </c>
      <c r="G2551" s="85">
        <v>6116.74</v>
      </c>
    </row>
    <row r="2552" spans="1:7" x14ac:dyDescent="0.3">
      <c r="A2552" s="84">
        <v>2026</v>
      </c>
      <c r="B2552" s="84" t="s">
        <v>396</v>
      </c>
      <c r="C2552" s="84">
        <v>26</v>
      </c>
      <c r="D2552" s="84">
        <v>1</v>
      </c>
      <c r="E2552" s="85">
        <v>28371.22</v>
      </c>
      <c r="F2552" s="85">
        <v>17751.240000000002</v>
      </c>
      <c r="G2552" s="85">
        <v>-10619.98</v>
      </c>
    </row>
    <row r="2553" spans="1:7" x14ac:dyDescent="0.3">
      <c r="A2553" s="84">
        <v>2026</v>
      </c>
      <c r="B2553" s="84" t="s">
        <v>396</v>
      </c>
      <c r="C2553" s="84">
        <v>26</v>
      </c>
      <c r="D2553" s="84">
        <v>2</v>
      </c>
      <c r="E2553" s="85">
        <v>28371.22</v>
      </c>
      <c r="F2553" s="85">
        <v>18045.66</v>
      </c>
      <c r="G2553" s="85">
        <v>-10325.56</v>
      </c>
    </row>
    <row r="2554" spans="1:7" x14ac:dyDescent="0.3">
      <c r="A2554" s="84">
        <v>2026</v>
      </c>
      <c r="B2554" s="84" t="s">
        <v>396</v>
      </c>
      <c r="C2554" s="84">
        <v>26</v>
      </c>
      <c r="D2554" s="84">
        <v>3</v>
      </c>
      <c r="E2554" s="85">
        <v>28371.22</v>
      </c>
      <c r="F2554" s="85">
        <v>18340.64</v>
      </c>
      <c r="G2554" s="85">
        <v>-10030.58</v>
      </c>
    </row>
    <row r="2555" spans="1:7" x14ac:dyDescent="0.3">
      <c r="A2555" s="84">
        <v>2026</v>
      </c>
      <c r="B2555" s="84" t="s">
        <v>396</v>
      </c>
      <c r="C2555" s="84">
        <v>26</v>
      </c>
      <c r="D2555" s="84">
        <v>4</v>
      </c>
      <c r="E2555" s="85">
        <v>28371.22</v>
      </c>
      <c r="F2555" s="85">
        <v>18634.78</v>
      </c>
      <c r="G2555" s="85">
        <v>-9736.44</v>
      </c>
    </row>
    <row r="2556" spans="1:7" x14ac:dyDescent="0.3">
      <c r="A2556" s="84">
        <v>2026</v>
      </c>
      <c r="B2556" s="84" t="s">
        <v>396</v>
      </c>
      <c r="C2556" s="84">
        <v>26</v>
      </c>
      <c r="D2556" s="84">
        <v>5</v>
      </c>
      <c r="E2556" s="85">
        <v>28371.22</v>
      </c>
      <c r="F2556" s="85">
        <v>18929.48</v>
      </c>
      <c r="G2556" s="85">
        <v>-9441.74</v>
      </c>
    </row>
    <row r="2557" spans="1:7" x14ac:dyDescent="0.3">
      <c r="A2557" s="84">
        <v>2026</v>
      </c>
      <c r="B2557" s="84" t="s">
        <v>396</v>
      </c>
      <c r="C2557" s="84">
        <v>26</v>
      </c>
      <c r="D2557" s="84">
        <v>6</v>
      </c>
      <c r="E2557" s="85">
        <v>28371.22</v>
      </c>
      <c r="F2557" s="85">
        <v>19126.18</v>
      </c>
      <c r="G2557" s="85">
        <v>-9245.0400000000009</v>
      </c>
    </row>
    <row r="2558" spans="1:7" x14ac:dyDescent="0.3">
      <c r="A2558" s="84">
        <v>2026</v>
      </c>
      <c r="B2558" s="84" t="s">
        <v>396</v>
      </c>
      <c r="C2558" s="84">
        <v>26</v>
      </c>
      <c r="D2558" s="84">
        <v>7</v>
      </c>
      <c r="E2558" s="85">
        <v>28371.22</v>
      </c>
      <c r="F2558" s="85">
        <v>19322.38</v>
      </c>
      <c r="G2558" s="85">
        <v>-9048.84</v>
      </c>
    </row>
    <row r="2559" spans="1:7" x14ac:dyDescent="0.3">
      <c r="A2559" s="84">
        <v>2026</v>
      </c>
      <c r="B2559" s="84" t="s">
        <v>396</v>
      </c>
      <c r="C2559" s="84">
        <v>26</v>
      </c>
      <c r="D2559" s="84">
        <v>8</v>
      </c>
      <c r="E2559" s="85">
        <v>28371.22</v>
      </c>
      <c r="F2559" s="85">
        <v>19519.16</v>
      </c>
      <c r="G2559" s="85">
        <v>-8852.06</v>
      </c>
    </row>
    <row r="2560" spans="1:7" x14ac:dyDescent="0.3">
      <c r="A2560" s="84">
        <v>2026</v>
      </c>
      <c r="B2560" s="84" t="s">
        <v>396</v>
      </c>
      <c r="C2560" s="84">
        <v>26</v>
      </c>
      <c r="D2560" s="84">
        <v>9</v>
      </c>
      <c r="E2560" s="85">
        <v>28371.22</v>
      </c>
      <c r="F2560" s="85">
        <v>19716.28</v>
      </c>
      <c r="G2560" s="85">
        <v>-8654.94</v>
      </c>
    </row>
    <row r="2561" spans="1:7" x14ac:dyDescent="0.3">
      <c r="A2561" s="84">
        <v>2026</v>
      </c>
      <c r="B2561" s="84" t="s">
        <v>396</v>
      </c>
      <c r="C2561" s="84">
        <v>26</v>
      </c>
      <c r="D2561" s="84">
        <v>10</v>
      </c>
      <c r="E2561" s="85">
        <v>28371.22</v>
      </c>
      <c r="F2561" s="85">
        <v>19912.7</v>
      </c>
      <c r="G2561" s="85">
        <v>-8458.52</v>
      </c>
    </row>
    <row r="2562" spans="1:7" x14ac:dyDescent="0.3">
      <c r="A2562" s="84">
        <v>2026</v>
      </c>
      <c r="B2562" s="84" t="s">
        <v>396</v>
      </c>
      <c r="C2562" s="84">
        <v>26</v>
      </c>
      <c r="D2562" s="84">
        <v>11</v>
      </c>
      <c r="E2562" s="85">
        <v>28371.22</v>
      </c>
      <c r="F2562" s="85">
        <v>20305.259999999998</v>
      </c>
      <c r="G2562" s="85">
        <v>-8065.96</v>
      </c>
    </row>
    <row r="2563" spans="1:7" x14ac:dyDescent="0.3">
      <c r="A2563" s="84">
        <v>2026</v>
      </c>
      <c r="B2563" s="84" t="s">
        <v>396</v>
      </c>
      <c r="C2563" s="84">
        <v>26</v>
      </c>
      <c r="D2563" s="84">
        <v>12</v>
      </c>
      <c r="E2563" s="85">
        <v>28371.22</v>
      </c>
      <c r="F2563" s="85">
        <v>20698.8</v>
      </c>
      <c r="G2563" s="85">
        <v>-7672.42</v>
      </c>
    </row>
    <row r="2564" spans="1:7" x14ac:dyDescent="0.3">
      <c r="A2564" s="84">
        <v>2026</v>
      </c>
      <c r="B2564" s="84" t="s">
        <v>396</v>
      </c>
      <c r="C2564" s="84">
        <v>26</v>
      </c>
      <c r="D2564" s="84">
        <v>13</v>
      </c>
      <c r="E2564" s="85">
        <v>28371.22</v>
      </c>
      <c r="F2564" s="85">
        <v>21092.06</v>
      </c>
      <c r="G2564" s="85">
        <v>-7279.16</v>
      </c>
    </row>
    <row r="2565" spans="1:7" x14ac:dyDescent="0.3">
      <c r="A2565" s="84">
        <v>2026</v>
      </c>
      <c r="B2565" s="84" t="s">
        <v>396</v>
      </c>
      <c r="C2565" s="84">
        <v>26</v>
      </c>
      <c r="D2565" s="84">
        <v>14</v>
      </c>
      <c r="E2565" s="85">
        <v>28371.22</v>
      </c>
      <c r="F2565" s="85">
        <v>21485.88</v>
      </c>
      <c r="G2565" s="85">
        <v>-6885.34</v>
      </c>
    </row>
    <row r="2566" spans="1:7" x14ac:dyDescent="0.3">
      <c r="A2566" s="84">
        <v>2026</v>
      </c>
      <c r="B2566" s="84" t="s">
        <v>396</v>
      </c>
      <c r="C2566" s="84">
        <v>26</v>
      </c>
      <c r="D2566" s="84">
        <v>15</v>
      </c>
      <c r="E2566" s="85">
        <v>28371.22</v>
      </c>
      <c r="F2566" s="85">
        <v>21878.16</v>
      </c>
      <c r="G2566" s="85">
        <v>-6493.06</v>
      </c>
    </row>
    <row r="2567" spans="1:7" x14ac:dyDescent="0.3">
      <c r="A2567" s="84">
        <v>2026</v>
      </c>
      <c r="B2567" s="84" t="s">
        <v>396</v>
      </c>
      <c r="C2567" s="84">
        <v>26</v>
      </c>
      <c r="D2567" s="84">
        <v>16</v>
      </c>
      <c r="E2567" s="85">
        <v>28371.22</v>
      </c>
      <c r="F2567" s="85">
        <v>22272.12</v>
      </c>
      <c r="G2567" s="85">
        <v>-6099.1</v>
      </c>
    </row>
    <row r="2568" spans="1:7" x14ac:dyDescent="0.3">
      <c r="A2568" s="84">
        <v>2026</v>
      </c>
      <c r="B2568" s="84" t="s">
        <v>396</v>
      </c>
      <c r="C2568" s="84">
        <v>26</v>
      </c>
      <c r="D2568" s="84">
        <v>17</v>
      </c>
      <c r="E2568" s="85">
        <v>28371.22</v>
      </c>
      <c r="F2568" s="85">
        <v>22664.400000000001</v>
      </c>
      <c r="G2568" s="85">
        <v>-5706.82</v>
      </c>
    </row>
    <row r="2569" spans="1:7" x14ac:dyDescent="0.3">
      <c r="A2569" s="84">
        <v>2026</v>
      </c>
      <c r="B2569" s="84" t="s">
        <v>396</v>
      </c>
      <c r="C2569" s="84">
        <v>26</v>
      </c>
      <c r="D2569" s="84">
        <v>18</v>
      </c>
      <c r="E2569" s="85">
        <v>28371.22</v>
      </c>
      <c r="F2569" s="85">
        <v>23057.94</v>
      </c>
      <c r="G2569" s="85">
        <v>-5313.28</v>
      </c>
    </row>
    <row r="2570" spans="1:7" x14ac:dyDescent="0.3">
      <c r="A2570" s="84">
        <v>2026</v>
      </c>
      <c r="B2570" s="84" t="s">
        <v>396</v>
      </c>
      <c r="C2570" s="84">
        <v>26</v>
      </c>
      <c r="D2570" s="84">
        <v>19</v>
      </c>
      <c r="E2570" s="85">
        <v>28371.22</v>
      </c>
      <c r="F2570" s="85">
        <v>23451.06</v>
      </c>
      <c r="G2570" s="85">
        <v>-4920.16</v>
      </c>
    </row>
    <row r="2571" spans="1:7" x14ac:dyDescent="0.3">
      <c r="A2571" s="84">
        <v>2026</v>
      </c>
      <c r="B2571" s="84" t="s">
        <v>396</v>
      </c>
      <c r="C2571" s="84">
        <v>26</v>
      </c>
      <c r="D2571" s="84">
        <v>20</v>
      </c>
      <c r="E2571" s="85">
        <v>28371.22</v>
      </c>
      <c r="F2571" s="85">
        <v>23844.04</v>
      </c>
      <c r="G2571" s="85">
        <v>-4527.18</v>
      </c>
    </row>
    <row r="2572" spans="1:7" x14ac:dyDescent="0.3">
      <c r="A2572" s="84">
        <v>2026</v>
      </c>
      <c r="B2572" s="84" t="s">
        <v>396</v>
      </c>
      <c r="C2572" s="84">
        <v>26</v>
      </c>
      <c r="D2572" s="84">
        <v>21</v>
      </c>
      <c r="E2572" s="85">
        <v>28371.22</v>
      </c>
      <c r="F2572" s="85">
        <v>24433.439999999999</v>
      </c>
      <c r="G2572" s="85">
        <v>-3937.78</v>
      </c>
    </row>
    <row r="2573" spans="1:7" x14ac:dyDescent="0.3">
      <c r="A2573" s="84">
        <v>2026</v>
      </c>
      <c r="B2573" s="84" t="s">
        <v>396</v>
      </c>
      <c r="C2573" s="84">
        <v>26</v>
      </c>
      <c r="D2573" s="84">
        <v>22</v>
      </c>
      <c r="E2573" s="85">
        <v>28371.22</v>
      </c>
      <c r="F2573" s="85">
        <v>25072.12</v>
      </c>
      <c r="G2573" s="85">
        <v>-3299.1</v>
      </c>
    </row>
    <row r="2574" spans="1:7" x14ac:dyDescent="0.3">
      <c r="A2574" s="84">
        <v>2026</v>
      </c>
      <c r="B2574" s="84" t="s">
        <v>396</v>
      </c>
      <c r="C2574" s="84">
        <v>26</v>
      </c>
      <c r="D2574" s="84">
        <v>23</v>
      </c>
      <c r="E2574" s="85">
        <v>28371.22</v>
      </c>
      <c r="F2574" s="85">
        <v>25712.62</v>
      </c>
      <c r="G2574" s="85">
        <v>-2658.6</v>
      </c>
    </row>
    <row r="2575" spans="1:7" x14ac:dyDescent="0.3">
      <c r="A2575" s="84">
        <v>2026</v>
      </c>
      <c r="B2575" s="84" t="s">
        <v>396</v>
      </c>
      <c r="C2575" s="84">
        <v>26</v>
      </c>
      <c r="D2575" s="84">
        <v>24</v>
      </c>
      <c r="E2575" s="85">
        <v>28371.22</v>
      </c>
      <c r="F2575" s="85">
        <v>26351.86</v>
      </c>
      <c r="G2575" s="85">
        <v>-2019.36</v>
      </c>
    </row>
    <row r="2576" spans="1:7" x14ac:dyDescent="0.3">
      <c r="A2576" s="84">
        <v>2026</v>
      </c>
      <c r="B2576" s="84" t="s">
        <v>396</v>
      </c>
      <c r="C2576" s="84">
        <v>26</v>
      </c>
      <c r="D2576" s="84">
        <v>25</v>
      </c>
      <c r="E2576" s="85">
        <v>28371.22</v>
      </c>
      <c r="F2576" s="85">
        <v>26991.94</v>
      </c>
      <c r="G2576" s="85">
        <v>-1379.28</v>
      </c>
    </row>
    <row r="2577" spans="1:7" x14ac:dyDescent="0.3">
      <c r="A2577" s="84">
        <v>2026</v>
      </c>
      <c r="B2577" s="84" t="s">
        <v>396</v>
      </c>
      <c r="C2577" s="84">
        <v>26</v>
      </c>
      <c r="D2577" s="84">
        <v>26</v>
      </c>
      <c r="E2577" s="85">
        <v>28371.22</v>
      </c>
      <c r="F2577" s="85">
        <v>28371.22</v>
      </c>
      <c r="G2577" s="85">
        <v>0</v>
      </c>
    </row>
    <row r="2578" spans="1:7" x14ac:dyDescent="0.3">
      <c r="A2578" s="84">
        <v>2026</v>
      </c>
      <c r="B2578" s="84" t="s">
        <v>396</v>
      </c>
      <c r="C2578" s="84">
        <v>26</v>
      </c>
      <c r="D2578" s="84">
        <v>27</v>
      </c>
      <c r="E2578" s="85">
        <v>28371.22</v>
      </c>
      <c r="F2578" s="85">
        <v>30080.48</v>
      </c>
      <c r="G2578" s="85">
        <v>1709.26</v>
      </c>
    </row>
    <row r="2579" spans="1:7" x14ac:dyDescent="0.3">
      <c r="A2579" s="84">
        <v>2026</v>
      </c>
      <c r="B2579" s="84" t="s">
        <v>396</v>
      </c>
      <c r="C2579" s="84">
        <v>26</v>
      </c>
      <c r="D2579" s="84">
        <v>28</v>
      </c>
      <c r="E2579" s="85">
        <v>28371.22</v>
      </c>
      <c r="F2579" s="85">
        <v>30720.98</v>
      </c>
      <c r="G2579" s="85">
        <v>2349.7600000000002</v>
      </c>
    </row>
    <row r="2580" spans="1:7" x14ac:dyDescent="0.3">
      <c r="A2580" s="84">
        <v>2026</v>
      </c>
      <c r="B2580" s="84" t="s">
        <v>396</v>
      </c>
      <c r="C2580" s="84">
        <v>26</v>
      </c>
      <c r="D2580" s="84">
        <v>29</v>
      </c>
      <c r="E2580" s="85">
        <v>28371.22</v>
      </c>
      <c r="F2580" s="85">
        <v>31360.36</v>
      </c>
      <c r="G2580" s="85">
        <v>2989.14</v>
      </c>
    </row>
    <row r="2581" spans="1:7" x14ac:dyDescent="0.3">
      <c r="A2581" s="84">
        <v>2026</v>
      </c>
      <c r="B2581" s="84" t="s">
        <v>396</v>
      </c>
      <c r="C2581" s="84">
        <v>26</v>
      </c>
      <c r="D2581" s="84">
        <v>30</v>
      </c>
      <c r="E2581" s="85">
        <v>28371.22</v>
      </c>
      <c r="F2581" s="85">
        <v>33108.68</v>
      </c>
      <c r="G2581" s="85">
        <v>4737.46</v>
      </c>
    </row>
    <row r="2582" spans="1:7" x14ac:dyDescent="0.3">
      <c r="A2582" s="84">
        <v>2026</v>
      </c>
      <c r="B2582" s="84" t="s">
        <v>396</v>
      </c>
      <c r="C2582" s="84">
        <v>27</v>
      </c>
      <c r="D2582" s="84">
        <v>1</v>
      </c>
      <c r="E2582" s="85">
        <v>30080.48</v>
      </c>
      <c r="F2582" s="85">
        <v>17751.240000000002</v>
      </c>
      <c r="G2582" s="85">
        <v>-12329.24</v>
      </c>
    </row>
    <row r="2583" spans="1:7" x14ac:dyDescent="0.3">
      <c r="A2583" s="84">
        <v>2026</v>
      </c>
      <c r="B2583" s="84" t="s">
        <v>396</v>
      </c>
      <c r="C2583" s="84">
        <v>27</v>
      </c>
      <c r="D2583" s="84">
        <v>2</v>
      </c>
      <c r="E2583" s="85">
        <v>30080.48</v>
      </c>
      <c r="F2583" s="85">
        <v>18045.66</v>
      </c>
      <c r="G2583" s="85">
        <v>-12034.82</v>
      </c>
    </row>
    <row r="2584" spans="1:7" x14ac:dyDescent="0.3">
      <c r="A2584" s="84">
        <v>2026</v>
      </c>
      <c r="B2584" s="84" t="s">
        <v>396</v>
      </c>
      <c r="C2584" s="84">
        <v>27</v>
      </c>
      <c r="D2584" s="84">
        <v>3</v>
      </c>
      <c r="E2584" s="85">
        <v>30080.48</v>
      </c>
      <c r="F2584" s="85">
        <v>18340.64</v>
      </c>
      <c r="G2584" s="85">
        <v>-11739.84</v>
      </c>
    </row>
    <row r="2585" spans="1:7" x14ac:dyDescent="0.3">
      <c r="A2585" s="84">
        <v>2026</v>
      </c>
      <c r="B2585" s="84" t="s">
        <v>396</v>
      </c>
      <c r="C2585" s="84">
        <v>27</v>
      </c>
      <c r="D2585" s="84">
        <v>4</v>
      </c>
      <c r="E2585" s="85">
        <v>30080.48</v>
      </c>
      <c r="F2585" s="85">
        <v>18634.78</v>
      </c>
      <c r="G2585" s="85">
        <v>-11445.7</v>
      </c>
    </row>
    <row r="2586" spans="1:7" x14ac:dyDescent="0.3">
      <c r="A2586" s="84">
        <v>2026</v>
      </c>
      <c r="B2586" s="84" t="s">
        <v>396</v>
      </c>
      <c r="C2586" s="84">
        <v>27</v>
      </c>
      <c r="D2586" s="84">
        <v>5</v>
      </c>
      <c r="E2586" s="85">
        <v>30080.48</v>
      </c>
      <c r="F2586" s="85">
        <v>18929.48</v>
      </c>
      <c r="G2586" s="85">
        <v>-11151</v>
      </c>
    </row>
    <row r="2587" spans="1:7" x14ac:dyDescent="0.3">
      <c r="A2587" s="84">
        <v>2026</v>
      </c>
      <c r="B2587" s="84" t="s">
        <v>396</v>
      </c>
      <c r="C2587" s="84">
        <v>27</v>
      </c>
      <c r="D2587" s="84">
        <v>6</v>
      </c>
      <c r="E2587" s="85">
        <v>30080.48</v>
      </c>
      <c r="F2587" s="85">
        <v>19126.18</v>
      </c>
      <c r="G2587" s="85">
        <v>-10954.3</v>
      </c>
    </row>
    <row r="2588" spans="1:7" x14ac:dyDescent="0.3">
      <c r="A2588" s="84">
        <v>2026</v>
      </c>
      <c r="B2588" s="84" t="s">
        <v>396</v>
      </c>
      <c r="C2588" s="84">
        <v>27</v>
      </c>
      <c r="D2588" s="84">
        <v>7</v>
      </c>
      <c r="E2588" s="85">
        <v>30080.48</v>
      </c>
      <c r="F2588" s="85">
        <v>19322.38</v>
      </c>
      <c r="G2588" s="85">
        <v>-10758.1</v>
      </c>
    </row>
    <row r="2589" spans="1:7" x14ac:dyDescent="0.3">
      <c r="A2589" s="84">
        <v>2026</v>
      </c>
      <c r="B2589" s="84" t="s">
        <v>396</v>
      </c>
      <c r="C2589" s="84">
        <v>27</v>
      </c>
      <c r="D2589" s="84">
        <v>8</v>
      </c>
      <c r="E2589" s="85">
        <v>30080.48</v>
      </c>
      <c r="F2589" s="85">
        <v>19519.16</v>
      </c>
      <c r="G2589" s="85">
        <v>-10561.32</v>
      </c>
    </row>
    <row r="2590" spans="1:7" x14ac:dyDescent="0.3">
      <c r="A2590" s="84">
        <v>2026</v>
      </c>
      <c r="B2590" s="84" t="s">
        <v>396</v>
      </c>
      <c r="C2590" s="84">
        <v>27</v>
      </c>
      <c r="D2590" s="84">
        <v>9</v>
      </c>
      <c r="E2590" s="85">
        <v>30080.48</v>
      </c>
      <c r="F2590" s="85">
        <v>19716.28</v>
      </c>
      <c r="G2590" s="85">
        <v>-10364.200000000001</v>
      </c>
    </row>
    <row r="2591" spans="1:7" x14ac:dyDescent="0.3">
      <c r="A2591" s="84">
        <v>2026</v>
      </c>
      <c r="B2591" s="84" t="s">
        <v>396</v>
      </c>
      <c r="C2591" s="84">
        <v>27</v>
      </c>
      <c r="D2591" s="84">
        <v>10</v>
      </c>
      <c r="E2591" s="85">
        <v>30080.48</v>
      </c>
      <c r="F2591" s="85">
        <v>19912.7</v>
      </c>
      <c r="G2591" s="85">
        <v>-10167.780000000001</v>
      </c>
    </row>
    <row r="2592" spans="1:7" x14ac:dyDescent="0.3">
      <c r="A2592" s="84">
        <v>2026</v>
      </c>
      <c r="B2592" s="84" t="s">
        <v>396</v>
      </c>
      <c r="C2592" s="84">
        <v>27</v>
      </c>
      <c r="D2592" s="84">
        <v>11</v>
      </c>
      <c r="E2592" s="85">
        <v>30080.48</v>
      </c>
      <c r="F2592" s="85">
        <v>20305.259999999998</v>
      </c>
      <c r="G2592" s="85">
        <v>-9775.2199999999993</v>
      </c>
    </row>
    <row r="2593" spans="1:7" x14ac:dyDescent="0.3">
      <c r="A2593" s="84">
        <v>2026</v>
      </c>
      <c r="B2593" s="84" t="s">
        <v>396</v>
      </c>
      <c r="C2593" s="84">
        <v>27</v>
      </c>
      <c r="D2593" s="84">
        <v>12</v>
      </c>
      <c r="E2593" s="85">
        <v>30080.48</v>
      </c>
      <c r="F2593" s="85">
        <v>20698.8</v>
      </c>
      <c r="G2593" s="85">
        <v>-9381.68</v>
      </c>
    </row>
    <row r="2594" spans="1:7" x14ac:dyDescent="0.3">
      <c r="A2594" s="84">
        <v>2026</v>
      </c>
      <c r="B2594" s="84" t="s">
        <v>396</v>
      </c>
      <c r="C2594" s="84">
        <v>27</v>
      </c>
      <c r="D2594" s="84">
        <v>13</v>
      </c>
      <c r="E2594" s="85">
        <v>30080.48</v>
      </c>
      <c r="F2594" s="85">
        <v>21092.06</v>
      </c>
      <c r="G2594" s="85">
        <v>-8988.42</v>
      </c>
    </row>
    <row r="2595" spans="1:7" x14ac:dyDescent="0.3">
      <c r="A2595" s="84">
        <v>2026</v>
      </c>
      <c r="B2595" s="84" t="s">
        <v>396</v>
      </c>
      <c r="C2595" s="84">
        <v>27</v>
      </c>
      <c r="D2595" s="84">
        <v>14</v>
      </c>
      <c r="E2595" s="85">
        <v>30080.48</v>
      </c>
      <c r="F2595" s="85">
        <v>21485.88</v>
      </c>
      <c r="G2595" s="85">
        <v>-8594.6</v>
      </c>
    </row>
    <row r="2596" spans="1:7" x14ac:dyDescent="0.3">
      <c r="A2596" s="84">
        <v>2026</v>
      </c>
      <c r="B2596" s="84" t="s">
        <v>396</v>
      </c>
      <c r="C2596" s="84">
        <v>27</v>
      </c>
      <c r="D2596" s="84">
        <v>15</v>
      </c>
      <c r="E2596" s="85">
        <v>30080.48</v>
      </c>
      <c r="F2596" s="85">
        <v>21878.16</v>
      </c>
      <c r="G2596" s="85">
        <v>-8202.32</v>
      </c>
    </row>
    <row r="2597" spans="1:7" x14ac:dyDescent="0.3">
      <c r="A2597" s="84">
        <v>2026</v>
      </c>
      <c r="B2597" s="84" t="s">
        <v>396</v>
      </c>
      <c r="C2597" s="84">
        <v>27</v>
      </c>
      <c r="D2597" s="84">
        <v>16</v>
      </c>
      <c r="E2597" s="85">
        <v>30080.48</v>
      </c>
      <c r="F2597" s="85">
        <v>22272.12</v>
      </c>
      <c r="G2597" s="85">
        <v>-7808.36</v>
      </c>
    </row>
    <row r="2598" spans="1:7" x14ac:dyDescent="0.3">
      <c r="A2598" s="84">
        <v>2026</v>
      </c>
      <c r="B2598" s="84" t="s">
        <v>396</v>
      </c>
      <c r="C2598" s="84">
        <v>27</v>
      </c>
      <c r="D2598" s="84">
        <v>17</v>
      </c>
      <c r="E2598" s="85">
        <v>30080.48</v>
      </c>
      <c r="F2598" s="85">
        <v>22664.400000000001</v>
      </c>
      <c r="G2598" s="85">
        <v>-7416.08</v>
      </c>
    </row>
    <row r="2599" spans="1:7" x14ac:dyDescent="0.3">
      <c r="A2599" s="84">
        <v>2026</v>
      </c>
      <c r="B2599" s="84" t="s">
        <v>396</v>
      </c>
      <c r="C2599" s="84">
        <v>27</v>
      </c>
      <c r="D2599" s="84">
        <v>18</v>
      </c>
      <c r="E2599" s="85">
        <v>30080.48</v>
      </c>
      <c r="F2599" s="85">
        <v>23057.94</v>
      </c>
      <c r="G2599" s="85">
        <v>-7022.54</v>
      </c>
    </row>
    <row r="2600" spans="1:7" x14ac:dyDescent="0.3">
      <c r="A2600" s="84">
        <v>2026</v>
      </c>
      <c r="B2600" s="84" t="s">
        <v>396</v>
      </c>
      <c r="C2600" s="84">
        <v>27</v>
      </c>
      <c r="D2600" s="84">
        <v>19</v>
      </c>
      <c r="E2600" s="85">
        <v>30080.48</v>
      </c>
      <c r="F2600" s="85">
        <v>23451.06</v>
      </c>
      <c r="G2600" s="85">
        <v>-6629.42</v>
      </c>
    </row>
    <row r="2601" spans="1:7" x14ac:dyDescent="0.3">
      <c r="A2601" s="84">
        <v>2026</v>
      </c>
      <c r="B2601" s="84" t="s">
        <v>396</v>
      </c>
      <c r="C2601" s="84">
        <v>27</v>
      </c>
      <c r="D2601" s="84">
        <v>20</v>
      </c>
      <c r="E2601" s="85">
        <v>30080.48</v>
      </c>
      <c r="F2601" s="85">
        <v>23844.04</v>
      </c>
      <c r="G2601" s="85">
        <v>-6236.44</v>
      </c>
    </row>
    <row r="2602" spans="1:7" x14ac:dyDescent="0.3">
      <c r="A2602" s="84">
        <v>2026</v>
      </c>
      <c r="B2602" s="84" t="s">
        <v>396</v>
      </c>
      <c r="C2602" s="84">
        <v>27</v>
      </c>
      <c r="D2602" s="84">
        <v>21</v>
      </c>
      <c r="E2602" s="85">
        <v>30080.48</v>
      </c>
      <c r="F2602" s="85">
        <v>24433.439999999999</v>
      </c>
      <c r="G2602" s="85">
        <v>-5647.04</v>
      </c>
    </row>
    <row r="2603" spans="1:7" x14ac:dyDescent="0.3">
      <c r="A2603" s="84">
        <v>2026</v>
      </c>
      <c r="B2603" s="84" t="s">
        <v>396</v>
      </c>
      <c r="C2603" s="84">
        <v>27</v>
      </c>
      <c r="D2603" s="84">
        <v>22</v>
      </c>
      <c r="E2603" s="85">
        <v>30080.48</v>
      </c>
      <c r="F2603" s="85">
        <v>25072.12</v>
      </c>
      <c r="G2603" s="85">
        <v>-5008.3599999999997</v>
      </c>
    </row>
    <row r="2604" spans="1:7" x14ac:dyDescent="0.3">
      <c r="A2604" s="84">
        <v>2026</v>
      </c>
      <c r="B2604" s="84" t="s">
        <v>396</v>
      </c>
      <c r="C2604" s="84">
        <v>27</v>
      </c>
      <c r="D2604" s="84">
        <v>23</v>
      </c>
      <c r="E2604" s="85">
        <v>30080.48</v>
      </c>
      <c r="F2604" s="85">
        <v>25712.62</v>
      </c>
      <c r="G2604" s="85">
        <v>-4367.8599999999997</v>
      </c>
    </row>
    <row r="2605" spans="1:7" x14ac:dyDescent="0.3">
      <c r="A2605" s="84">
        <v>2026</v>
      </c>
      <c r="B2605" s="84" t="s">
        <v>396</v>
      </c>
      <c r="C2605" s="84">
        <v>27</v>
      </c>
      <c r="D2605" s="84">
        <v>24</v>
      </c>
      <c r="E2605" s="85">
        <v>30080.48</v>
      </c>
      <c r="F2605" s="85">
        <v>26351.86</v>
      </c>
      <c r="G2605" s="85">
        <v>-3728.62</v>
      </c>
    </row>
    <row r="2606" spans="1:7" x14ac:dyDescent="0.3">
      <c r="A2606" s="84">
        <v>2026</v>
      </c>
      <c r="B2606" s="84" t="s">
        <v>396</v>
      </c>
      <c r="C2606" s="84">
        <v>27</v>
      </c>
      <c r="D2606" s="84">
        <v>25</v>
      </c>
      <c r="E2606" s="85">
        <v>30080.48</v>
      </c>
      <c r="F2606" s="85">
        <v>26991.94</v>
      </c>
      <c r="G2606" s="85">
        <v>-3088.54</v>
      </c>
    </row>
    <row r="2607" spans="1:7" x14ac:dyDescent="0.3">
      <c r="A2607" s="84">
        <v>2026</v>
      </c>
      <c r="B2607" s="84" t="s">
        <v>396</v>
      </c>
      <c r="C2607" s="84">
        <v>27</v>
      </c>
      <c r="D2607" s="84">
        <v>26</v>
      </c>
      <c r="E2607" s="85">
        <v>30080.48</v>
      </c>
      <c r="F2607" s="85">
        <v>28371.22</v>
      </c>
      <c r="G2607" s="85">
        <v>-1709.26</v>
      </c>
    </row>
    <row r="2608" spans="1:7" x14ac:dyDescent="0.3">
      <c r="A2608" s="84">
        <v>2026</v>
      </c>
      <c r="B2608" s="84" t="s">
        <v>396</v>
      </c>
      <c r="C2608" s="84">
        <v>27</v>
      </c>
      <c r="D2608" s="84">
        <v>27</v>
      </c>
      <c r="E2608" s="85">
        <v>30080.48</v>
      </c>
      <c r="F2608" s="85">
        <v>30080.48</v>
      </c>
      <c r="G2608" s="85">
        <v>0</v>
      </c>
    </row>
    <row r="2609" spans="1:7" x14ac:dyDescent="0.3">
      <c r="A2609" s="84">
        <v>2026</v>
      </c>
      <c r="B2609" s="84" t="s">
        <v>396</v>
      </c>
      <c r="C2609" s="84">
        <v>27</v>
      </c>
      <c r="D2609" s="84">
        <v>28</v>
      </c>
      <c r="E2609" s="85">
        <v>30080.48</v>
      </c>
      <c r="F2609" s="85">
        <v>30720.98</v>
      </c>
      <c r="G2609" s="85">
        <v>640.5</v>
      </c>
    </row>
    <row r="2610" spans="1:7" x14ac:dyDescent="0.3">
      <c r="A2610" s="84">
        <v>2026</v>
      </c>
      <c r="B2610" s="84" t="s">
        <v>396</v>
      </c>
      <c r="C2610" s="84">
        <v>27</v>
      </c>
      <c r="D2610" s="84">
        <v>29</v>
      </c>
      <c r="E2610" s="85">
        <v>30080.48</v>
      </c>
      <c r="F2610" s="85">
        <v>31360.36</v>
      </c>
      <c r="G2610" s="85">
        <v>1279.8800000000001</v>
      </c>
    </row>
    <row r="2611" spans="1:7" x14ac:dyDescent="0.3">
      <c r="A2611" s="84">
        <v>2026</v>
      </c>
      <c r="B2611" s="84" t="s">
        <v>396</v>
      </c>
      <c r="C2611" s="84">
        <v>27</v>
      </c>
      <c r="D2611" s="84">
        <v>30</v>
      </c>
      <c r="E2611" s="85">
        <v>30080.48</v>
      </c>
      <c r="F2611" s="85">
        <v>33108.68</v>
      </c>
      <c r="G2611" s="85">
        <v>3028.2</v>
      </c>
    </row>
    <row r="2612" spans="1:7" x14ac:dyDescent="0.3">
      <c r="A2612" s="84">
        <v>2026</v>
      </c>
      <c r="B2612" s="84" t="s">
        <v>396</v>
      </c>
      <c r="C2612" s="84">
        <v>28</v>
      </c>
      <c r="D2612" s="84">
        <v>1</v>
      </c>
      <c r="E2612" s="85">
        <v>30720.98</v>
      </c>
      <c r="F2612" s="85">
        <v>17751.240000000002</v>
      </c>
      <c r="G2612" s="85">
        <v>-12969.74</v>
      </c>
    </row>
    <row r="2613" spans="1:7" x14ac:dyDescent="0.3">
      <c r="A2613" s="84">
        <v>2026</v>
      </c>
      <c r="B2613" s="84" t="s">
        <v>396</v>
      </c>
      <c r="C2613" s="84">
        <v>28</v>
      </c>
      <c r="D2613" s="84">
        <v>2</v>
      </c>
      <c r="E2613" s="85">
        <v>30720.98</v>
      </c>
      <c r="F2613" s="85">
        <v>18045.66</v>
      </c>
      <c r="G2613" s="85">
        <v>-12675.32</v>
      </c>
    </row>
    <row r="2614" spans="1:7" x14ac:dyDescent="0.3">
      <c r="A2614" s="84">
        <v>2026</v>
      </c>
      <c r="B2614" s="84" t="s">
        <v>396</v>
      </c>
      <c r="C2614" s="84">
        <v>28</v>
      </c>
      <c r="D2614" s="84">
        <v>3</v>
      </c>
      <c r="E2614" s="85">
        <v>30720.98</v>
      </c>
      <c r="F2614" s="85">
        <v>18340.64</v>
      </c>
      <c r="G2614" s="85">
        <v>-12380.34</v>
      </c>
    </row>
    <row r="2615" spans="1:7" x14ac:dyDescent="0.3">
      <c r="A2615" s="84">
        <v>2026</v>
      </c>
      <c r="B2615" s="84" t="s">
        <v>396</v>
      </c>
      <c r="C2615" s="84">
        <v>28</v>
      </c>
      <c r="D2615" s="84">
        <v>4</v>
      </c>
      <c r="E2615" s="85">
        <v>30720.98</v>
      </c>
      <c r="F2615" s="85">
        <v>18634.78</v>
      </c>
      <c r="G2615" s="85">
        <v>-12086.2</v>
      </c>
    </row>
    <row r="2616" spans="1:7" x14ac:dyDescent="0.3">
      <c r="A2616" s="84">
        <v>2026</v>
      </c>
      <c r="B2616" s="84" t="s">
        <v>396</v>
      </c>
      <c r="C2616" s="84">
        <v>28</v>
      </c>
      <c r="D2616" s="84">
        <v>5</v>
      </c>
      <c r="E2616" s="85">
        <v>30720.98</v>
      </c>
      <c r="F2616" s="85">
        <v>18929.48</v>
      </c>
      <c r="G2616" s="85">
        <v>-11791.5</v>
      </c>
    </row>
    <row r="2617" spans="1:7" x14ac:dyDescent="0.3">
      <c r="A2617" s="84">
        <v>2026</v>
      </c>
      <c r="B2617" s="84" t="s">
        <v>396</v>
      </c>
      <c r="C2617" s="84">
        <v>28</v>
      </c>
      <c r="D2617" s="84">
        <v>6</v>
      </c>
      <c r="E2617" s="85">
        <v>30720.98</v>
      </c>
      <c r="F2617" s="85">
        <v>19126.18</v>
      </c>
      <c r="G2617" s="85">
        <v>-11594.8</v>
      </c>
    </row>
    <row r="2618" spans="1:7" x14ac:dyDescent="0.3">
      <c r="A2618" s="84">
        <v>2026</v>
      </c>
      <c r="B2618" s="84" t="s">
        <v>396</v>
      </c>
      <c r="C2618" s="84">
        <v>28</v>
      </c>
      <c r="D2618" s="84">
        <v>7</v>
      </c>
      <c r="E2618" s="85">
        <v>30720.98</v>
      </c>
      <c r="F2618" s="85">
        <v>19322.38</v>
      </c>
      <c r="G2618" s="85">
        <v>-11398.6</v>
      </c>
    </row>
    <row r="2619" spans="1:7" x14ac:dyDescent="0.3">
      <c r="A2619" s="84">
        <v>2026</v>
      </c>
      <c r="B2619" s="84" t="s">
        <v>396</v>
      </c>
      <c r="C2619" s="84">
        <v>28</v>
      </c>
      <c r="D2619" s="84">
        <v>8</v>
      </c>
      <c r="E2619" s="85">
        <v>30720.98</v>
      </c>
      <c r="F2619" s="85">
        <v>19519.16</v>
      </c>
      <c r="G2619" s="85">
        <v>-11201.82</v>
      </c>
    </row>
    <row r="2620" spans="1:7" x14ac:dyDescent="0.3">
      <c r="A2620" s="84">
        <v>2026</v>
      </c>
      <c r="B2620" s="84" t="s">
        <v>396</v>
      </c>
      <c r="C2620" s="84">
        <v>28</v>
      </c>
      <c r="D2620" s="84">
        <v>9</v>
      </c>
      <c r="E2620" s="85">
        <v>30720.98</v>
      </c>
      <c r="F2620" s="85">
        <v>19716.28</v>
      </c>
      <c r="G2620" s="85">
        <v>-11004.7</v>
      </c>
    </row>
    <row r="2621" spans="1:7" x14ac:dyDescent="0.3">
      <c r="A2621" s="84">
        <v>2026</v>
      </c>
      <c r="B2621" s="84" t="s">
        <v>396</v>
      </c>
      <c r="C2621" s="84">
        <v>28</v>
      </c>
      <c r="D2621" s="84">
        <v>10</v>
      </c>
      <c r="E2621" s="85">
        <v>30720.98</v>
      </c>
      <c r="F2621" s="85">
        <v>19912.7</v>
      </c>
      <c r="G2621" s="85">
        <v>-10808.28</v>
      </c>
    </row>
    <row r="2622" spans="1:7" x14ac:dyDescent="0.3">
      <c r="A2622" s="84">
        <v>2026</v>
      </c>
      <c r="B2622" s="84" t="s">
        <v>396</v>
      </c>
      <c r="C2622" s="84">
        <v>28</v>
      </c>
      <c r="D2622" s="84">
        <v>11</v>
      </c>
      <c r="E2622" s="85">
        <v>30720.98</v>
      </c>
      <c r="F2622" s="85">
        <v>20305.259999999998</v>
      </c>
      <c r="G2622" s="85">
        <v>-10415.719999999999</v>
      </c>
    </row>
    <row r="2623" spans="1:7" x14ac:dyDescent="0.3">
      <c r="A2623" s="84">
        <v>2026</v>
      </c>
      <c r="B2623" s="84" t="s">
        <v>396</v>
      </c>
      <c r="C2623" s="84">
        <v>28</v>
      </c>
      <c r="D2623" s="84">
        <v>12</v>
      </c>
      <c r="E2623" s="85">
        <v>30720.98</v>
      </c>
      <c r="F2623" s="85">
        <v>20698.8</v>
      </c>
      <c r="G2623" s="85">
        <v>-10022.18</v>
      </c>
    </row>
    <row r="2624" spans="1:7" x14ac:dyDescent="0.3">
      <c r="A2624" s="84">
        <v>2026</v>
      </c>
      <c r="B2624" s="84" t="s">
        <v>396</v>
      </c>
      <c r="C2624" s="84">
        <v>28</v>
      </c>
      <c r="D2624" s="84">
        <v>13</v>
      </c>
      <c r="E2624" s="85">
        <v>30720.98</v>
      </c>
      <c r="F2624" s="85">
        <v>21092.06</v>
      </c>
      <c r="G2624" s="85">
        <v>-9628.92</v>
      </c>
    </row>
    <row r="2625" spans="1:7" x14ac:dyDescent="0.3">
      <c r="A2625" s="84">
        <v>2026</v>
      </c>
      <c r="B2625" s="84" t="s">
        <v>396</v>
      </c>
      <c r="C2625" s="84">
        <v>28</v>
      </c>
      <c r="D2625" s="84">
        <v>14</v>
      </c>
      <c r="E2625" s="85">
        <v>30720.98</v>
      </c>
      <c r="F2625" s="85">
        <v>21485.88</v>
      </c>
      <c r="G2625" s="85">
        <v>-9235.1</v>
      </c>
    </row>
    <row r="2626" spans="1:7" x14ac:dyDescent="0.3">
      <c r="A2626" s="84">
        <v>2026</v>
      </c>
      <c r="B2626" s="84" t="s">
        <v>396</v>
      </c>
      <c r="C2626" s="84">
        <v>28</v>
      </c>
      <c r="D2626" s="84">
        <v>15</v>
      </c>
      <c r="E2626" s="85">
        <v>30720.98</v>
      </c>
      <c r="F2626" s="85">
        <v>21878.16</v>
      </c>
      <c r="G2626" s="85">
        <v>-8842.82</v>
      </c>
    </row>
    <row r="2627" spans="1:7" x14ac:dyDescent="0.3">
      <c r="A2627" s="84">
        <v>2026</v>
      </c>
      <c r="B2627" s="84" t="s">
        <v>396</v>
      </c>
      <c r="C2627" s="84">
        <v>28</v>
      </c>
      <c r="D2627" s="84">
        <v>16</v>
      </c>
      <c r="E2627" s="85">
        <v>30720.98</v>
      </c>
      <c r="F2627" s="85">
        <v>22272.12</v>
      </c>
      <c r="G2627" s="85">
        <v>-8448.86</v>
      </c>
    </row>
    <row r="2628" spans="1:7" x14ac:dyDescent="0.3">
      <c r="A2628" s="84">
        <v>2026</v>
      </c>
      <c r="B2628" s="84" t="s">
        <v>396</v>
      </c>
      <c r="C2628" s="84">
        <v>28</v>
      </c>
      <c r="D2628" s="84">
        <v>17</v>
      </c>
      <c r="E2628" s="85">
        <v>30720.98</v>
      </c>
      <c r="F2628" s="85">
        <v>22664.400000000001</v>
      </c>
      <c r="G2628" s="85">
        <v>-8056.58</v>
      </c>
    </row>
    <row r="2629" spans="1:7" x14ac:dyDescent="0.3">
      <c r="A2629" s="84">
        <v>2026</v>
      </c>
      <c r="B2629" s="84" t="s">
        <v>396</v>
      </c>
      <c r="C2629" s="84">
        <v>28</v>
      </c>
      <c r="D2629" s="84">
        <v>18</v>
      </c>
      <c r="E2629" s="85">
        <v>30720.98</v>
      </c>
      <c r="F2629" s="85">
        <v>23057.94</v>
      </c>
      <c r="G2629" s="85">
        <v>-7663.04</v>
      </c>
    </row>
    <row r="2630" spans="1:7" x14ac:dyDescent="0.3">
      <c r="A2630" s="84">
        <v>2026</v>
      </c>
      <c r="B2630" s="84" t="s">
        <v>396</v>
      </c>
      <c r="C2630" s="84">
        <v>28</v>
      </c>
      <c r="D2630" s="84">
        <v>19</v>
      </c>
      <c r="E2630" s="85">
        <v>30720.98</v>
      </c>
      <c r="F2630" s="85">
        <v>23451.06</v>
      </c>
      <c r="G2630" s="85">
        <v>-7269.92</v>
      </c>
    </row>
    <row r="2631" spans="1:7" x14ac:dyDescent="0.3">
      <c r="A2631" s="84">
        <v>2026</v>
      </c>
      <c r="B2631" s="84" t="s">
        <v>396</v>
      </c>
      <c r="C2631" s="84">
        <v>28</v>
      </c>
      <c r="D2631" s="84">
        <v>20</v>
      </c>
      <c r="E2631" s="85">
        <v>30720.98</v>
      </c>
      <c r="F2631" s="85">
        <v>23844.04</v>
      </c>
      <c r="G2631" s="85">
        <v>-6876.94</v>
      </c>
    </row>
    <row r="2632" spans="1:7" x14ac:dyDescent="0.3">
      <c r="A2632" s="84">
        <v>2026</v>
      </c>
      <c r="B2632" s="84" t="s">
        <v>396</v>
      </c>
      <c r="C2632" s="84">
        <v>28</v>
      </c>
      <c r="D2632" s="84">
        <v>21</v>
      </c>
      <c r="E2632" s="85">
        <v>30720.98</v>
      </c>
      <c r="F2632" s="85">
        <v>24433.439999999999</v>
      </c>
      <c r="G2632" s="85">
        <v>-6287.54</v>
      </c>
    </row>
    <row r="2633" spans="1:7" x14ac:dyDescent="0.3">
      <c r="A2633" s="84">
        <v>2026</v>
      </c>
      <c r="B2633" s="84" t="s">
        <v>396</v>
      </c>
      <c r="C2633" s="84">
        <v>28</v>
      </c>
      <c r="D2633" s="84">
        <v>22</v>
      </c>
      <c r="E2633" s="85">
        <v>30720.98</v>
      </c>
      <c r="F2633" s="85">
        <v>25072.12</v>
      </c>
      <c r="G2633" s="85">
        <v>-5648.86</v>
      </c>
    </row>
    <row r="2634" spans="1:7" x14ac:dyDescent="0.3">
      <c r="A2634" s="84">
        <v>2026</v>
      </c>
      <c r="B2634" s="84" t="s">
        <v>396</v>
      </c>
      <c r="C2634" s="84">
        <v>28</v>
      </c>
      <c r="D2634" s="84">
        <v>23</v>
      </c>
      <c r="E2634" s="85">
        <v>30720.98</v>
      </c>
      <c r="F2634" s="85">
        <v>25712.62</v>
      </c>
      <c r="G2634" s="85">
        <v>-5008.3599999999997</v>
      </c>
    </row>
    <row r="2635" spans="1:7" x14ac:dyDescent="0.3">
      <c r="A2635" s="84">
        <v>2026</v>
      </c>
      <c r="B2635" s="84" t="s">
        <v>396</v>
      </c>
      <c r="C2635" s="84">
        <v>28</v>
      </c>
      <c r="D2635" s="84">
        <v>24</v>
      </c>
      <c r="E2635" s="85">
        <v>30720.98</v>
      </c>
      <c r="F2635" s="85">
        <v>26351.86</v>
      </c>
      <c r="G2635" s="85">
        <v>-4369.12</v>
      </c>
    </row>
    <row r="2636" spans="1:7" x14ac:dyDescent="0.3">
      <c r="A2636" s="84">
        <v>2026</v>
      </c>
      <c r="B2636" s="84" t="s">
        <v>396</v>
      </c>
      <c r="C2636" s="84">
        <v>28</v>
      </c>
      <c r="D2636" s="84">
        <v>25</v>
      </c>
      <c r="E2636" s="85">
        <v>30720.98</v>
      </c>
      <c r="F2636" s="85">
        <v>26991.94</v>
      </c>
      <c r="G2636" s="85">
        <v>-3729.04</v>
      </c>
    </row>
    <row r="2637" spans="1:7" x14ac:dyDescent="0.3">
      <c r="A2637" s="84">
        <v>2026</v>
      </c>
      <c r="B2637" s="84" t="s">
        <v>396</v>
      </c>
      <c r="C2637" s="84">
        <v>28</v>
      </c>
      <c r="D2637" s="84">
        <v>26</v>
      </c>
      <c r="E2637" s="85">
        <v>30720.98</v>
      </c>
      <c r="F2637" s="85">
        <v>28371.22</v>
      </c>
      <c r="G2637" s="85">
        <v>-2349.7600000000002</v>
      </c>
    </row>
    <row r="2638" spans="1:7" x14ac:dyDescent="0.3">
      <c r="A2638" s="84">
        <v>2026</v>
      </c>
      <c r="B2638" s="84" t="s">
        <v>396</v>
      </c>
      <c r="C2638" s="84">
        <v>28</v>
      </c>
      <c r="D2638" s="84">
        <v>27</v>
      </c>
      <c r="E2638" s="85">
        <v>30720.98</v>
      </c>
      <c r="F2638" s="85">
        <v>30080.48</v>
      </c>
      <c r="G2638" s="85">
        <v>-640.5</v>
      </c>
    </row>
    <row r="2639" spans="1:7" x14ac:dyDescent="0.3">
      <c r="A2639" s="84">
        <v>2026</v>
      </c>
      <c r="B2639" s="84" t="s">
        <v>396</v>
      </c>
      <c r="C2639" s="84">
        <v>28</v>
      </c>
      <c r="D2639" s="84">
        <v>28</v>
      </c>
      <c r="E2639" s="85">
        <v>30720.98</v>
      </c>
      <c r="F2639" s="85">
        <v>30720.98</v>
      </c>
      <c r="G2639" s="85">
        <v>0</v>
      </c>
    </row>
    <row r="2640" spans="1:7" x14ac:dyDescent="0.3">
      <c r="A2640" s="84">
        <v>2026</v>
      </c>
      <c r="B2640" s="84" t="s">
        <v>396</v>
      </c>
      <c r="C2640" s="84">
        <v>28</v>
      </c>
      <c r="D2640" s="84">
        <v>29</v>
      </c>
      <c r="E2640" s="85">
        <v>30720.98</v>
      </c>
      <c r="F2640" s="85">
        <v>31360.36</v>
      </c>
      <c r="G2640" s="85">
        <v>639.38</v>
      </c>
    </row>
    <row r="2641" spans="1:7" x14ac:dyDescent="0.3">
      <c r="A2641" s="84">
        <v>2026</v>
      </c>
      <c r="B2641" s="84" t="s">
        <v>396</v>
      </c>
      <c r="C2641" s="84">
        <v>28</v>
      </c>
      <c r="D2641" s="84">
        <v>30</v>
      </c>
      <c r="E2641" s="85">
        <v>30720.98</v>
      </c>
      <c r="F2641" s="85">
        <v>33108.68</v>
      </c>
      <c r="G2641" s="85">
        <v>2387.6999999999998</v>
      </c>
    </row>
    <row r="2642" spans="1:7" x14ac:dyDescent="0.3">
      <c r="A2642" s="84">
        <v>2026</v>
      </c>
      <c r="B2642" s="84" t="s">
        <v>396</v>
      </c>
      <c r="C2642" s="84">
        <v>29</v>
      </c>
      <c r="D2642" s="84">
        <v>1</v>
      </c>
      <c r="E2642" s="85">
        <v>31360.36</v>
      </c>
      <c r="F2642" s="85">
        <v>17751.240000000002</v>
      </c>
      <c r="G2642" s="85">
        <v>-13609.12</v>
      </c>
    </row>
    <row r="2643" spans="1:7" x14ac:dyDescent="0.3">
      <c r="A2643" s="84">
        <v>2026</v>
      </c>
      <c r="B2643" s="84" t="s">
        <v>396</v>
      </c>
      <c r="C2643" s="84">
        <v>29</v>
      </c>
      <c r="D2643" s="84">
        <v>2</v>
      </c>
      <c r="E2643" s="85">
        <v>31360.36</v>
      </c>
      <c r="F2643" s="85">
        <v>18045.66</v>
      </c>
      <c r="G2643" s="85">
        <v>-13314.7</v>
      </c>
    </row>
    <row r="2644" spans="1:7" x14ac:dyDescent="0.3">
      <c r="A2644" s="84">
        <v>2026</v>
      </c>
      <c r="B2644" s="84" t="s">
        <v>396</v>
      </c>
      <c r="C2644" s="84">
        <v>29</v>
      </c>
      <c r="D2644" s="84">
        <v>3</v>
      </c>
      <c r="E2644" s="85">
        <v>31360.36</v>
      </c>
      <c r="F2644" s="85">
        <v>18340.64</v>
      </c>
      <c r="G2644" s="85">
        <v>-13019.72</v>
      </c>
    </row>
    <row r="2645" spans="1:7" x14ac:dyDescent="0.3">
      <c r="A2645" s="84">
        <v>2026</v>
      </c>
      <c r="B2645" s="84" t="s">
        <v>396</v>
      </c>
      <c r="C2645" s="84">
        <v>29</v>
      </c>
      <c r="D2645" s="84">
        <v>4</v>
      </c>
      <c r="E2645" s="85">
        <v>31360.36</v>
      </c>
      <c r="F2645" s="85">
        <v>18634.78</v>
      </c>
      <c r="G2645" s="85">
        <v>-12725.58</v>
      </c>
    </row>
    <row r="2646" spans="1:7" x14ac:dyDescent="0.3">
      <c r="A2646" s="84">
        <v>2026</v>
      </c>
      <c r="B2646" s="84" t="s">
        <v>396</v>
      </c>
      <c r="C2646" s="84">
        <v>29</v>
      </c>
      <c r="D2646" s="84">
        <v>5</v>
      </c>
      <c r="E2646" s="85">
        <v>31360.36</v>
      </c>
      <c r="F2646" s="85">
        <v>18929.48</v>
      </c>
      <c r="G2646" s="85">
        <v>-12430.88</v>
      </c>
    </row>
    <row r="2647" spans="1:7" x14ac:dyDescent="0.3">
      <c r="A2647" s="84">
        <v>2026</v>
      </c>
      <c r="B2647" s="84" t="s">
        <v>396</v>
      </c>
      <c r="C2647" s="84">
        <v>29</v>
      </c>
      <c r="D2647" s="84">
        <v>6</v>
      </c>
      <c r="E2647" s="85">
        <v>31360.36</v>
      </c>
      <c r="F2647" s="85">
        <v>19126.18</v>
      </c>
      <c r="G2647" s="85">
        <v>-12234.18</v>
      </c>
    </row>
    <row r="2648" spans="1:7" x14ac:dyDescent="0.3">
      <c r="A2648" s="84">
        <v>2026</v>
      </c>
      <c r="B2648" s="84" t="s">
        <v>396</v>
      </c>
      <c r="C2648" s="84">
        <v>29</v>
      </c>
      <c r="D2648" s="84">
        <v>7</v>
      </c>
      <c r="E2648" s="85">
        <v>31360.36</v>
      </c>
      <c r="F2648" s="85">
        <v>19322.38</v>
      </c>
      <c r="G2648" s="85">
        <v>-12037.98</v>
      </c>
    </row>
    <row r="2649" spans="1:7" x14ac:dyDescent="0.3">
      <c r="A2649" s="84">
        <v>2026</v>
      </c>
      <c r="B2649" s="84" t="s">
        <v>396</v>
      </c>
      <c r="C2649" s="84">
        <v>29</v>
      </c>
      <c r="D2649" s="84">
        <v>8</v>
      </c>
      <c r="E2649" s="85">
        <v>31360.36</v>
      </c>
      <c r="F2649" s="85">
        <v>19519.16</v>
      </c>
      <c r="G2649" s="85">
        <v>-11841.2</v>
      </c>
    </row>
    <row r="2650" spans="1:7" x14ac:dyDescent="0.3">
      <c r="A2650" s="84">
        <v>2026</v>
      </c>
      <c r="B2650" s="84" t="s">
        <v>396</v>
      </c>
      <c r="C2650" s="84">
        <v>29</v>
      </c>
      <c r="D2650" s="84">
        <v>9</v>
      </c>
      <c r="E2650" s="85">
        <v>31360.36</v>
      </c>
      <c r="F2650" s="85">
        <v>19716.28</v>
      </c>
      <c r="G2650" s="85">
        <v>-11644.08</v>
      </c>
    </row>
    <row r="2651" spans="1:7" x14ac:dyDescent="0.3">
      <c r="A2651" s="84">
        <v>2026</v>
      </c>
      <c r="B2651" s="84" t="s">
        <v>396</v>
      </c>
      <c r="C2651" s="84">
        <v>29</v>
      </c>
      <c r="D2651" s="84">
        <v>10</v>
      </c>
      <c r="E2651" s="85">
        <v>31360.36</v>
      </c>
      <c r="F2651" s="85">
        <v>19912.7</v>
      </c>
      <c r="G2651" s="85">
        <v>-11447.66</v>
      </c>
    </row>
    <row r="2652" spans="1:7" x14ac:dyDescent="0.3">
      <c r="A2652" s="84">
        <v>2026</v>
      </c>
      <c r="B2652" s="84" t="s">
        <v>396</v>
      </c>
      <c r="C2652" s="84">
        <v>29</v>
      </c>
      <c r="D2652" s="84">
        <v>11</v>
      </c>
      <c r="E2652" s="85">
        <v>31360.36</v>
      </c>
      <c r="F2652" s="85">
        <v>20305.259999999998</v>
      </c>
      <c r="G2652" s="85">
        <v>-11055.1</v>
      </c>
    </row>
    <row r="2653" spans="1:7" x14ac:dyDescent="0.3">
      <c r="A2653" s="84">
        <v>2026</v>
      </c>
      <c r="B2653" s="84" t="s">
        <v>396</v>
      </c>
      <c r="C2653" s="84">
        <v>29</v>
      </c>
      <c r="D2653" s="84">
        <v>12</v>
      </c>
      <c r="E2653" s="85">
        <v>31360.36</v>
      </c>
      <c r="F2653" s="85">
        <v>20698.8</v>
      </c>
      <c r="G2653" s="85">
        <v>-10661.56</v>
      </c>
    </row>
    <row r="2654" spans="1:7" x14ac:dyDescent="0.3">
      <c r="A2654" s="84">
        <v>2026</v>
      </c>
      <c r="B2654" s="84" t="s">
        <v>396</v>
      </c>
      <c r="C2654" s="84">
        <v>29</v>
      </c>
      <c r="D2654" s="84">
        <v>13</v>
      </c>
      <c r="E2654" s="85">
        <v>31360.36</v>
      </c>
      <c r="F2654" s="85">
        <v>21092.06</v>
      </c>
      <c r="G2654" s="85">
        <v>-10268.299999999999</v>
      </c>
    </row>
    <row r="2655" spans="1:7" x14ac:dyDescent="0.3">
      <c r="A2655" s="84">
        <v>2026</v>
      </c>
      <c r="B2655" s="84" t="s">
        <v>396</v>
      </c>
      <c r="C2655" s="84">
        <v>29</v>
      </c>
      <c r="D2655" s="84">
        <v>14</v>
      </c>
      <c r="E2655" s="85">
        <v>31360.36</v>
      </c>
      <c r="F2655" s="85">
        <v>21485.88</v>
      </c>
      <c r="G2655" s="85">
        <v>-9874.48</v>
      </c>
    </row>
    <row r="2656" spans="1:7" x14ac:dyDescent="0.3">
      <c r="A2656" s="84">
        <v>2026</v>
      </c>
      <c r="B2656" s="84" t="s">
        <v>396</v>
      </c>
      <c r="C2656" s="84">
        <v>29</v>
      </c>
      <c r="D2656" s="84">
        <v>15</v>
      </c>
      <c r="E2656" s="85">
        <v>31360.36</v>
      </c>
      <c r="F2656" s="85">
        <v>21878.16</v>
      </c>
      <c r="G2656" s="85">
        <v>-9482.2000000000007</v>
      </c>
    </row>
    <row r="2657" spans="1:7" x14ac:dyDescent="0.3">
      <c r="A2657" s="84">
        <v>2026</v>
      </c>
      <c r="B2657" s="84" t="s">
        <v>396</v>
      </c>
      <c r="C2657" s="84">
        <v>29</v>
      </c>
      <c r="D2657" s="84">
        <v>16</v>
      </c>
      <c r="E2657" s="85">
        <v>31360.36</v>
      </c>
      <c r="F2657" s="85">
        <v>22272.12</v>
      </c>
      <c r="G2657" s="85">
        <v>-9088.24</v>
      </c>
    </row>
    <row r="2658" spans="1:7" x14ac:dyDescent="0.3">
      <c r="A2658" s="84">
        <v>2026</v>
      </c>
      <c r="B2658" s="84" t="s">
        <v>396</v>
      </c>
      <c r="C2658" s="84">
        <v>29</v>
      </c>
      <c r="D2658" s="84">
        <v>17</v>
      </c>
      <c r="E2658" s="85">
        <v>31360.36</v>
      </c>
      <c r="F2658" s="85">
        <v>22664.400000000001</v>
      </c>
      <c r="G2658" s="85">
        <v>-8695.9599999999991</v>
      </c>
    </row>
    <row r="2659" spans="1:7" x14ac:dyDescent="0.3">
      <c r="A2659" s="84">
        <v>2026</v>
      </c>
      <c r="B2659" s="84" t="s">
        <v>396</v>
      </c>
      <c r="C2659" s="84">
        <v>29</v>
      </c>
      <c r="D2659" s="84">
        <v>18</v>
      </c>
      <c r="E2659" s="85">
        <v>31360.36</v>
      </c>
      <c r="F2659" s="85">
        <v>23057.94</v>
      </c>
      <c r="G2659" s="85">
        <v>-8302.42</v>
      </c>
    </row>
    <row r="2660" spans="1:7" x14ac:dyDescent="0.3">
      <c r="A2660" s="84">
        <v>2026</v>
      </c>
      <c r="B2660" s="84" t="s">
        <v>396</v>
      </c>
      <c r="C2660" s="84">
        <v>29</v>
      </c>
      <c r="D2660" s="84">
        <v>19</v>
      </c>
      <c r="E2660" s="85">
        <v>31360.36</v>
      </c>
      <c r="F2660" s="85">
        <v>23451.06</v>
      </c>
      <c r="G2660" s="85">
        <v>-7909.3</v>
      </c>
    </row>
    <row r="2661" spans="1:7" x14ac:dyDescent="0.3">
      <c r="A2661" s="84">
        <v>2026</v>
      </c>
      <c r="B2661" s="84" t="s">
        <v>396</v>
      </c>
      <c r="C2661" s="84">
        <v>29</v>
      </c>
      <c r="D2661" s="84">
        <v>20</v>
      </c>
      <c r="E2661" s="85">
        <v>31360.36</v>
      </c>
      <c r="F2661" s="85">
        <v>23844.04</v>
      </c>
      <c r="G2661" s="85">
        <v>-7516.32</v>
      </c>
    </row>
    <row r="2662" spans="1:7" x14ac:dyDescent="0.3">
      <c r="A2662" s="84">
        <v>2026</v>
      </c>
      <c r="B2662" s="84" t="s">
        <v>396</v>
      </c>
      <c r="C2662" s="84">
        <v>29</v>
      </c>
      <c r="D2662" s="84">
        <v>21</v>
      </c>
      <c r="E2662" s="85">
        <v>31360.36</v>
      </c>
      <c r="F2662" s="85">
        <v>24433.439999999999</v>
      </c>
      <c r="G2662" s="85">
        <v>-6926.92</v>
      </c>
    </row>
    <row r="2663" spans="1:7" x14ac:dyDescent="0.3">
      <c r="A2663" s="84">
        <v>2026</v>
      </c>
      <c r="B2663" s="84" t="s">
        <v>396</v>
      </c>
      <c r="C2663" s="84">
        <v>29</v>
      </c>
      <c r="D2663" s="84">
        <v>22</v>
      </c>
      <c r="E2663" s="85">
        <v>31360.36</v>
      </c>
      <c r="F2663" s="85">
        <v>25072.12</v>
      </c>
      <c r="G2663" s="85">
        <v>-6288.24</v>
      </c>
    </row>
    <row r="2664" spans="1:7" x14ac:dyDescent="0.3">
      <c r="A2664" s="84">
        <v>2026</v>
      </c>
      <c r="B2664" s="84" t="s">
        <v>396</v>
      </c>
      <c r="C2664" s="84">
        <v>29</v>
      </c>
      <c r="D2664" s="84">
        <v>23</v>
      </c>
      <c r="E2664" s="85">
        <v>31360.36</v>
      </c>
      <c r="F2664" s="85">
        <v>25712.62</v>
      </c>
      <c r="G2664" s="85">
        <v>-5647.74</v>
      </c>
    </row>
    <row r="2665" spans="1:7" x14ac:dyDescent="0.3">
      <c r="A2665" s="84">
        <v>2026</v>
      </c>
      <c r="B2665" s="84" t="s">
        <v>396</v>
      </c>
      <c r="C2665" s="84">
        <v>29</v>
      </c>
      <c r="D2665" s="84">
        <v>24</v>
      </c>
      <c r="E2665" s="85">
        <v>31360.36</v>
      </c>
      <c r="F2665" s="85">
        <v>26351.86</v>
      </c>
      <c r="G2665" s="85">
        <v>-5008.5</v>
      </c>
    </row>
    <row r="2666" spans="1:7" x14ac:dyDescent="0.3">
      <c r="A2666" s="84">
        <v>2026</v>
      </c>
      <c r="B2666" s="84" t="s">
        <v>396</v>
      </c>
      <c r="C2666" s="84">
        <v>29</v>
      </c>
      <c r="D2666" s="84">
        <v>25</v>
      </c>
      <c r="E2666" s="85">
        <v>31360.36</v>
      </c>
      <c r="F2666" s="85">
        <v>26991.94</v>
      </c>
      <c r="G2666" s="85">
        <v>-4368.42</v>
      </c>
    </row>
    <row r="2667" spans="1:7" x14ac:dyDescent="0.3">
      <c r="A2667" s="84">
        <v>2026</v>
      </c>
      <c r="B2667" s="84" t="s">
        <v>396</v>
      </c>
      <c r="C2667" s="84">
        <v>29</v>
      </c>
      <c r="D2667" s="84">
        <v>26</v>
      </c>
      <c r="E2667" s="85">
        <v>31360.36</v>
      </c>
      <c r="F2667" s="85">
        <v>28371.22</v>
      </c>
      <c r="G2667" s="85">
        <v>-2989.14</v>
      </c>
    </row>
    <row r="2668" spans="1:7" x14ac:dyDescent="0.3">
      <c r="A2668" s="84">
        <v>2026</v>
      </c>
      <c r="B2668" s="84" t="s">
        <v>396</v>
      </c>
      <c r="C2668" s="84">
        <v>29</v>
      </c>
      <c r="D2668" s="84">
        <v>27</v>
      </c>
      <c r="E2668" s="85">
        <v>31360.36</v>
      </c>
      <c r="F2668" s="85">
        <v>30080.48</v>
      </c>
      <c r="G2668" s="85">
        <v>-1279.8800000000001</v>
      </c>
    </row>
    <row r="2669" spans="1:7" x14ac:dyDescent="0.3">
      <c r="A2669" s="84">
        <v>2026</v>
      </c>
      <c r="B2669" s="84" t="s">
        <v>396</v>
      </c>
      <c r="C2669" s="84">
        <v>29</v>
      </c>
      <c r="D2669" s="84">
        <v>28</v>
      </c>
      <c r="E2669" s="85">
        <v>31360.36</v>
      </c>
      <c r="F2669" s="85">
        <v>30720.98</v>
      </c>
      <c r="G2669" s="85">
        <v>-639.38</v>
      </c>
    </row>
    <row r="2670" spans="1:7" x14ac:dyDescent="0.3">
      <c r="A2670" s="84">
        <v>2026</v>
      </c>
      <c r="B2670" s="84" t="s">
        <v>396</v>
      </c>
      <c r="C2670" s="84">
        <v>29</v>
      </c>
      <c r="D2670" s="84">
        <v>29</v>
      </c>
      <c r="E2670" s="85">
        <v>31360.36</v>
      </c>
      <c r="F2670" s="85">
        <v>31360.36</v>
      </c>
      <c r="G2670" s="85">
        <v>0</v>
      </c>
    </row>
    <row r="2671" spans="1:7" x14ac:dyDescent="0.3">
      <c r="A2671" s="84">
        <v>2026</v>
      </c>
      <c r="B2671" s="84" t="s">
        <v>396</v>
      </c>
      <c r="C2671" s="84">
        <v>29</v>
      </c>
      <c r="D2671" s="84">
        <v>30</v>
      </c>
      <c r="E2671" s="85">
        <v>31360.36</v>
      </c>
      <c r="F2671" s="85">
        <v>33108.68</v>
      </c>
      <c r="G2671" s="85">
        <v>1748.32</v>
      </c>
    </row>
    <row r="2672" spans="1:7" x14ac:dyDescent="0.3">
      <c r="A2672" s="84">
        <v>2026</v>
      </c>
      <c r="B2672" s="84" t="s">
        <v>396</v>
      </c>
      <c r="C2672" s="84">
        <v>30</v>
      </c>
      <c r="D2672" s="84">
        <v>1</v>
      </c>
      <c r="E2672" s="85">
        <v>33108.68</v>
      </c>
      <c r="F2672" s="85">
        <v>17751.240000000002</v>
      </c>
      <c r="G2672" s="85">
        <v>-15357.44</v>
      </c>
    </row>
    <row r="2673" spans="1:7" x14ac:dyDescent="0.3">
      <c r="A2673" s="84">
        <v>2026</v>
      </c>
      <c r="B2673" s="84" t="s">
        <v>396</v>
      </c>
      <c r="C2673" s="84">
        <v>30</v>
      </c>
      <c r="D2673" s="84">
        <v>2</v>
      </c>
      <c r="E2673" s="85">
        <v>33108.68</v>
      </c>
      <c r="F2673" s="85">
        <v>18045.66</v>
      </c>
      <c r="G2673" s="85">
        <v>-15063.02</v>
      </c>
    </row>
    <row r="2674" spans="1:7" x14ac:dyDescent="0.3">
      <c r="A2674" s="84">
        <v>2026</v>
      </c>
      <c r="B2674" s="84" t="s">
        <v>396</v>
      </c>
      <c r="C2674" s="84">
        <v>30</v>
      </c>
      <c r="D2674" s="84">
        <v>3</v>
      </c>
      <c r="E2674" s="85">
        <v>33108.68</v>
      </c>
      <c r="F2674" s="85">
        <v>18340.64</v>
      </c>
      <c r="G2674" s="85">
        <v>-14768.04</v>
      </c>
    </row>
    <row r="2675" spans="1:7" x14ac:dyDescent="0.3">
      <c r="A2675" s="84">
        <v>2026</v>
      </c>
      <c r="B2675" s="84" t="s">
        <v>396</v>
      </c>
      <c r="C2675" s="84">
        <v>30</v>
      </c>
      <c r="D2675" s="84">
        <v>4</v>
      </c>
      <c r="E2675" s="85">
        <v>33108.68</v>
      </c>
      <c r="F2675" s="85">
        <v>18634.78</v>
      </c>
      <c r="G2675" s="85">
        <v>-14473.9</v>
      </c>
    </row>
    <row r="2676" spans="1:7" x14ac:dyDescent="0.3">
      <c r="A2676" s="84">
        <v>2026</v>
      </c>
      <c r="B2676" s="84" t="s">
        <v>396</v>
      </c>
      <c r="C2676" s="84">
        <v>30</v>
      </c>
      <c r="D2676" s="84">
        <v>5</v>
      </c>
      <c r="E2676" s="85">
        <v>33108.68</v>
      </c>
      <c r="F2676" s="85">
        <v>18929.48</v>
      </c>
      <c r="G2676" s="85">
        <v>-14179.2</v>
      </c>
    </row>
    <row r="2677" spans="1:7" x14ac:dyDescent="0.3">
      <c r="A2677" s="84">
        <v>2026</v>
      </c>
      <c r="B2677" s="84" t="s">
        <v>396</v>
      </c>
      <c r="C2677" s="84">
        <v>30</v>
      </c>
      <c r="D2677" s="84">
        <v>6</v>
      </c>
      <c r="E2677" s="85">
        <v>33108.68</v>
      </c>
      <c r="F2677" s="85">
        <v>19126.18</v>
      </c>
      <c r="G2677" s="85">
        <v>-13982.5</v>
      </c>
    </row>
    <row r="2678" spans="1:7" x14ac:dyDescent="0.3">
      <c r="A2678" s="84">
        <v>2026</v>
      </c>
      <c r="B2678" s="84" t="s">
        <v>396</v>
      </c>
      <c r="C2678" s="84">
        <v>30</v>
      </c>
      <c r="D2678" s="84">
        <v>7</v>
      </c>
      <c r="E2678" s="85">
        <v>33108.68</v>
      </c>
      <c r="F2678" s="85">
        <v>19322.38</v>
      </c>
      <c r="G2678" s="85">
        <v>-13786.3</v>
      </c>
    </row>
    <row r="2679" spans="1:7" x14ac:dyDescent="0.3">
      <c r="A2679" s="84">
        <v>2026</v>
      </c>
      <c r="B2679" s="84" t="s">
        <v>396</v>
      </c>
      <c r="C2679" s="84">
        <v>30</v>
      </c>
      <c r="D2679" s="84">
        <v>8</v>
      </c>
      <c r="E2679" s="85">
        <v>33108.68</v>
      </c>
      <c r="F2679" s="85">
        <v>19519.16</v>
      </c>
      <c r="G2679" s="85">
        <v>-13589.52</v>
      </c>
    </row>
    <row r="2680" spans="1:7" x14ac:dyDescent="0.3">
      <c r="A2680" s="84">
        <v>2026</v>
      </c>
      <c r="B2680" s="84" t="s">
        <v>396</v>
      </c>
      <c r="C2680" s="84">
        <v>30</v>
      </c>
      <c r="D2680" s="84">
        <v>9</v>
      </c>
      <c r="E2680" s="85">
        <v>33108.68</v>
      </c>
      <c r="F2680" s="85">
        <v>19716.28</v>
      </c>
      <c r="G2680" s="85">
        <v>-13392.4</v>
      </c>
    </row>
    <row r="2681" spans="1:7" x14ac:dyDescent="0.3">
      <c r="A2681" s="84">
        <v>2026</v>
      </c>
      <c r="B2681" s="84" t="s">
        <v>396</v>
      </c>
      <c r="C2681" s="84">
        <v>30</v>
      </c>
      <c r="D2681" s="84">
        <v>10</v>
      </c>
      <c r="E2681" s="85">
        <v>33108.68</v>
      </c>
      <c r="F2681" s="85">
        <v>19912.7</v>
      </c>
      <c r="G2681" s="85">
        <v>-13195.98</v>
      </c>
    </row>
    <row r="2682" spans="1:7" x14ac:dyDescent="0.3">
      <c r="A2682" s="84">
        <v>2026</v>
      </c>
      <c r="B2682" s="84" t="s">
        <v>396</v>
      </c>
      <c r="C2682" s="84">
        <v>30</v>
      </c>
      <c r="D2682" s="84">
        <v>11</v>
      </c>
      <c r="E2682" s="85">
        <v>33108.68</v>
      </c>
      <c r="F2682" s="85">
        <v>20305.259999999998</v>
      </c>
      <c r="G2682" s="85">
        <v>-12803.42</v>
      </c>
    </row>
    <row r="2683" spans="1:7" x14ac:dyDescent="0.3">
      <c r="A2683" s="84">
        <v>2026</v>
      </c>
      <c r="B2683" s="84" t="s">
        <v>396</v>
      </c>
      <c r="C2683" s="84">
        <v>30</v>
      </c>
      <c r="D2683" s="84">
        <v>12</v>
      </c>
      <c r="E2683" s="85">
        <v>33108.68</v>
      </c>
      <c r="F2683" s="85">
        <v>20698.8</v>
      </c>
      <c r="G2683" s="85">
        <v>-12409.88</v>
      </c>
    </row>
    <row r="2684" spans="1:7" x14ac:dyDescent="0.3">
      <c r="A2684" s="84">
        <v>2026</v>
      </c>
      <c r="B2684" s="84" t="s">
        <v>396</v>
      </c>
      <c r="C2684" s="84">
        <v>30</v>
      </c>
      <c r="D2684" s="84">
        <v>13</v>
      </c>
      <c r="E2684" s="85">
        <v>33108.68</v>
      </c>
      <c r="F2684" s="85">
        <v>21092.06</v>
      </c>
      <c r="G2684" s="85">
        <v>-12016.62</v>
      </c>
    </row>
    <row r="2685" spans="1:7" x14ac:dyDescent="0.3">
      <c r="A2685" s="84">
        <v>2026</v>
      </c>
      <c r="B2685" s="84" t="s">
        <v>396</v>
      </c>
      <c r="C2685" s="84">
        <v>30</v>
      </c>
      <c r="D2685" s="84">
        <v>14</v>
      </c>
      <c r="E2685" s="85">
        <v>33108.68</v>
      </c>
      <c r="F2685" s="85">
        <v>21485.88</v>
      </c>
      <c r="G2685" s="85">
        <v>-11622.8</v>
      </c>
    </row>
    <row r="2686" spans="1:7" x14ac:dyDescent="0.3">
      <c r="A2686" s="84">
        <v>2026</v>
      </c>
      <c r="B2686" s="84" t="s">
        <v>396</v>
      </c>
      <c r="C2686" s="84">
        <v>30</v>
      </c>
      <c r="D2686" s="84">
        <v>15</v>
      </c>
      <c r="E2686" s="85">
        <v>33108.68</v>
      </c>
      <c r="F2686" s="85">
        <v>21878.16</v>
      </c>
      <c r="G2686" s="85">
        <v>-11230.52</v>
      </c>
    </row>
    <row r="2687" spans="1:7" x14ac:dyDescent="0.3">
      <c r="A2687" s="84">
        <v>2026</v>
      </c>
      <c r="B2687" s="84" t="s">
        <v>396</v>
      </c>
      <c r="C2687" s="84">
        <v>30</v>
      </c>
      <c r="D2687" s="84">
        <v>16</v>
      </c>
      <c r="E2687" s="85">
        <v>33108.68</v>
      </c>
      <c r="F2687" s="85">
        <v>22272.12</v>
      </c>
      <c r="G2687" s="85">
        <v>-10836.56</v>
      </c>
    </row>
    <row r="2688" spans="1:7" x14ac:dyDescent="0.3">
      <c r="A2688" s="84">
        <v>2026</v>
      </c>
      <c r="B2688" s="84" t="s">
        <v>396</v>
      </c>
      <c r="C2688" s="84">
        <v>30</v>
      </c>
      <c r="D2688" s="84">
        <v>17</v>
      </c>
      <c r="E2688" s="85">
        <v>33108.68</v>
      </c>
      <c r="F2688" s="85">
        <v>22664.400000000001</v>
      </c>
      <c r="G2688" s="85">
        <v>-10444.280000000001</v>
      </c>
    </row>
    <row r="2689" spans="1:7" x14ac:dyDescent="0.3">
      <c r="A2689" s="84">
        <v>2026</v>
      </c>
      <c r="B2689" s="84" t="s">
        <v>396</v>
      </c>
      <c r="C2689" s="84">
        <v>30</v>
      </c>
      <c r="D2689" s="84">
        <v>18</v>
      </c>
      <c r="E2689" s="85">
        <v>33108.68</v>
      </c>
      <c r="F2689" s="85">
        <v>23057.94</v>
      </c>
      <c r="G2689" s="85">
        <v>-10050.74</v>
      </c>
    </row>
    <row r="2690" spans="1:7" x14ac:dyDescent="0.3">
      <c r="A2690" s="84">
        <v>2026</v>
      </c>
      <c r="B2690" s="84" t="s">
        <v>396</v>
      </c>
      <c r="C2690" s="84">
        <v>30</v>
      </c>
      <c r="D2690" s="84">
        <v>19</v>
      </c>
      <c r="E2690" s="85">
        <v>33108.68</v>
      </c>
      <c r="F2690" s="85">
        <v>23451.06</v>
      </c>
      <c r="G2690" s="85">
        <v>-9657.6200000000008</v>
      </c>
    </row>
    <row r="2691" spans="1:7" x14ac:dyDescent="0.3">
      <c r="A2691" s="84">
        <v>2026</v>
      </c>
      <c r="B2691" s="84" t="s">
        <v>396</v>
      </c>
      <c r="C2691" s="84">
        <v>30</v>
      </c>
      <c r="D2691" s="84">
        <v>20</v>
      </c>
      <c r="E2691" s="85">
        <v>33108.68</v>
      </c>
      <c r="F2691" s="85">
        <v>23844.04</v>
      </c>
      <c r="G2691" s="85">
        <v>-9264.64</v>
      </c>
    </row>
    <row r="2692" spans="1:7" x14ac:dyDescent="0.3">
      <c r="A2692" s="84">
        <v>2026</v>
      </c>
      <c r="B2692" s="84" t="s">
        <v>396</v>
      </c>
      <c r="C2692" s="84">
        <v>30</v>
      </c>
      <c r="D2692" s="84">
        <v>21</v>
      </c>
      <c r="E2692" s="85">
        <v>33108.68</v>
      </c>
      <c r="F2692" s="85">
        <v>24433.439999999999</v>
      </c>
      <c r="G2692" s="85">
        <v>-8675.24</v>
      </c>
    </row>
    <row r="2693" spans="1:7" x14ac:dyDescent="0.3">
      <c r="A2693" s="84">
        <v>2026</v>
      </c>
      <c r="B2693" s="84" t="s">
        <v>396</v>
      </c>
      <c r="C2693" s="84">
        <v>30</v>
      </c>
      <c r="D2693" s="84">
        <v>22</v>
      </c>
      <c r="E2693" s="85">
        <v>33108.68</v>
      </c>
      <c r="F2693" s="85">
        <v>25072.12</v>
      </c>
      <c r="G2693" s="85">
        <v>-8036.56</v>
      </c>
    </row>
    <row r="2694" spans="1:7" x14ac:dyDescent="0.3">
      <c r="A2694" s="84">
        <v>2026</v>
      </c>
      <c r="B2694" s="84" t="s">
        <v>396</v>
      </c>
      <c r="C2694" s="84">
        <v>30</v>
      </c>
      <c r="D2694" s="84">
        <v>23</v>
      </c>
      <c r="E2694" s="85">
        <v>33108.68</v>
      </c>
      <c r="F2694" s="85">
        <v>25712.62</v>
      </c>
      <c r="G2694" s="85">
        <v>-7396.06</v>
      </c>
    </row>
    <row r="2695" spans="1:7" x14ac:dyDescent="0.3">
      <c r="A2695" s="84">
        <v>2026</v>
      </c>
      <c r="B2695" s="84" t="s">
        <v>396</v>
      </c>
      <c r="C2695" s="84">
        <v>30</v>
      </c>
      <c r="D2695" s="84">
        <v>24</v>
      </c>
      <c r="E2695" s="85">
        <v>33108.68</v>
      </c>
      <c r="F2695" s="85">
        <v>26351.86</v>
      </c>
      <c r="G2695" s="85">
        <v>-6756.82</v>
      </c>
    </row>
    <row r="2696" spans="1:7" x14ac:dyDescent="0.3">
      <c r="A2696" s="84">
        <v>2026</v>
      </c>
      <c r="B2696" s="84" t="s">
        <v>396</v>
      </c>
      <c r="C2696" s="84">
        <v>30</v>
      </c>
      <c r="D2696" s="84">
        <v>25</v>
      </c>
      <c r="E2696" s="85">
        <v>33108.68</v>
      </c>
      <c r="F2696" s="85">
        <v>26991.94</v>
      </c>
      <c r="G2696" s="85">
        <v>-6116.74</v>
      </c>
    </row>
    <row r="2697" spans="1:7" x14ac:dyDescent="0.3">
      <c r="A2697" s="84">
        <v>2026</v>
      </c>
      <c r="B2697" s="84" t="s">
        <v>396</v>
      </c>
      <c r="C2697" s="84">
        <v>30</v>
      </c>
      <c r="D2697" s="84">
        <v>26</v>
      </c>
      <c r="E2697" s="85">
        <v>33108.68</v>
      </c>
      <c r="F2697" s="85">
        <v>28371.22</v>
      </c>
      <c r="G2697" s="85">
        <v>-4737.46</v>
      </c>
    </row>
    <row r="2698" spans="1:7" x14ac:dyDescent="0.3">
      <c r="A2698" s="84">
        <v>2026</v>
      </c>
      <c r="B2698" s="84" t="s">
        <v>396</v>
      </c>
      <c r="C2698" s="84">
        <v>30</v>
      </c>
      <c r="D2698" s="84">
        <v>27</v>
      </c>
      <c r="E2698" s="85">
        <v>33108.68</v>
      </c>
      <c r="F2698" s="85">
        <v>30080.48</v>
      </c>
      <c r="G2698" s="85">
        <v>-3028.2</v>
      </c>
    </row>
    <row r="2699" spans="1:7" x14ac:dyDescent="0.3">
      <c r="A2699" s="84">
        <v>2026</v>
      </c>
      <c r="B2699" s="84" t="s">
        <v>396</v>
      </c>
      <c r="C2699" s="84">
        <v>30</v>
      </c>
      <c r="D2699" s="84">
        <v>28</v>
      </c>
      <c r="E2699" s="85">
        <v>33108.68</v>
      </c>
      <c r="F2699" s="85">
        <v>30720.98</v>
      </c>
      <c r="G2699" s="85">
        <v>-2387.6999999999998</v>
      </c>
    </row>
    <row r="2700" spans="1:7" x14ac:dyDescent="0.3">
      <c r="A2700" s="84">
        <v>2026</v>
      </c>
      <c r="B2700" s="84" t="s">
        <v>396</v>
      </c>
      <c r="C2700" s="84">
        <v>30</v>
      </c>
      <c r="D2700" s="84">
        <v>29</v>
      </c>
      <c r="E2700" s="85">
        <v>33108.68</v>
      </c>
      <c r="F2700" s="85">
        <v>31360.36</v>
      </c>
      <c r="G2700" s="85">
        <v>-1748.32</v>
      </c>
    </row>
    <row r="2701" spans="1:7" x14ac:dyDescent="0.3">
      <c r="A2701" s="84">
        <v>2026</v>
      </c>
      <c r="B2701" s="84" t="s">
        <v>396</v>
      </c>
      <c r="C2701" s="84">
        <v>30</v>
      </c>
      <c r="D2701" s="84">
        <v>30</v>
      </c>
      <c r="E2701" s="85">
        <v>33108.68</v>
      </c>
      <c r="F2701" s="85">
        <v>33108.68</v>
      </c>
      <c r="G2701" s="85">
        <v>0</v>
      </c>
    </row>
    <row r="2702" spans="1:7" x14ac:dyDescent="0.3">
      <c r="A2702" s="84">
        <v>2026</v>
      </c>
      <c r="B2702" s="84" t="s">
        <v>397</v>
      </c>
      <c r="C2702" s="84">
        <v>1</v>
      </c>
      <c r="D2702" s="84">
        <v>1</v>
      </c>
      <c r="E2702" s="85">
        <v>16002.46</v>
      </c>
      <c r="F2702" s="85">
        <v>16002.46</v>
      </c>
      <c r="G2702" s="85">
        <v>0</v>
      </c>
    </row>
    <row r="2703" spans="1:7" x14ac:dyDescent="0.3">
      <c r="A2703" s="84">
        <v>2026</v>
      </c>
      <c r="B2703" s="84" t="s">
        <v>397</v>
      </c>
      <c r="C2703" s="84">
        <v>1</v>
      </c>
      <c r="D2703" s="84">
        <v>2</v>
      </c>
      <c r="E2703" s="85">
        <v>16002.46</v>
      </c>
      <c r="F2703" s="85">
        <v>16296.88</v>
      </c>
      <c r="G2703" s="85">
        <v>294.42</v>
      </c>
    </row>
    <row r="2704" spans="1:7" x14ac:dyDescent="0.3">
      <c r="A2704" s="84">
        <v>2026</v>
      </c>
      <c r="B2704" s="84" t="s">
        <v>397</v>
      </c>
      <c r="C2704" s="84">
        <v>1</v>
      </c>
      <c r="D2704" s="84">
        <v>3</v>
      </c>
      <c r="E2704" s="85">
        <v>16002.46</v>
      </c>
      <c r="F2704" s="85">
        <v>16591.86</v>
      </c>
      <c r="G2704" s="85">
        <v>589.4</v>
      </c>
    </row>
    <row r="2705" spans="1:7" x14ac:dyDescent="0.3">
      <c r="A2705" s="84">
        <v>2026</v>
      </c>
      <c r="B2705" s="84" t="s">
        <v>397</v>
      </c>
      <c r="C2705" s="84">
        <v>1</v>
      </c>
      <c r="D2705" s="84">
        <v>4</v>
      </c>
      <c r="E2705" s="85">
        <v>16002.46</v>
      </c>
      <c r="F2705" s="85">
        <v>16886</v>
      </c>
      <c r="G2705" s="85">
        <v>883.54</v>
      </c>
    </row>
    <row r="2706" spans="1:7" x14ac:dyDescent="0.3">
      <c r="A2706" s="84">
        <v>2026</v>
      </c>
      <c r="B2706" s="84" t="s">
        <v>397</v>
      </c>
      <c r="C2706" s="84">
        <v>1</v>
      </c>
      <c r="D2706" s="84">
        <v>5</v>
      </c>
      <c r="E2706" s="85">
        <v>16002.46</v>
      </c>
      <c r="F2706" s="85">
        <v>17180.7</v>
      </c>
      <c r="G2706" s="85">
        <v>1178.24</v>
      </c>
    </row>
    <row r="2707" spans="1:7" x14ac:dyDescent="0.3">
      <c r="A2707" s="84">
        <v>2026</v>
      </c>
      <c r="B2707" s="84" t="s">
        <v>397</v>
      </c>
      <c r="C2707" s="84">
        <v>1</v>
      </c>
      <c r="D2707" s="84">
        <v>6</v>
      </c>
      <c r="E2707" s="85">
        <v>16002.46</v>
      </c>
      <c r="F2707" s="85">
        <v>17377.400000000001</v>
      </c>
      <c r="G2707" s="85">
        <v>1374.94</v>
      </c>
    </row>
    <row r="2708" spans="1:7" x14ac:dyDescent="0.3">
      <c r="A2708" s="84">
        <v>2026</v>
      </c>
      <c r="B2708" s="84" t="s">
        <v>397</v>
      </c>
      <c r="C2708" s="84">
        <v>1</v>
      </c>
      <c r="D2708" s="84">
        <v>7</v>
      </c>
      <c r="E2708" s="85">
        <v>16002.46</v>
      </c>
      <c r="F2708" s="85">
        <v>17574.099999999999</v>
      </c>
      <c r="G2708" s="85">
        <v>1571.64</v>
      </c>
    </row>
    <row r="2709" spans="1:7" x14ac:dyDescent="0.3">
      <c r="A2709" s="84">
        <v>2026</v>
      </c>
      <c r="B2709" s="84" t="s">
        <v>397</v>
      </c>
      <c r="C2709" s="84">
        <v>1</v>
      </c>
      <c r="D2709" s="84">
        <v>8</v>
      </c>
      <c r="E2709" s="85">
        <v>16002.46</v>
      </c>
      <c r="F2709" s="85">
        <v>17770.38</v>
      </c>
      <c r="G2709" s="85">
        <v>1767.92</v>
      </c>
    </row>
    <row r="2710" spans="1:7" x14ac:dyDescent="0.3">
      <c r="A2710" s="84">
        <v>2026</v>
      </c>
      <c r="B2710" s="84" t="s">
        <v>397</v>
      </c>
      <c r="C2710" s="84">
        <v>1</v>
      </c>
      <c r="D2710" s="84">
        <v>9</v>
      </c>
      <c r="E2710" s="85">
        <v>16002.46</v>
      </c>
      <c r="F2710" s="85">
        <v>17967.5</v>
      </c>
      <c r="G2710" s="85">
        <v>1965.04</v>
      </c>
    </row>
    <row r="2711" spans="1:7" x14ac:dyDescent="0.3">
      <c r="A2711" s="84">
        <v>2026</v>
      </c>
      <c r="B2711" s="84" t="s">
        <v>397</v>
      </c>
      <c r="C2711" s="84">
        <v>1</v>
      </c>
      <c r="D2711" s="84">
        <v>10</v>
      </c>
      <c r="E2711" s="85">
        <v>16002.46</v>
      </c>
      <c r="F2711" s="85">
        <v>18163.919999999998</v>
      </c>
      <c r="G2711" s="85">
        <v>2161.46</v>
      </c>
    </row>
    <row r="2712" spans="1:7" x14ac:dyDescent="0.3">
      <c r="A2712" s="84">
        <v>2026</v>
      </c>
      <c r="B2712" s="84" t="s">
        <v>397</v>
      </c>
      <c r="C2712" s="84">
        <v>1</v>
      </c>
      <c r="D2712" s="84">
        <v>11</v>
      </c>
      <c r="E2712" s="85">
        <v>16002.46</v>
      </c>
      <c r="F2712" s="85">
        <v>18556.48</v>
      </c>
      <c r="G2712" s="85">
        <v>2554.02</v>
      </c>
    </row>
    <row r="2713" spans="1:7" x14ac:dyDescent="0.3">
      <c r="A2713" s="84">
        <v>2026</v>
      </c>
      <c r="B2713" s="84" t="s">
        <v>397</v>
      </c>
      <c r="C2713" s="84">
        <v>1</v>
      </c>
      <c r="D2713" s="84">
        <v>12</v>
      </c>
      <c r="E2713" s="85">
        <v>16002.46</v>
      </c>
      <c r="F2713" s="85">
        <v>18950.02</v>
      </c>
      <c r="G2713" s="85">
        <v>2947.56</v>
      </c>
    </row>
    <row r="2714" spans="1:7" x14ac:dyDescent="0.3">
      <c r="A2714" s="84">
        <v>2026</v>
      </c>
      <c r="B2714" s="84" t="s">
        <v>397</v>
      </c>
      <c r="C2714" s="84">
        <v>1</v>
      </c>
      <c r="D2714" s="84">
        <v>13</v>
      </c>
      <c r="E2714" s="85">
        <v>16002.46</v>
      </c>
      <c r="F2714" s="85">
        <v>19343.28</v>
      </c>
      <c r="G2714" s="85">
        <v>3340.82</v>
      </c>
    </row>
    <row r="2715" spans="1:7" x14ac:dyDescent="0.3">
      <c r="A2715" s="84">
        <v>2026</v>
      </c>
      <c r="B2715" s="84" t="s">
        <v>397</v>
      </c>
      <c r="C2715" s="84">
        <v>1</v>
      </c>
      <c r="D2715" s="84">
        <v>14</v>
      </c>
      <c r="E2715" s="85">
        <v>16002.46</v>
      </c>
      <c r="F2715" s="85">
        <v>19737.099999999999</v>
      </c>
      <c r="G2715" s="85">
        <v>3734.64</v>
      </c>
    </row>
    <row r="2716" spans="1:7" x14ac:dyDescent="0.3">
      <c r="A2716" s="84">
        <v>2026</v>
      </c>
      <c r="B2716" s="84" t="s">
        <v>397</v>
      </c>
      <c r="C2716" s="84">
        <v>1</v>
      </c>
      <c r="D2716" s="84">
        <v>15</v>
      </c>
      <c r="E2716" s="85">
        <v>16002.46</v>
      </c>
      <c r="F2716" s="85">
        <v>20129.38</v>
      </c>
      <c r="G2716" s="85">
        <v>4126.92</v>
      </c>
    </row>
    <row r="2717" spans="1:7" x14ac:dyDescent="0.3">
      <c r="A2717" s="84">
        <v>2026</v>
      </c>
      <c r="B2717" s="84" t="s">
        <v>397</v>
      </c>
      <c r="C2717" s="84">
        <v>1</v>
      </c>
      <c r="D2717" s="84">
        <v>16</v>
      </c>
      <c r="E2717" s="85">
        <v>16002.46</v>
      </c>
      <c r="F2717" s="85">
        <v>20523.34</v>
      </c>
      <c r="G2717" s="85">
        <v>4520.88</v>
      </c>
    </row>
    <row r="2718" spans="1:7" x14ac:dyDescent="0.3">
      <c r="A2718" s="84">
        <v>2026</v>
      </c>
      <c r="B2718" s="84" t="s">
        <v>397</v>
      </c>
      <c r="C2718" s="84">
        <v>1</v>
      </c>
      <c r="D2718" s="84">
        <v>17</v>
      </c>
      <c r="E2718" s="85">
        <v>16002.46</v>
      </c>
      <c r="F2718" s="85">
        <v>20915.62</v>
      </c>
      <c r="G2718" s="85">
        <v>4913.16</v>
      </c>
    </row>
    <row r="2719" spans="1:7" x14ac:dyDescent="0.3">
      <c r="A2719" s="84">
        <v>2026</v>
      </c>
      <c r="B2719" s="84" t="s">
        <v>397</v>
      </c>
      <c r="C2719" s="84">
        <v>1</v>
      </c>
      <c r="D2719" s="84">
        <v>18</v>
      </c>
      <c r="E2719" s="85">
        <v>16002.46</v>
      </c>
      <c r="F2719" s="85">
        <v>21309.16</v>
      </c>
      <c r="G2719" s="85">
        <v>5306.7</v>
      </c>
    </row>
    <row r="2720" spans="1:7" x14ac:dyDescent="0.3">
      <c r="A2720" s="84">
        <v>2026</v>
      </c>
      <c r="B2720" s="84" t="s">
        <v>397</v>
      </c>
      <c r="C2720" s="84">
        <v>1</v>
      </c>
      <c r="D2720" s="84">
        <v>19</v>
      </c>
      <c r="E2720" s="85">
        <v>16002.46</v>
      </c>
      <c r="F2720" s="85">
        <v>21702.28</v>
      </c>
      <c r="G2720" s="85">
        <v>5699.82</v>
      </c>
    </row>
    <row r="2721" spans="1:7" x14ac:dyDescent="0.3">
      <c r="A2721" s="84">
        <v>2026</v>
      </c>
      <c r="B2721" s="84" t="s">
        <v>397</v>
      </c>
      <c r="C2721" s="84">
        <v>1</v>
      </c>
      <c r="D2721" s="84">
        <v>20</v>
      </c>
      <c r="E2721" s="85">
        <v>16002.46</v>
      </c>
      <c r="F2721" s="85">
        <v>22095.26</v>
      </c>
      <c r="G2721" s="85">
        <v>6092.8</v>
      </c>
    </row>
    <row r="2722" spans="1:7" x14ac:dyDescent="0.3">
      <c r="A2722" s="84">
        <v>2026</v>
      </c>
      <c r="B2722" s="84" t="s">
        <v>397</v>
      </c>
      <c r="C2722" s="84">
        <v>1</v>
      </c>
      <c r="D2722" s="84">
        <v>21</v>
      </c>
      <c r="E2722" s="85">
        <v>16002.46</v>
      </c>
      <c r="F2722" s="85">
        <v>22684.66</v>
      </c>
      <c r="G2722" s="85">
        <v>6682.2</v>
      </c>
    </row>
    <row r="2723" spans="1:7" x14ac:dyDescent="0.3">
      <c r="A2723" s="84">
        <v>2026</v>
      </c>
      <c r="B2723" s="84" t="s">
        <v>397</v>
      </c>
      <c r="C2723" s="84">
        <v>1</v>
      </c>
      <c r="D2723" s="84">
        <v>22</v>
      </c>
      <c r="E2723" s="85">
        <v>16002.46</v>
      </c>
      <c r="F2723" s="85">
        <v>23323.34</v>
      </c>
      <c r="G2723" s="85">
        <v>7320.88</v>
      </c>
    </row>
    <row r="2724" spans="1:7" x14ac:dyDescent="0.3">
      <c r="A2724" s="84">
        <v>2026</v>
      </c>
      <c r="B2724" s="84" t="s">
        <v>397</v>
      </c>
      <c r="C2724" s="84">
        <v>1</v>
      </c>
      <c r="D2724" s="84">
        <v>23</v>
      </c>
      <c r="E2724" s="85">
        <v>16002.46</v>
      </c>
      <c r="F2724" s="85">
        <v>23963.84</v>
      </c>
      <c r="G2724" s="85">
        <v>7961.38</v>
      </c>
    </row>
    <row r="2725" spans="1:7" x14ac:dyDescent="0.3">
      <c r="A2725" s="84">
        <v>2026</v>
      </c>
      <c r="B2725" s="84" t="s">
        <v>397</v>
      </c>
      <c r="C2725" s="84">
        <v>1</v>
      </c>
      <c r="D2725" s="84">
        <v>24</v>
      </c>
      <c r="E2725" s="85">
        <v>16002.46</v>
      </c>
      <c r="F2725" s="85">
        <v>24603.08</v>
      </c>
      <c r="G2725" s="85">
        <v>8600.6200000000008</v>
      </c>
    </row>
    <row r="2726" spans="1:7" x14ac:dyDescent="0.3">
      <c r="A2726" s="84">
        <v>2026</v>
      </c>
      <c r="B2726" s="84" t="s">
        <v>397</v>
      </c>
      <c r="C2726" s="84">
        <v>1</v>
      </c>
      <c r="D2726" s="84">
        <v>25</v>
      </c>
      <c r="E2726" s="85">
        <v>16002.46</v>
      </c>
      <c r="F2726" s="85">
        <v>25243.16</v>
      </c>
      <c r="G2726" s="85">
        <v>9240.7000000000007</v>
      </c>
    </row>
    <row r="2727" spans="1:7" x14ac:dyDescent="0.3">
      <c r="A2727" s="84">
        <v>2026</v>
      </c>
      <c r="B2727" s="84" t="s">
        <v>397</v>
      </c>
      <c r="C2727" s="84">
        <v>1</v>
      </c>
      <c r="D2727" s="84">
        <v>26</v>
      </c>
      <c r="E2727" s="85">
        <v>16002.46</v>
      </c>
      <c r="F2727" s="85">
        <v>26622.44</v>
      </c>
      <c r="G2727" s="85">
        <v>10619.98</v>
      </c>
    </row>
    <row r="2728" spans="1:7" x14ac:dyDescent="0.3">
      <c r="A2728" s="84">
        <v>2026</v>
      </c>
      <c r="B2728" s="84" t="s">
        <v>397</v>
      </c>
      <c r="C2728" s="84">
        <v>1</v>
      </c>
      <c r="D2728" s="84">
        <v>27</v>
      </c>
      <c r="E2728" s="85">
        <v>16002.46</v>
      </c>
      <c r="F2728" s="85">
        <v>28331.7</v>
      </c>
      <c r="G2728" s="85">
        <v>12329.24</v>
      </c>
    </row>
    <row r="2729" spans="1:7" x14ac:dyDescent="0.3">
      <c r="A2729" s="84">
        <v>2026</v>
      </c>
      <c r="B2729" s="84" t="s">
        <v>397</v>
      </c>
      <c r="C2729" s="84">
        <v>1</v>
      </c>
      <c r="D2729" s="84">
        <v>28</v>
      </c>
      <c r="E2729" s="85">
        <v>16002.46</v>
      </c>
      <c r="F2729" s="85">
        <v>28972.2</v>
      </c>
      <c r="G2729" s="85">
        <v>12969.74</v>
      </c>
    </row>
    <row r="2730" spans="1:7" x14ac:dyDescent="0.3">
      <c r="A2730" s="84">
        <v>2026</v>
      </c>
      <c r="B2730" s="84" t="s">
        <v>397</v>
      </c>
      <c r="C2730" s="84">
        <v>1</v>
      </c>
      <c r="D2730" s="84">
        <v>29</v>
      </c>
      <c r="E2730" s="85">
        <v>16002.46</v>
      </c>
      <c r="F2730" s="85">
        <v>29611.58</v>
      </c>
      <c r="G2730" s="85">
        <v>13609.12</v>
      </c>
    </row>
    <row r="2731" spans="1:7" x14ac:dyDescent="0.3">
      <c r="A2731" s="84">
        <v>2026</v>
      </c>
      <c r="B2731" s="84" t="s">
        <v>397</v>
      </c>
      <c r="C2731" s="84">
        <v>1</v>
      </c>
      <c r="D2731" s="84">
        <v>30</v>
      </c>
      <c r="E2731" s="85">
        <v>16002.46</v>
      </c>
      <c r="F2731" s="85">
        <v>31359.9</v>
      </c>
      <c r="G2731" s="85">
        <v>15357.44</v>
      </c>
    </row>
    <row r="2732" spans="1:7" x14ac:dyDescent="0.3">
      <c r="A2732" s="84">
        <v>2026</v>
      </c>
      <c r="B2732" s="84" t="s">
        <v>397</v>
      </c>
      <c r="C2732" s="84">
        <v>2</v>
      </c>
      <c r="D2732" s="84">
        <v>1</v>
      </c>
      <c r="E2732" s="85">
        <v>16296.88</v>
      </c>
      <c r="F2732" s="85">
        <v>16002.46</v>
      </c>
      <c r="G2732" s="85">
        <v>-294.42</v>
      </c>
    </row>
    <row r="2733" spans="1:7" x14ac:dyDescent="0.3">
      <c r="A2733" s="84">
        <v>2026</v>
      </c>
      <c r="B2733" s="84" t="s">
        <v>397</v>
      </c>
      <c r="C2733" s="84">
        <v>2</v>
      </c>
      <c r="D2733" s="84">
        <v>2</v>
      </c>
      <c r="E2733" s="85">
        <v>16296.88</v>
      </c>
      <c r="F2733" s="85">
        <v>16296.88</v>
      </c>
      <c r="G2733" s="85">
        <v>0</v>
      </c>
    </row>
    <row r="2734" spans="1:7" x14ac:dyDescent="0.3">
      <c r="A2734" s="84">
        <v>2026</v>
      </c>
      <c r="B2734" s="84" t="s">
        <v>397</v>
      </c>
      <c r="C2734" s="84">
        <v>2</v>
      </c>
      <c r="D2734" s="84">
        <v>3</v>
      </c>
      <c r="E2734" s="85">
        <v>16296.88</v>
      </c>
      <c r="F2734" s="85">
        <v>16591.86</v>
      </c>
      <c r="G2734" s="85">
        <v>294.98</v>
      </c>
    </row>
    <row r="2735" spans="1:7" x14ac:dyDescent="0.3">
      <c r="A2735" s="84">
        <v>2026</v>
      </c>
      <c r="B2735" s="84" t="s">
        <v>397</v>
      </c>
      <c r="C2735" s="84">
        <v>2</v>
      </c>
      <c r="D2735" s="84">
        <v>4</v>
      </c>
      <c r="E2735" s="85">
        <v>16296.88</v>
      </c>
      <c r="F2735" s="85">
        <v>16886</v>
      </c>
      <c r="G2735" s="85">
        <v>589.12</v>
      </c>
    </row>
    <row r="2736" spans="1:7" x14ac:dyDescent="0.3">
      <c r="A2736" s="84">
        <v>2026</v>
      </c>
      <c r="B2736" s="84" t="s">
        <v>397</v>
      </c>
      <c r="C2736" s="84">
        <v>2</v>
      </c>
      <c r="D2736" s="84">
        <v>5</v>
      </c>
      <c r="E2736" s="85">
        <v>16296.88</v>
      </c>
      <c r="F2736" s="85">
        <v>17180.7</v>
      </c>
      <c r="G2736" s="85">
        <v>883.82</v>
      </c>
    </row>
    <row r="2737" spans="1:7" x14ac:dyDescent="0.3">
      <c r="A2737" s="84">
        <v>2026</v>
      </c>
      <c r="B2737" s="84" t="s">
        <v>397</v>
      </c>
      <c r="C2737" s="84">
        <v>2</v>
      </c>
      <c r="D2737" s="84">
        <v>6</v>
      </c>
      <c r="E2737" s="85">
        <v>16296.88</v>
      </c>
      <c r="F2737" s="85">
        <v>17377.400000000001</v>
      </c>
      <c r="G2737" s="85">
        <v>1080.52</v>
      </c>
    </row>
    <row r="2738" spans="1:7" x14ac:dyDescent="0.3">
      <c r="A2738" s="84">
        <v>2026</v>
      </c>
      <c r="B2738" s="84" t="s">
        <v>397</v>
      </c>
      <c r="C2738" s="84">
        <v>2</v>
      </c>
      <c r="D2738" s="84">
        <v>7</v>
      </c>
      <c r="E2738" s="85">
        <v>16296.88</v>
      </c>
      <c r="F2738" s="85">
        <v>17574.099999999999</v>
      </c>
      <c r="G2738" s="85">
        <v>1277.22</v>
      </c>
    </row>
    <row r="2739" spans="1:7" x14ac:dyDescent="0.3">
      <c r="A2739" s="84">
        <v>2026</v>
      </c>
      <c r="B2739" s="84" t="s">
        <v>397</v>
      </c>
      <c r="C2739" s="84">
        <v>2</v>
      </c>
      <c r="D2739" s="84">
        <v>8</v>
      </c>
      <c r="E2739" s="85">
        <v>16296.88</v>
      </c>
      <c r="F2739" s="85">
        <v>17770.38</v>
      </c>
      <c r="G2739" s="85">
        <v>1473.5</v>
      </c>
    </row>
    <row r="2740" spans="1:7" x14ac:dyDescent="0.3">
      <c r="A2740" s="84">
        <v>2026</v>
      </c>
      <c r="B2740" s="84" t="s">
        <v>397</v>
      </c>
      <c r="C2740" s="84">
        <v>2</v>
      </c>
      <c r="D2740" s="84">
        <v>9</v>
      </c>
      <c r="E2740" s="85">
        <v>16296.88</v>
      </c>
      <c r="F2740" s="85">
        <v>17967.5</v>
      </c>
      <c r="G2740" s="85">
        <v>1670.62</v>
      </c>
    </row>
    <row r="2741" spans="1:7" x14ac:dyDescent="0.3">
      <c r="A2741" s="84">
        <v>2026</v>
      </c>
      <c r="B2741" s="84" t="s">
        <v>397</v>
      </c>
      <c r="C2741" s="84">
        <v>2</v>
      </c>
      <c r="D2741" s="84">
        <v>10</v>
      </c>
      <c r="E2741" s="85">
        <v>16296.88</v>
      </c>
      <c r="F2741" s="85">
        <v>18163.919999999998</v>
      </c>
      <c r="G2741" s="85">
        <v>1867.04</v>
      </c>
    </row>
    <row r="2742" spans="1:7" x14ac:dyDescent="0.3">
      <c r="A2742" s="84">
        <v>2026</v>
      </c>
      <c r="B2742" s="84" t="s">
        <v>397</v>
      </c>
      <c r="C2742" s="84">
        <v>2</v>
      </c>
      <c r="D2742" s="84">
        <v>11</v>
      </c>
      <c r="E2742" s="85">
        <v>16296.88</v>
      </c>
      <c r="F2742" s="85">
        <v>18556.48</v>
      </c>
      <c r="G2742" s="85">
        <v>2259.6</v>
      </c>
    </row>
    <row r="2743" spans="1:7" x14ac:dyDescent="0.3">
      <c r="A2743" s="84">
        <v>2026</v>
      </c>
      <c r="B2743" s="84" t="s">
        <v>397</v>
      </c>
      <c r="C2743" s="84">
        <v>2</v>
      </c>
      <c r="D2743" s="84">
        <v>12</v>
      </c>
      <c r="E2743" s="85">
        <v>16296.88</v>
      </c>
      <c r="F2743" s="85">
        <v>18950.02</v>
      </c>
      <c r="G2743" s="85">
        <v>2653.14</v>
      </c>
    </row>
    <row r="2744" spans="1:7" x14ac:dyDescent="0.3">
      <c r="A2744" s="84">
        <v>2026</v>
      </c>
      <c r="B2744" s="84" t="s">
        <v>397</v>
      </c>
      <c r="C2744" s="84">
        <v>2</v>
      </c>
      <c r="D2744" s="84">
        <v>13</v>
      </c>
      <c r="E2744" s="85">
        <v>16296.88</v>
      </c>
      <c r="F2744" s="85">
        <v>19343.28</v>
      </c>
      <c r="G2744" s="85">
        <v>3046.4</v>
      </c>
    </row>
    <row r="2745" spans="1:7" x14ac:dyDescent="0.3">
      <c r="A2745" s="84">
        <v>2026</v>
      </c>
      <c r="B2745" s="84" t="s">
        <v>397</v>
      </c>
      <c r="C2745" s="84">
        <v>2</v>
      </c>
      <c r="D2745" s="84">
        <v>14</v>
      </c>
      <c r="E2745" s="85">
        <v>16296.88</v>
      </c>
      <c r="F2745" s="85">
        <v>19737.099999999999</v>
      </c>
      <c r="G2745" s="85">
        <v>3440.22</v>
      </c>
    </row>
    <row r="2746" spans="1:7" x14ac:dyDescent="0.3">
      <c r="A2746" s="84">
        <v>2026</v>
      </c>
      <c r="B2746" s="84" t="s">
        <v>397</v>
      </c>
      <c r="C2746" s="84">
        <v>2</v>
      </c>
      <c r="D2746" s="84">
        <v>15</v>
      </c>
      <c r="E2746" s="85">
        <v>16296.88</v>
      </c>
      <c r="F2746" s="85">
        <v>20129.38</v>
      </c>
      <c r="G2746" s="85">
        <v>3832.5</v>
      </c>
    </row>
    <row r="2747" spans="1:7" x14ac:dyDescent="0.3">
      <c r="A2747" s="84">
        <v>2026</v>
      </c>
      <c r="B2747" s="84" t="s">
        <v>397</v>
      </c>
      <c r="C2747" s="84">
        <v>2</v>
      </c>
      <c r="D2747" s="84">
        <v>16</v>
      </c>
      <c r="E2747" s="85">
        <v>16296.88</v>
      </c>
      <c r="F2747" s="85">
        <v>20523.34</v>
      </c>
      <c r="G2747" s="85">
        <v>4226.46</v>
      </c>
    </row>
    <row r="2748" spans="1:7" x14ac:dyDescent="0.3">
      <c r="A2748" s="84">
        <v>2026</v>
      </c>
      <c r="B2748" s="84" t="s">
        <v>397</v>
      </c>
      <c r="C2748" s="84">
        <v>2</v>
      </c>
      <c r="D2748" s="84">
        <v>17</v>
      </c>
      <c r="E2748" s="85">
        <v>16296.88</v>
      </c>
      <c r="F2748" s="85">
        <v>20915.62</v>
      </c>
      <c r="G2748" s="85">
        <v>4618.74</v>
      </c>
    </row>
    <row r="2749" spans="1:7" x14ac:dyDescent="0.3">
      <c r="A2749" s="84">
        <v>2026</v>
      </c>
      <c r="B2749" s="84" t="s">
        <v>397</v>
      </c>
      <c r="C2749" s="84">
        <v>2</v>
      </c>
      <c r="D2749" s="84">
        <v>18</v>
      </c>
      <c r="E2749" s="85">
        <v>16296.88</v>
      </c>
      <c r="F2749" s="85">
        <v>21309.16</v>
      </c>
      <c r="G2749" s="85">
        <v>5012.28</v>
      </c>
    </row>
    <row r="2750" spans="1:7" x14ac:dyDescent="0.3">
      <c r="A2750" s="84">
        <v>2026</v>
      </c>
      <c r="B2750" s="84" t="s">
        <v>397</v>
      </c>
      <c r="C2750" s="84">
        <v>2</v>
      </c>
      <c r="D2750" s="84">
        <v>19</v>
      </c>
      <c r="E2750" s="85">
        <v>16296.88</v>
      </c>
      <c r="F2750" s="85">
        <v>21702.28</v>
      </c>
      <c r="G2750" s="85">
        <v>5405.4</v>
      </c>
    </row>
    <row r="2751" spans="1:7" x14ac:dyDescent="0.3">
      <c r="A2751" s="84">
        <v>2026</v>
      </c>
      <c r="B2751" s="84" t="s">
        <v>397</v>
      </c>
      <c r="C2751" s="84">
        <v>2</v>
      </c>
      <c r="D2751" s="84">
        <v>20</v>
      </c>
      <c r="E2751" s="85">
        <v>16296.88</v>
      </c>
      <c r="F2751" s="85">
        <v>22095.26</v>
      </c>
      <c r="G2751" s="85">
        <v>5798.38</v>
      </c>
    </row>
    <row r="2752" spans="1:7" x14ac:dyDescent="0.3">
      <c r="A2752" s="84">
        <v>2026</v>
      </c>
      <c r="B2752" s="84" t="s">
        <v>397</v>
      </c>
      <c r="C2752" s="84">
        <v>2</v>
      </c>
      <c r="D2752" s="84">
        <v>21</v>
      </c>
      <c r="E2752" s="85">
        <v>16296.88</v>
      </c>
      <c r="F2752" s="85">
        <v>22684.66</v>
      </c>
      <c r="G2752" s="85">
        <v>6387.78</v>
      </c>
    </row>
    <row r="2753" spans="1:7" x14ac:dyDescent="0.3">
      <c r="A2753" s="84">
        <v>2026</v>
      </c>
      <c r="B2753" s="84" t="s">
        <v>397</v>
      </c>
      <c r="C2753" s="84">
        <v>2</v>
      </c>
      <c r="D2753" s="84">
        <v>22</v>
      </c>
      <c r="E2753" s="85">
        <v>16296.88</v>
      </c>
      <c r="F2753" s="85">
        <v>23323.34</v>
      </c>
      <c r="G2753" s="85">
        <v>7026.46</v>
      </c>
    </row>
    <row r="2754" spans="1:7" x14ac:dyDescent="0.3">
      <c r="A2754" s="84">
        <v>2026</v>
      </c>
      <c r="B2754" s="84" t="s">
        <v>397</v>
      </c>
      <c r="C2754" s="84">
        <v>2</v>
      </c>
      <c r="D2754" s="84">
        <v>23</v>
      </c>
      <c r="E2754" s="85">
        <v>16296.88</v>
      </c>
      <c r="F2754" s="85">
        <v>23963.84</v>
      </c>
      <c r="G2754" s="85">
        <v>7666.96</v>
      </c>
    </row>
    <row r="2755" spans="1:7" x14ac:dyDescent="0.3">
      <c r="A2755" s="84">
        <v>2026</v>
      </c>
      <c r="B2755" s="84" t="s">
        <v>397</v>
      </c>
      <c r="C2755" s="84">
        <v>2</v>
      </c>
      <c r="D2755" s="84">
        <v>24</v>
      </c>
      <c r="E2755" s="85">
        <v>16296.88</v>
      </c>
      <c r="F2755" s="85">
        <v>24603.08</v>
      </c>
      <c r="G2755" s="85">
        <v>8306.2000000000007</v>
      </c>
    </row>
    <row r="2756" spans="1:7" x14ac:dyDescent="0.3">
      <c r="A2756" s="84">
        <v>2026</v>
      </c>
      <c r="B2756" s="84" t="s">
        <v>397</v>
      </c>
      <c r="C2756" s="84">
        <v>2</v>
      </c>
      <c r="D2756" s="84">
        <v>25</v>
      </c>
      <c r="E2756" s="85">
        <v>16296.88</v>
      </c>
      <c r="F2756" s="85">
        <v>25243.16</v>
      </c>
      <c r="G2756" s="85">
        <v>8946.2800000000007</v>
      </c>
    </row>
    <row r="2757" spans="1:7" x14ac:dyDescent="0.3">
      <c r="A2757" s="84">
        <v>2026</v>
      </c>
      <c r="B2757" s="84" t="s">
        <v>397</v>
      </c>
      <c r="C2757" s="84">
        <v>2</v>
      </c>
      <c r="D2757" s="84">
        <v>26</v>
      </c>
      <c r="E2757" s="85">
        <v>16296.88</v>
      </c>
      <c r="F2757" s="85">
        <v>26622.44</v>
      </c>
      <c r="G2757" s="85">
        <v>10325.56</v>
      </c>
    </row>
    <row r="2758" spans="1:7" x14ac:dyDescent="0.3">
      <c r="A2758" s="84">
        <v>2026</v>
      </c>
      <c r="B2758" s="84" t="s">
        <v>397</v>
      </c>
      <c r="C2758" s="84">
        <v>2</v>
      </c>
      <c r="D2758" s="84">
        <v>27</v>
      </c>
      <c r="E2758" s="85">
        <v>16296.88</v>
      </c>
      <c r="F2758" s="85">
        <v>28331.7</v>
      </c>
      <c r="G2758" s="85">
        <v>12034.82</v>
      </c>
    </row>
    <row r="2759" spans="1:7" x14ac:dyDescent="0.3">
      <c r="A2759" s="84">
        <v>2026</v>
      </c>
      <c r="B2759" s="84" t="s">
        <v>397</v>
      </c>
      <c r="C2759" s="84">
        <v>2</v>
      </c>
      <c r="D2759" s="84">
        <v>28</v>
      </c>
      <c r="E2759" s="85">
        <v>16296.88</v>
      </c>
      <c r="F2759" s="85">
        <v>28972.2</v>
      </c>
      <c r="G2759" s="85">
        <v>12675.32</v>
      </c>
    </row>
    <row r="2760" spans="1:7" x14ac:dyDescent="0.3">
      <c r="A2760" s="84">
        <v>2026</v>
      </c>
      <c r="B2760" s="84" t="s">
        <v>397</v>
      </c>
      <c r="C2760" s="84">
        <v>2</v>
      </c>
      <c r="D2760" s="84">
        <v>29</v>
      </c>
      <c r="E2760" s="85">
        <v>16296.88</v>
      </c>
      <c r="F2760" s="85">
        <v>29611.58</v>
      </c>
      <c r="G2760" s="85">
        <v>13314.7</v>
      </c>
    </row>
    <row r="2761" spans="1:7" x14ac:dyDescent="0.3">
      <c r="A2761" s="84">
        <v>2026</v>
      </c>
      <c r="B2761" s="84" t="s">
        <v>397</v>
      </c>
      <c r="C2761" s="84">
        <v>2</v>
      </c>
      <c r="D2761" s="84">
        <v>30</v>
      </c>
      <c r="E2761" s="85">
        <v>16296.88</v>
      </c>
      <c r="F2761" s="85">
        <v>31359.9</v>
      </c>
      <c r="G2761" s="85">
        <v>15063.02</v>
      </c>
    </row>
    <row r="2762" spans="1:7" x14ac:dyDescent="0.3">
      <c r="A2762" s="84">
        <v>2026</v>
      </c>
      <c r="B2762" s="84" t="s">
        <v>397</v>
      </c>
      <c r="C2762" s="84">
        <v>3</v>
      </c>
      <c r="D2762" s="84">
        <v>1</v>
      </c>
      <c r="E2762" s="85">
        <v>16591.86</v>
      </c>
      <c r="F2762" s="85">
        <v>16002.46</v>
      </c>
      <c r="G2762" s="85">
        <v>-589.4</v>
      </c>
    </row>
    <row r="2763" spans="1:7" x14ac:dyDescent="0.3">
      <c r="A2763" s="84">
        <v>2026</v>
      </c>
      <c r="B2763" s="84" t="s">
        <v>397</v>
      </c>
      <c r="C2763" s="84">
        <v>3</v>
      </c>
      <c r="D2763" s="84">
        <v>2</v>
      </c>
      <c r="E2763" s="85">
        <v>16591.86</v>
      </c>
      <c r="F2763" s="85">
        <v>16296.88</v>
      </c>
      <c r="G2763" s="85">
        <v>-294.98</v>
      </c>
    </row>
    <row r="2764" spans="1:7" x14ac:dyDescent="0.3">
      <c r="A2764" s="84">
        <v>2026</v>
      </c>
      <c r="B2764" s="84" t="s">
        <v>397</v>
      </c>
      <c r="C2764" s="84">
        <v>3</v>
      </c>
      <c r="D2764" s="84">
        <v>3</v>
      </c>
      <c r="E2764" s="85">
        <v>16591.86</v>
      </c>
      <c r="F2764" s="85">
        <v>16591.86</v>
      </c>
      <c r="G2764" s="85">
        <v>0</v>
      </c>
    </row>
    <row r="2765" spans="1:7" x14ac:dyDescent="0.3">
      <c r="A2765" s="84">
        <v>2026</v>
      </c>
      <c r="B2765" s="84" t="s">
        <v>397</v>
      </c>
      <c r="C2765" s="84">
        <v>3</v>
      </c>
      <c r="D2765" s="84">
        <v>4</v>
      </c>
      <c r="E2765" s="85">
        <v>16591.86</v>
      </c>
      <c r="F2765" s="85">
        <v>16886</v>
      </c>
      <c r="G2765" s="85">
        <v>294.14</v>
      </c>
    </row>
    <row r="2766" spans="1:7" x14ac:dyDescent="0.3">
      <c r="A2766" s="84">
        <v>2026</v>
      </c>
      <c r="B2766" s="84" t="s">
        <v>397</v>
      </c>
      <c r="C2766" s="84">
        <v>3</v>
      </c>
      <c r="D2766" s="84">
        <v>5</v>
      </c>
      <c r="E2766" s="85">
        <v>16591.86</v>
      </c>
      <c r="F2766" s="85">
        <v>17180.7</v>
      </c>
      <c r="G2766" s="85">
        <v>588.84</v>
      </c>
    </row>
    <row r="2767" spans="1:7" x14ac:dyDescent="0.3">
      <c r="A2767" s="84">
        <v>2026</v>
      </c>
      <c r="B2767" s="84" t="s">
        <v>397</v>
      </c>
      <c r="C2767" s="84">
        <v>3</v>
      </c>
      <c r="D2767" s="84">
        <v>6</v>
      </c>
      <c r="E2767" s="85">
        <v>16591.86</v>
      </c>
      <c r="F2767" s="85">
        <v>17377.400000000001</v>
      </c>
      <c r="G2767" s="85">
        <v>785.54</v>
      </c>
    </row>
    <row r="2768" spans="1:7" x14ac:dyDescent="0.3">
      <c r="A2768" s="84">
        <v>2026</v>
      </c>
      <c r="B2768" s="84" t="s">
        <v>397</v>
      </c>
      <c r="C2768" s="84">
        <v>3</v>
      </c>
      <c r="D2768" s="84">
        <v>7</v>
      </c>
      <c r="E2768" s="85">
        <v>16591.86</v>
      </c>
      <c r="F2768" s="85">
        <v>17574.099999999999</v>
      </c>
      <c r="G2768" s="85">
        <v>982.24</v>
      </c>
    </row>
    <row r="2769" spans="1:7" x14ac:dyDescent="0.3">
      <c r="A2769" s="84">
        <v>2026</v>
      </c>
      <c r="B2769" s="84" t="s">
        <v>397</v>
      </c>
      <c r="C2769" s="84">
        <v>3</v>
      </c>
      <c r="D2769" s="84">
        <v>8</v>
      </c>
      <c r="E2769" s="85">
        <v>16591.86</v>
      </c>
      <c r="F2769" s="85">
        <v>17770.38</v>
      </c>
      <c r="G2769" s="85">
        <v>1178.52</v>
      </c>
    </row>
    <row r="2770" spans="1:7" x14ac:dyDescent="0.3">
      <c r="A2770" s="84">
        <v>2026</v>
      </c>
      <c r="B2770" s="84" t="s">
        <v>397</v>
      </c>
      <c r="C2770" s="84">
        <v>3</v>
      </c>
      <c r="D2770" s="84">
        <v>9</v>
      </c>
      <c r="E2770" s="85">
        <v>16591.86</v>
      </c>
      <c r="F2770" s="85">
        <v>17967.5</v>
      </c>
      <c r="G2770" s="85">
        <v>1375.64</v>
      </c>
    </row>
    <row r="2771" spans="1:7" x14ac:dyDescent="0.3">
      <c r="A2771" s="84">
        <v>2026</v>
      </c>
      <c r="B2771" s="84" t="s">
        <v>397</v>
      </c>
      <c r="C2771" s="84">
        <v>3</v>
      </c>
      <c r="D2771" s="84">
        <v>10</v>
      </c>
      <c r="E2771" s="85">
        <v>16591.86</v>
      </c>
      <c r="F2771" s="85">
        <v>18163.919999999998</v>
      </c>
      <c r="G2771" s="85">
        <v>1572.06</v>
      </c>
    </row>
    <row r="2772" spans="1:7" x14ac:dyDescent="0.3">
      <c r="A2772" s="84">
        <v>2026</v>
      </c>
      <c r="B2772" s="84" t="s">
        <v>397</v>
      </c>
      <c r="C2772" s="84">
        <v>3</v>
      </c>
      <c r="D2772" s="84">
        <v>11</v>
      </c>
      <c r="E2772" s="85">
        <v>16591.86</v>
      </c>
      <c r="F2772" s="85">
        <v>18556.48</v>
      </c>
      <c r="G2772" s="85">
        <v>1964.62</v>
      </c>
    </row>
    <row r="2773" spans="1:7" x14ac:dyDescent="0.3">
      <c r="A2773" s="84">
        <v>2026</v>
      </c>
      <c r="B2773" s="84" t="s">
        <v>397</v>
      </c>
      <c r="C2773" s="84">
        <v>3</v>
      </c>
      <c r="D2773" s="84">
        <v>12</v>
      </c>
      <c r="E2773" s="85">
        <v>16591.86</v>
      </c>
      <c r="F2773" s="85">
        <v>18950.02</v>
      </c>
      <c r="G2773" s="85">
        <v>2358.16</v>
      </c>
    </row>
    <row r="2774" spans="1:7" x14ac:dyDescent="0.3">
      <c r="A2774" s="84">
        <v>2026</v>
      </c>
      <c r="B2774" s="84" t="s">
        <v>397</v>
      </c>
      <c r="C2774" s="84">
        <v>3</v>
      </c>
      <c r="D2774" s="84">
        <v>13</v>
      </c>
      <c r="E2774" s="85">
        <v>16591.86</v>
      </c>
      <c r="F2774" s="85">
        <v>19343.28</v>
      </c>
      <c r="G2774" s="85">
        <v>2751.42</v>
      </c>
    </row>
    <row r="2775" spans="1:7" x14ac:dyDescent="0.3">
      <c r="A2775" s="84">
        <v>2026</v>
      </c>
      <c r="B2775" s="84" t="s">
        <v>397</v>
      </c>
      <c r="C2775" s="84">
        <v>3</v>
      </c>
      <c r="D2775" s="84">
        <v>14</v>
      </c>
      <c r="E2775" s="85">
        <v>16591.86</v>
      </c>
      <c r="F2775" s="85">
        <v>19737.099999999999</v>
      </c>
      <c r="G2775" s="85">
        <v>3145.24</v>
      </c>
    </row>
    <row r="2776" spans="1:7" x14ac:dyDescent="0.3">
      <c r="A2776" s="84">
        <v>2026</v>
      </c>
      <c r="B2776" s="84" t="s">
        <v>397</v>
      </c>
      <c r="C2776" s="84">
        <v>3</v>
      </c>
      <c r="D2776" s="84">
        <v>15</v>
      </c>
      <c r="E2776" s="85">
        <v>16591.86</v>
      </c>
      <c r="F2776" s="85">
        <v>20129.38</v>
      </c>
      <c r="G2776" s="85">
        <v>3537.52</v>
      </c>
    </row>
    <row r="2777" spans="1:7" x14ac:dyDescent="0.3">
      <c r="A2777" s="84">
        <v>2026</v>
      </c>
      <c r="B2777" s="84" t="s">
        <v>397</v>
      </c>
      <c r="C2777" s="84">
        <v>3</v>
      </c>
      <c r="D2777" s="84">
        <v>16</v>
      </c>
      <c r="E2777" s="85">
        <v>16591.86</v>
      </c>
      <c r="F2777" s="85">
        <v>20523.34</v>
      </c>
      <c r="G2777" s="85">
        <v>3931.48</v>
      </c>
    </row>
    <row r="2778" spans="1:7" x14ac:dyDescent="0.3">
      <c r="A2778" s="84">
        <v>2026</v>
      </c>
      <c r="B2778" s="84" t="s">
        <v>397</v>
      </c>
      <c r="C2778" s="84">
        <v>3</v>
      </c>
      <c r="D2778" s="84">
        <v>17</v>
      </c>
      <c r="E2778" s="85">
        <v>16591.86</v>
      </c>
      <c r="F2778" s="85">
        <v>20915.62</v>
      </c>
      <c r="G2778" s="85">
        <v>4323.76</v>
      </c>
    </row>
    <row r="2779" spans="1:7" x14ac:dyDescent="0.3">
      <c r="A2779" s="84">
        <v>2026</v>
      </c>
      <c r="B2779" s="84" t="s">
        <v>397</v>
      </c>
      <c r="C2779" s="84">
        <v>3</v>
      </c>
      <c r="D2779" s="84">
        <v>18</v>
      </c>
      <c r="E2779" s="85">
        <v>16591.86</v>
      </c>
      <c r="F2779" s="85">
        <v>21309.16</v>
      </c>
      <c r="G2779" s="85">
        <v>4717.3</v>
      </c>
    </row>
    <row r="2780" spans="1:7" x14ac:dyDescent="0.3">
      <c r="A2780" s="84">
        <v>2026</v>
      </c>
      <c r="B2780" s="84" t="s">
        <v>397</v>
      </c>
      <c r="C2780" s="84">
        <v>3</v>
      </c>
      <c r="D2780" s="84">
        <v>19</v>
      </c>
      <c r="E2780" s="85">
        <v>16591.86</v>
      </c>
      <c r="F2780" s="85">
        <v>21702.28</v>
      </c>
      <c r="G2780" s="85">
        <v>5110.42</v>
      </c>
    </row>
    <row r="2781" spans="1:7" x14ac:dyDescent="0.3">
      <c r="A2781" s="84">
        <v>2026</v>
      </c>
      <c r="B2781" s="84" t="s">
        <v>397</v>
      </c>
      <c r="C2781" s="84">
        <v>3</v>
      </c>
      <c r="D2781" s="84">
        <v>20</v>
      </c>
      <c r="E2781" s="85">
        <v>16591.86</v>
      </c>
      <c r="F2781" s="85">
        <v>22095.26</v>
      </c>
      <c r="G2781" s="85">
        <v>5503.4</v>
      </c>
    </row>
    <row r="2782" spans="1:7" x14ac:dyDescent="0.3">
      <c r="A2782" s="84">
        <v>2026</v>
      </c>
      <c r="B2782" s="84" t="s">
        <v>397</v>
      </c>
      <c r="C2782" s="84">
        <v>3</v>
      </c>
      <c r="D2782" s="84">
        <v>21</v>
      </c>
      <c r="E2782" s="85">
        <v>16591.86</v>
      </c>
      <c r="F2782" s="85">
        <v>22684.66</v>
      </c>
      <c r="G2782" s="85">
        <v>6092.8</v>
      </c>
    </row>
    <row r="2783" spans="1:7" x14ac:dyDescent="0.3">
      <c r="A2783" s="84">
        <v>2026</v>
      </c>
      <c r="B2783" s="84" t="s">
        <v>397</v>
      </c>
      <c r="C2783" s="84">
        <v>3</v>
      </c>
      <c r="D2783" s="84">
        <v>22</v>
      </c>
      <c r="E2783" s="85">
        <v>16591.86</v>
      </c>
      <c r="F2783" s="85">
        <v>23323.34</v>
      </c>
      <c r="G2783" s="85">
        <v>6731.48</v>
      </c>
    </row>
    <row r="2784" spans="1:7" x14ac:dyDescent="0.3">
      <c r="A2784" s="84">
        <v>2026</v>
      </c>
      <c r="B2784" s="84" t="s">
        <v>397</v>
      </c>
      <c r="C2784" s="84">
        <v>3</v>
      </c>
      <c r="D2784" s="84">
        <v>23</v>
      </c>
      <c r="E2784" s="85">
        <v>16591.86</v>
      </c>
      <c r="F2784" s="85">
        <v>23963.84</v>
      </c>
      <c r="G2784" s="85">
        <v>7371.98</v>
      </c>
    </row>
    <row r="2785" spans="1:7" x14ac:dyDescent="0.3">
      <c r="A2785" s="84">
        <v>2026</v>
      </c>
      <c r="B2785" s="84" t="s">
        <v>397</v>
      </c>
      <c r="C2785" s="84">
        <v>3</v>
      </c>
      <c r="D2785" s="84">
        <v>24</v>
      </c>
      <c r="E2785" s="85">
        <v>16591.86</v>
      </c>
      <c r="F2785" s="85">
        <v>24603.08</v>
      </c>
      <c r="G2785" s="85">
        <v>8011.22</v>
      </c>
    </row>
    <row r="2786" spans="1:7" x14ac:dyDescent="0.3">
      <c r="A2786" s="84">
        <v>2026</v>
      </c>
      <c r="B2786" s="84" t="s">
        <v>397</v>
      </c>
      <c r="C2786" s="84">
        <v>3</v>
      </c>
      <c r="D2786" s="84">
        <v>25</v>
      </c>
      <c r="E2786" s="85">
        <v>16591.86</v>
      </c>
      <c r="F2786" s="85">
        <v>25243.16</v>
      </c>
      <c r="G2786" s="85">
        <v>8651.2999999999993</v>
      </c>
    </row>
    <row r="2787" spans="1:7" x14ac:dyDescent="0.3">
      <c r="A2787" s="84">
        <v>2026</v>
      </c>
      <c r="B2787" s="84" t="s">
        <v>397</v>
      </c>
      <c r="C2787" s="84">
        <v>3</v>
      </c>
      <c r="D2787" s="84">
        <v>26</v>
      </c>
      <c r="E2787" s="85">
        <v>16591.86</v>
      </c>
      <c r="F2787" s="85">
        <v>26622.44</v>
      </c>
      <c r="G2787" s="85">
        <v>10030.58</v>
      </c>
    </row>
    <row r="2788" spans="1:7" x14ac:dyDescent="0.3">
      <c r="A2788" s="84">
        <v>2026</v>
      </c>
      <c r="B2788" s="84" t="s">
        <v>397</v>
      </c>
      <c r="C2788" s="84">
        <v>3</v>
      </c>
      <c r="D2788" s="84">
        <v>27</v>
      </c>
      <c r="E2788" s="85">
        <v>16591.86</v>
      </c>
      <c r="F2788" s="85">
        <v>28331.7</v>
      </c>
      <c r="G2788" s="85">
        <v>11739.84</v>
      </c>
    </row>
    <row r="2789" spans="1:7" x14ac:dyDescent="0.3">
      <c r="A2789" s="84">
        <v>2026</v>
      </c>
      <c r="B2789" s="84" t="s">
        <v>397</v>
      </c>
      <c r="C2789" s="84">
        <v>3</v>
      </c>
      <c r="D2789" s="84">
        <v>28</v>
      </c>
      <c r="E2789" s="85">
        <v>16591.86</v>
      </c>
      <c r="F2789" s="85">
        <v>28972.2</v>
      </c>
      <c r="G2789" s="85">
        <v>12380.34</v>
      </c>
    </row>
    <row r="2790" spans="1:7" x14ac:dyDescent="0.3">
      <c r="A2790" s="84">
        <v>2026</v>
      </c>
      <c r="B2790" s="84" t="s">
        <v>397</v>
      </c>
      <c r="C2790" s="84">
        <v>3</v>
      </c>
      <c r="D2790" s="84">
        <v>29</v>
      </c>
      <c r="E2790" s="85">
        <v>16591.86</v>
      </c>
      <c r="F2790" s="85">
        <v>29611.58</v>
      </c>
      <c r="G2790" s="85">
        <v>13019.72</v>
      </c>
    </row>
    <row r="2791" spans="1:7" x14ac:dyDescent="0.3">
      <c r="A2791" s="84">
        <v>2026</v>
      </c>
      <c r="B2791" s="84" t="s">
        <v>397</v>
      </c>
      <c r="C2791" s="84">
        <v>3</v>
      </c>
      <c r="D2791" s="84">
        <v>30</v>
      </c>
      <c r="E2791" s="85">
        <v>16591.86</v>
      </c>
      <c r="F2791" s="85">
        <v>31359.9</v>
      </c>
      <c r="G2791" s="85">
        <v>14768.04</v>
      </c>
    </row>
    <row r="2792" spans="1:7" x14ac:dyDescent="0.3">
      <c r="A2792" s="84">
        <v>2026</v>
      </c>
      <c r="B2792" s="84" t="s">
        <v>397</v>
      </c>
      <c r="C2792" s="84">
        <v>4</v>
      </c>
      <c r="D2792" s="84">
        <v>1</v>
      </c>
      <c r="E2792" s="85">
        <v>16886</v>
      </c>
      <c r="F2792" s="85">
        <v>16002.46</v>
      </c>
      <c r="G2792" s="85">
        <v>-883.54</v>
      </c>
    </row>
    <row r="2793" spans="1:7" x14ac:dyDescent="0.3">
      <c r="A2793" s="84">
        <v>2026</v>
      </c>
      <c r="B2793" s="84" t="s">
        <v>397</v>
      </c>
      <c r="C2793" s="84">
        <v>4</v>
      </c>
      <c r="D2793" s="84">
        <v>2</v>
      </c>
      <c r="E2793" s="85">
        <v>16886</v>
      </c>
      <c r="F2793" s="85">
        <v>16296.88</v>
      </c>
      <c r="G2793" s="85">
        <v>-589.12</v>
      </c>
    </row>
    <row r="2794" spans="1:7" x14ac:dyDescent="0.3">
      <c r="A2794" s="84">
        <v>2026</v>
      </c>
      <c r="B2794" s="84" t="s">
        <v>397</v>
      </c>
      <c r="C2794" s="84">
        <v>4</v>
      </c>
      <c r="D2794" s="84">
        <v>3</v>
      </c>
      <c r="E2794" s="85">
        <v>16886</v>
      </c>
      <c r="F2794" s="85">
        <v>16591.86</v>
      </c>
      <c r="G2794" s="85">
        <v>-294.14</v>
      </c>
    </row>
    <row r="2795" spans="1:7" x14ac:dyDescent="0.3">
      <c r="A2795" s="84">
        <v>2026</v>
      </c>
      <c r="B2795" s="84" t="s">
        <v>397</v>
      </c>
      <c r="C2795" s="84">
        <v>4</v>
      </c>
      <c r="D2795" s="84">
        <v>4</v>
      </c>
      <c r="E2795" s="85">
        <v>16886</v>
      </c>
      <c r="F2795" s="85">
        <v>16886</v>
      </c>
      <c r="G2795" s="85">
        <v>0</v>
      </c>
    </row>
    <row r="2796" spans="1:7" x14ac:dyDescent="0.3">
      <c r="A2796" s="84">
        <v>2026</v>
      </c>
      <c r="B2796" s="84" t="s">
        <v>397</v>
      </c>
      <c r="C2796" s="84">
        <v>4</v>
      </c>
      <c r="D2796" s="84">
        <v>5</v>
      </c>
      <c r="E2796" s="85">
        <v>16886</v>
      </c>
      <c r="F2796" s="85">
        <v>17180.7</v>
      </c>
      <c r="G2796" s="85">
        <v>294.7</v>
      </c>
    </row>
    <row r="2797" spans="1:7" x14ac:dyDescent="0.3">
      <c r="A2797" s="84">
        <v>2026</v>
      </c>
      <c r="B2797" s="84" t="s">
        <v>397</v>
      </c>
      <c r="C2797" s="84">
        <v>4</v>
      </c>
      <c r="D2797" s="84">
        <v>6</v>
      </c>
      <c r="E2797" s="85">
        <v>16886</v>
      </c>
      <c r="F2797" s="85">
        <v>17377.400000000001</v>
      </c>
      <c r="G2797" s="85">
        <v>491.4</v>
      </c>
    </row>
    <row r="2798" spans="1:7" x14ac:dyDescent="0.3">
      <c r="A2798" s="84">
        <v>2026</v>
      </c>
      <c r="B2798" s="84" t="s">
        <v>397</v>
      </c>
      <c r="C2798" s="84">
        <v>4</v>
      </c>
      <c r="D2798" s="84">
        <v>7</v>
      </c>
      <c r="E2798" s="85">
        <v>16886</v>
      </c>
      <c r="F2798" s="85">
        <v>17574.099999999999</v>
      </c>
      <c r="G2798" s="85">
        <v>688.1</v>
      </c>
    </row>
    <row r="2799" spans="1:7" x14ac:dyDescent="0.3">
      <c r="A2799" s="84">
        <v>2026</v>
      </c>
      <c r="B2799" s="84" t="s">
        <v>397</v>
      </c>
      <c r="C2799" s="84">
        <v>4</v>
      </c>
      <c r="D2799" s="84">
        <v>8</v>
      </c>
      <c r="E2799" s="85">
        <v>16886</v>
      </c>
      <c r="F2799" s="85">
        <v>17770.38</v>
      </c>
      <c r="G2799" s="85">
        <v>884.38</v>
      </c>
    </row>
    <row r="2800" spans="1:7" x14ac:dyDescent="0.3">
      <c r="A2800" s="84">
        <v>2026</v>
      </c>
      <c r="B2800" s="84" t="s">
        <v>397</v>
      </c>
      <c r="C2800" s="84">
        <v>4</v>
      </c>
      <c r="D2800" s="84">
        <v>9</v>
      </c>
      <c r="E2800" s="85">
        <v>16886</v>
      </c>
      <c r="F2800" s="85">
        <v>17967.5</v>
      </c>
      <c r="G2800" s="85">
        <v>1081.5</v>
      </c>
    </row>
    <row r="2801" spans="1:7" x14ac:dyDescent="0.3">
      <c r="A2801" s="84">
        <v>2026</v>
      </c>
      <c r="B2801" s="84" t="s">
        <v>397</v>
      </c>
      <c r="C2801" s="84">
        <v>4</v>
      </c>
      <c r="D2801" s="84">
        <v>10</v>
      </c>
      <c r="E2801" s="85">
        <v>16886</v>
      </c>
      <c r="F2801" s="85">
        <v>18163.919999999998</v>
      </c>
      <c r="G2801" s="85">
        <v>1277.92</v>
      </c>
    </row>
    <row r="2802" spans="1:7" x14ac:dyDescent="0.3">
      <c r="A2802" s="84">
        <v>2026</v>
      </c>
      <c r="B2802" s="84" t="s">
        <v>397</v>
      </c>
      <c r="C2802" s="84">
        <v>4</v>
      </c>
      <c r="D2802" s="84">
        <v>11</v>
      </c>
      <c r="E2802" s="85">
        <v>16886</v>
      </c>
      <c r="F2802" s="85">
        <v>18556.48</v>
      </c>
      <c r="G2802" s="85">
        <v>1670.48</v>
      </c>
    </row>
    <row r="2803" spans="1:7" x14ac:dyDescent="0.3">
      <c r="A2803" s="84">
        <v>2026</v>
      </c>
      <c r="B2803" s="84" t="s">
        <v>397</v>
      </c>
      <c r="C2803" s="84">
        <v>4</v>
      </c>
      <c r="D2803" s="84">
        <v>12</v>
      </c>
      <c r="E2803" s="85">
        <v>16886</v>
      </c>
      <c r="F2803" s="85">
        <v>18950.02</v>
      </c>
      <c r="G2803" s="85">
        <v>2064.02</v>
      </c>
    </row>
    <row r="2804" spans="1:7" x14ac:dyDescent="0.3">
      <c r="A2804" s="84">
        <v>2026</v>
      </c>
      <c r="B2804" s="84" t="s">
        <v>397</v>
      </c>
      <c r="C2804" s="84">
        <v>4</v>
      </c>
      <c r="D2804" s="84">
        <v>13</v>
      </c>
      <c r="E2804" s="85">
        <v>16886</v>
      </c>
      <c r="F2804" s="85">
        <v>19343.28</v>
      </c>
      <c r="G2804" s="85">
        <v>2457.2800000000002</v>
      </c>
    </row>
    <row r="2805" spans="1:7" x14ac:dyDescent="0.3">
      <c r="A2805" s="84">
        <v>2026</v>
      </c>
      <c r="B2805" s="84" t="s">
        <v>397</v>
      </c>
      <c r="C2805" s="84">
        <v>4</v>
      </c>
      <c r="D2805" s="84">
        <v>14</v>
      </c>
      <c r="E2805" s="85">
        <v>16886</v>
      </c>
      <c r="F2805" s="85">
        <v>19737.099999999999</v>
      </c>
      <c r="G2805" s="85">
        <v>2851.1</v>
      </c>
    </row>
    <row r="2806" spans="1:7" x14ac:dyDescent="0.3">
      <c r="A2806" s="84">
        <v>2026</v>
      </c>
      <c r="B2806" s="84" t="s">
        <v>397</v>
      </c>
      <c r="C2806" s="84">
        <v>4</v>
      </c>
      <c r="D2806" s="84">
        <v>15</v>
      </c>
      <c r="E2806" s="85">
        <v>16886</v>
      </c>
      <c r="F2806" s="85">
        <v>20129.38</v>
      </c>
      <c r="G2806" s="85">
        <v>3243.38</v>
      </c>
    </row>
    <row r="2807" spans="1:7" x14ac:dyDescent="0.3">
      <c r="A2807" s="84">
        <v>2026</v>
      </c>
      <c r="B2807" s="84" t="s">
        <v>397</v>
      </c>
      <c r="C2807" s="84">
        <v>4</v>
      </c>
      <c r="D2807" s="84">
        <v>16</v>
      </c>
      <c r="E2807" s="85">
        <v>16886</v>
      </c>
      <c r="F2807" s="85">
        <v>20523.34</v>
      </c>
      <c r="G2807" s="85">
        <v>3637.34</v>
      </c>
    </row>
    <row r="2808" spans="1:7" x14ac:dyDescent="0.3">
      <c r="A2808" s="84">
        <v>2026</v>
      </c>
      <c r="B2808" s="84" t="s">
        <v>397</v>
      </c>
      <c r="C2808" s="84">
        <v>4</v>
      </c>
      <c r="D2808" s="84">
        <v>17</v>
      </c>
      <c r="E2808" s="85">
        <v>16886</v>
      </c>
      <c r="F2808" s="85">
        <v>20915.62</v>
      </c>
      <c r="G2808" s="85">
        <v>4029.62</v>
      </c>
    </row>
    <row r="2809" spans="1:7" x14ac:dyDescent="0.3">
      <c r="A2809" s="84">
        <v>2026</v>
      </c>
      <c r="B2809" s="84" t="s">
        <v>397</v>
      </c>
      <c r="C2809" s="84">
        <v>4</v>
      </c>
      <c r="D2809" s="84">
        <v>18</v>
      </c>
      <c r="E2809" s="85">
        <v>16886</v>
      </c>
      <c r="F2809" s="85">
        <v>21309.16</v>
      </c>
      <c r="G2809" s="85">
        <v>4423.16</v>
      </c>
    </row>
    <row r="2810" spans="1:7" x14ac:dyDescent="0.3">
      <c r="A2810" s="84">
        <v>2026</v>
      </c>
      <c r="B2810" s="84" t="s">
        <v>397</v>
      </c>
      <c r="C2810" s="84">
        <v>4</v>
      </c>
      <c r="D2810" s="84">
        <v>19</v>
      </c>
      <c r="E2810" s="85">
        <v>16886</v>
      </c>
      <c r="F2810" s="85">
        <v>21702.28</v>
      </c>
      <c r="G2810" s="85">
        <v>4816.28</v>
      </c>
    </row>
    <row r="2811" spans="1:7" x14ac:dyDescent="0.3">
      <c r="A2811" s="84">
        <v>2026</v>
      </c>
      <c r="B2811" s="84" t="s">
        <v>397</v>
      </c>
      <c r="C2811" s="84">
        <v>4</v>
      </c>
      <c r="D2811" s="84">
        <v>20</v>
      </c>
      <c r="E2811" s="85">
        <v>16886</v>
      </c>
      <c r="F2811" s="85">
        <v>22095.26</v>
      </c>
      <c r="G2811" s="85">
        <v>5209.26</v>
      </c>
    </row>
    <row r="2812" spans="1:7" x14ac:dyDescent="0.3">
      <c r="A2812" s="84">
        <v>2026</v>
      </c>
      <c r="B2812" s="84" t="s">
        <v>397</v>
      </c>
      <c r="C2812" s="84">
        <v>4</v>
      </c>
      <c r="D2812" s="84">
        <v>21</v>
      </c>
      <c r="E2812" s="85">
        <v>16886</v>
      </c>
      <c r="F2812" s="85">
        <v>22684.66</v>
      </c>
      <c r="G2812" s="85">
        <v>5798.66</v>
      </c>
    </row>
    <row r="2813" spans="1:7" x14ac:dyDescent="0.3">
      <c r="A2813" s="84">
        <v>2026</v>
      </c>
      <c r="B2813" s="84" t="s">
        <v>397</v>
      </c>
      <c r="C2813" s="84">
        <v>4</v>
      </c>
      <c r="D2813" s="84">
        <v>22</v>
      </c>
      <c r="E2813" s="85">
        <v>16886</v>
      </c>
      <c r="F2813" s="85">
        <v>23323.34</v>
      </c>
      <c r="G2813" s="85">
        <v>6437.34</v>
      </c>
    </row>
    <row r="2814" spans="1:7" x14ac:dyDescent="0.3">
      <c r="A2814" s="84">
        <v>2026</v>
      </c>
      <c r="B2814" s="84" t="s">
        <v>397</v>
      </c>
      <c r="C2814" s="84">
        <v>4</v>
      </c>
      <c r="D2814" s="84">
        <v>23</v>
      </c>
      <c r="E2814" s="85">
        <v>16886</v>
      </c>
      <c r="F2814" s="85">
        <v>23963.84</v>
      </c>
      <c r="G2814" s="85">
        <v>7077.84</v>
      </c>
    </row>
    <row r="2815" spans="1:7" x14ac:dyDescent="0.3">
      <c r="A2815" s="84">
        <v>2026</v>
      </c>
      <c r="B2815" s="84" t="s">
        <v>397</v>
      </c>
      <c r="C2815" s="84">
        <v>4</v>
      </c>
      <c r="D2815" s="84">
        <v>24</v>
      </c>
      <c r="E2815" s="85">
        <v>16886</v>
      </c>
      <c r="F2815" s="85">
        <v>24603.08</v>
      </c>
      <c r="G2815" s="85">
        <v>7717.08</v>
      </c>
    </row>
    <row r="2816" spans="1:7" x14ac:dyDescent="0.3">
      <c r="A2816" s="84">
        <v>2026</v>
      </c>
      <c r="B2816" s="84" t="s">
        <v>397</v>
      </c>
      <c r="C2816" s="84">
        <v>4</v>
      </c>
      <c r="D2816" s="84">
        <v>25</v>
      </c>
      <c r="E2816" s="85">
        <v>16886</v>
      </c>
      <c r="F2816" s="85">
        <v>25243.16</v>
      </c>
      <c r="G2816" s="85">
        <v>8357.16</v>
      </c>
    </row>
    <row r="2817" spans="1:7" x14ac:dyDescent="0.3">
      <c r="A2817" s="84">
        <v>2026</v>
      </c>
      <c r="B2817" s="84" t="s">
        <v>397</v>
      </c>
      <c r="C2817" s="84">
        <v>4</v>
      </c>
      <c r="D2817" s="84">
        <v>26</v>
      </c>
      <c r="E2817" s="85">
        <v>16886</v>
      </c>
      <c r="F2817" s="85">
        <v>26622.44</v>
      </c>
      <c r="G2817" s="85">
        <v>9736.44</v>
      </c>
    </row>
    <row r="2818" spans="1:7" x14ac:dyDescent="0.3">
      <c r="A2818" s="84">
        <v>2026</v>
      </c>
      <c r="B2818" s="84" t="s">
        <v>397</v>
      </c>
      <c r="C2818" s="84">
        <v>4</v>
      </c>
      <c r="D2818" s="84">
        <v>27</v>
      </c>
      <c r="E2818" s="85">
        <v>16886</v>
      </c>
      <c r="F2818" s="85">
        <v>28331.7</v>
      </c>
      <c r="G2818" s="85">
        <v>11445.7</v>
      </c>
    </row>
    <row r="2819" spans="1:7" x14ac:dyDescent="0.3">
      <c r="A2819" s="84">
        <v>2026</v>
      </c>
      <c r="B2819" s="84" t="s">
        <v>397</v>
      </c>
      <c r="C2819" s="84">
        <v>4</v>
      </c>
      <c r="D2819" s="84">
        <v>28</v>
      </c>
      <c r="E2819" s="85">
        <v>16886</v>
      </c>
      <c r="F2819" s="85">
        <v>28972.2</v>
      </c>
      <c r="G2819" s="85">
        <v>12086.2</v>
      </c>
    </row>
    <row r="2820" spans="1:7" x14ac:dyDescent="0.3">
      <c r="A2820" s="84">
        <v>2026</v>
      </c>
      <c r="B2820" s="84" t="s">
        <v>397</v>
      </c>
      <c r="C2820" s="84">
        <v>4</v>
      </c>
      <c r="D2820" s="84">
        <v>29</v>
      </c>
      <c r="E2820" s="85">
        <v>16886</v>
      </c>
      <c r="F2820" s="85">
        <v>29611.58</v>
      </c>
      <c r="G2820" s="85">
        <v>12725.58</v>
      </c>
    </row>
    <row r="2821" spans="1:7" x14ac:dyDescent="0.3">
      <c r="A2821" s="84">
        <v>2026</v>
      </c>
      <c r="B2821" s="84" t="s">
        <v>397</v>
      </c>
      <c r="C2821" s="84">
        <v>4</v>
      </c>
      <c r="D2821" s="84">
        <v>30</v>
      </c>
      <c r="E2821" s="85">
        <v>16886</v>
      </c>
      <c r="F2821" s="85">
        <v>31359.9</v>
      </c>
      <c r="G2821" s="85">
        <v>14473.9</v>
      </c>
    </row>
    <row r="2822" spans="1:7" x14ac:dyDescent="0.3">
      <c r="A2822" s="84">
        <v>2026</v>
      </c>
      <c r="B2822" s="84" t="s">
        <v>397</v>
      </c>
      <c r="C2822" s="84">
        <v>5</v>
      </c>
      <c r="D2822" s="84">
        <v>1</v>
      </c>
      <c r="E2822" s="85">
        <v>17180.7</v>
      </c>
      <c r="F2822" s="85">
        <v>16002.46</v>
      </c>
      <c r="G2822" s="85">
        <v>-1178.24</v>
      </c>
    </row>
    <row r="2823" spans="1:7" x14ac:dyDescent="0.3">
      <c r="A2823" s="84">
        <v>2026</v>
      </c>
      <c r="B2823" s="84" t="s">
        <v>397</v>
      </c>
      <c r="C2823" s="84">
        <v>5</v>
      </c>
      <c r="D2823" s="84">
        <v>2</v>
      </c>
      <c r="E2823" s="85">
        <v>17180.7</v>
      </c>
      <c r="F2823" s="85">
        <v>16296.88</v>
      </c>
      <c r="G2823" s="85">
        <v>-883.82</v>
      </c>
    </row>
    <row r="2824" spans="1:7" x14ac:dyDescent="0.3">
      <c r="A2824" s="84">
        <v>2026</v>
      </c>
      <c r="B2824" s="84" t="s">
        <v>397</v>
      </c>
      <c r="C2824" s="84">
        <v>5</v>
      </c>
      <c r="D2824" s="84">
        <v>3</v>
      </c>
      <c r="E2824" s="85">
        <v>17180.7</v>
      </c>
      <c r="F2824" s="85">
        <v>16591.86</v>
      </c>
      <c r="G2824" s="85">
        <v>-588.84</v>
      </c>
    </row>
    <row r="2825" spans="1:7" x14ac:dyDescent="0.3">
      <c r="A2825" s="84">
        <v>2026</v>
      </c>
      <c r="B2825" s="84" t="s">
        <v>397</v>
      </c>
      <c r="C2825" s="84">
        <v>5</v>
      </c>
      <c r="D2825" s="84">
        <v>4</v>
      </c>
      <c r="E2825" s="85">
        <v>17180.7</v>
      </c>
      <c r="F2825" s="85">
        <v>16886</v>
      </c>
      <c r="G2825" s="85">
        <v>-294.7</v>
      </c>
    </row>
    <row r="2826" spans="1:7" x14ac:dyDescent="0.3">
      <c r="A2826" s="84">
        <v>2026</v>
      </c>
      <c r="B2826" s="84" t="s">
        <v>397</v>
      </c>
      <c r="C2826" s="84">
        <v>5</v>
      </c>
      <c r="D2826" s="84">
        <v>5</v>
      </c>
      <c r="E2826" s="85">
        <v>17180.7</v>
      </c>
      <c r="F2826" s="85">
        <v>17180.7</v>
      </c>
      <c r="G2826" s="85">
        <v>0</v>
      </c>
    </row>
    <row r="2827" spans="1:7" x14ac:dyDescent="0.3">
      <c r="A2827" s="84">
        <v>2026</v>
      </c>
      <c r="B2827" s="84" t="s">
        <v>397</v>
      </c>
      <c r="C2827" s="84">
        <v>5</v>
      </c>
      <c r="D2827" s="84">
        <v>6</v>
      </c>
      <c r="E2827" s="85">
        <v>17180.7</v>
      </c>
      <c r="F2827" s="85">
        <v>17377.400000000001</v>
      </c>
      <c r="G2827" s="85">
        <v>196.7</v>
      </c>
    </row>
    <row r="2828" spans="1:7" x14ac:dyDescent="0.3">
      <c r="A2828" s="84">
        <v>2026</v>
      </c>
      <c r="B2828" s="84" t="s">
        <v>397</v>
      </c>
      <c r="C2828" s="84">
        <v>5</v>
      </c>
      <c r="D2828" s="84">
        <v>7</v>
      </c>
      <c r="E2828" s="85">
        <v>17180.7</v>
      </c>
      <c r="F2828" s="85">
        <v>17574.099999999999</v>
      </c>
      <c r="G2828" s="85">
        <v>393.4</v>
      </c>
    </row>
    <row r="2829" spans="1:7" x14ac:dyDescent="0.3">
      <c r="A2829" s="84">
        <v>2026</v>
      </c>
      <c r="B2829" s="84" t="s">
        <v>397</v>
      </c>
      <c r="C2829" s="84">
        <v>5</v>
      </c>
      <c r="D2829" s="84">
        <v>8</v>
      </c>
      <c r="E2829" s="85">
        <v>17180.7</v>
      </c>
      <c r="F2829" s="85">
        <v>17770.38</v>
      </c>
      <c r="G2829" s="85">
        <v>589.67999999999995</v>
      </c>
    </row>
    <row r="2830" spans="1:7" x14ac:dyDescent="0.3">
      <c r="A2830" s="84">
        <v>2026</v>
      </c>
      <c r="B2830" s="84" t="s">
        <v>397</v>
      </c>
      <c r="C2830" s="84">
        <v>5</v>
      </c>
      <c r="D2830" s="84">
        <v>9</v>
      </c>
      <c r="E2830" s="85">
        <v>17180.7</v>
      </c>
      <c r="F2830" s="85">
        <v>17967.5</v>
      </c>
      <c r="G2830" s="85">
        <v>786.8</v>
      </c>
    </row>
    <row r="2831" spans="1:7" x14ac:dyDescent="0.3">
      <c r="A2831" s="84">
        <v>2026</v>
      </c>
      <c r="B2831" s="84" t="s">
        <v>397</v>
      </c>
      <c r="C2831" s="84">
        <v>5</v>
      </c>
      <c r="D2831" s="84">
        <v>10</v>
      </c>
      <c r="E2831" s="85">
        <v>17180.7</v>
      </c>
      <c r="F2831" s="85">
        <v>18163.919999999998</v>
      </c>
      <c r="G2831" s="85">
        <v>983.22</v>
      </c>
    </row>
    <row r="2832" spans="1:7" x14ac:dyDescent="0.3">
      <c r="A2832" s="84">
        <v>2026</v>
      </c>
      <c r="B2832" s="84" t="s">
        <v>397</v>
      </c>
      <c r="C2832" s="84">
        <v>5</v>
      </c>
      <c r="D2832" s="84">
        <v>11</v>
      </c>
      <c r="E2832" s="85">
        <v>17180.7</v>
      </c>
      <c r="F2832" s="85">
        <v>18556.48</v>
      </c>
      <c r="G2832" s="85">
        <v>1375.78</v>
      </c>
    </row>
    <row r="2833" spans="1:7" x14ac:dyDescent="0.3">
      <c r="A2833" s="84">
        <v>2026</v>
      </c>
      <c r="B2833" s="84" t="s">
        <v>397</v>
      </c>
      <c r="C2833" s="84">
        <v>5</v>
      </c>
      <c r="D2833" s="84">
        <v>12</v>
      </c>
      <c r="E2833" s="85">
        <v>17180.7</v>
      </c>
      <c r="F2833" s="85">
        <v>18950.02</v>
      </c>
      <c r="G2833" s="85">
        <v>1769.32</v>
      </c>
    </row>
    <row r="2834" spans="1:7" x14ac:dyDescent="0.3">
      <c r="A2834" s="84">
        <v>2026</v>
      </c>
      <c r="B2834" s="84" t="s">
        <v>397</v>
      </c>
      <c r="C2834" s="84">
        <v>5</v>
      </c>
      <c r="D2834" s="84">
        <v>13</v>
      </c>
      <c r="E2834" s="85">
        <v>17180.7</v>
      </c>
      <c r="F2834" s="85">
        <v>19343.28</v>
      </c>
      <c r="G2834" s="85">
        <v>2162.58</v>
      </c>
    </row>
    <row r="2835" spans="1:7" x14ac:dyDescent="0.3">
      <c r="A2835" s="84">
        <v>2026</v>
      </c>
      <c r="B2835" s="84" t="s">
        <v>397</v>
      </c>
      <c r="C2835" s="84">
        <v>5</v>
      </c>
      <c r="D2835" s="84">
        <v>14</v>
      </c>
      <c r="E2835" s="85">
        <v>17180.7</v>
      </c>
      <c r="F2835" s="85">
        <v>19737.099999999999</v>
      </c>
      <c r="G2835" s="85">
        <v>2556.4</v>
      </c>
    </row>
    <row r="2836" spans="1:7" x14ac:dyDescent="0.3">
      <c r="A2836" s="84">
        <v>2026</v>
      </c>
      <c r="B2836" s="84" t="s">
        <v>397</v>
      </c>
      <c r="C2836" s="84">
        <v>5</v>
      </c>
      <c r="D2836" s="84">
        <v>15</v>
      </c>
      <c r="E2836" s="85">
        <v>17180.7</v>
      </c>
      <c r="F2836" s="85">
        <v>20129.38</v>
      </c>
      <c r="G2836" s="85">
        <v>2948.68</v>
      </c>
    </row>
    <row r="2837" spans="1:7" x14ac:dyDescent="0.3">
      <c r="A2837" s="84">
        <v>2026</v>
      </c>
      <c r="B2837" s="84" t="s">
        <v>397</v>
      </c>
      <c r="C2837" s="84">
        <v>5</v>
      </c>
      <c r="D2837" s="84">
        <v>16</v>
      </c>
      <c r="E2837" s="85">
        <v>17180.7</v>
      </c>
      <c r="F2837" s="85">
        <v>20523.34</v>
      </c>
      <c r="G2837" s="85">
        <v>3342.64</v>
      </c>
    </row>
    <row r="2838" spans="1:7" x14ac:dyDescent="0.3">
      <c r="A2838" s="84">
        <v>2026</v>
      </c>
      <c r="B2838" s="84" t="s">
        <v>397</v>
      </c>
      <c r="C2838" s="84">
        <v>5</v>
      </c>
      <c r="D2838" s="84">
        <v>17</v>
      </c>
      <c r="E2838" s="85">
        <v>17180.7</v>
      </c>
      <c r="F2838" s="85">
        <v>20915.62</v>
      </c>
      <c r="G2838" s="85">
        <v>3734.92</v>
      </c>
    </row>
    <row r="2839" spans="1:7" x14ac:dyDescent="0.3">
      <c r="A2839" s="84">
        <v>2026</v>
      </c>
      <c r="B2839" s="84" t="s">
        <v>397</v>
      </c>
      <c r="C2839" s="84">
        <v>5</v>
      </c>
      <c r="D2839" s="84">
        <v>18</v>
      </c>
      <c r="E2839" s="85">
        <v>17180.7</v>
      </c>
      <c r="F2839" s="85">
        <v>21309.16</v>
      </c>
      <c r="G2839" s="85">
        <v>4128.46</v>
      </c>
    </row>
    <row r="2840" spans="1:7" x14ac:dyDescent="0.3">
      <c r="A2840" s="84">
        <v>2026</v>
      </c>
      <c r="B2840" s="84" t="s">
        <v>397</v>
      </c>
      <c r="C2840" s="84">
        <v>5</v>
      </c>
      <c r="D2840" s="84">
        <v>19</v>
      </c>
      <c r="E2840" s="85">
        <v>17180.7</v>
      </c>
      <c r="F2840" s="85">
        <v>21702.28</v>
      </c>
      <c r="G2840" s="85">
        <v>4521.58</v>
      </c>
    </row>
    <row r="2841" spans="1:7" x14ac:dyDescent="0.3">
      <c r="A2841" s="84">
        <v>2026</v>
      </c>
      <c r="B2841" s="84" t="s">
        <v>397</v>
      </c>
      <c r="C2841" s="84">
        <v>5</v>
      </c>
      <c r="D2841" s="84">
        <v>20</v>
      </c>
      <c r="E2841" s="85">
        <v>17180.7</v>
      </c>
      <c r="F2841" s="85">
        <v>22095.26</v>
      </c>
      <c r="G2841" s="85">
        <v>4914.5600000000004</v>
      </c>
    </row>
    <row r="2842" spans="1:7" x14ac:dyDescent="0.3">
      <c r="A2842" s="84">
        <v>2026</v>
      </c>
      <c r="B2842" s="84" t="s">
        <v>397</v>
      </c>
      <c r="C2842" s="84">
        <v>5</v>
      </c>
      <c r="D2842" s="84">
        <v>21</v>
      </c>
      <c r="E2842" s="85">
        <v>17180.7</v>
      </c>
      <c r="F2842" s="85">
        <v>22684.66</v>
      </c>
      <c r="G2842" s="85">
        <v>5503.96</v>
      </c>
    </row>
    <row r="2843" spans="1:7" x14ac:dyDescent="0.3">
      <c r="A2843" s="84">
        <v>2026</v>
      </c>
      <c r="B2843" s="84" t="s">
        <v>397</v>
      </c>
      <c r="C2843" s="84">
        <v>5</v>
      </c>
      <c r="D2843" s="84">
        <v>22</v>
      </c>
      <c r="E2843" s="85">
        <v>17180.7</v>
      </c>
      <c r="F2843" s="85">
        <v>23323.34</v>
      </c>
      <c r="G2843" s="85">
        <v>6142.64</v>
      </c>
    </row>
    <row r="2844" spans="1:7" x14ac:dyDescent="0.3">
      <c r="A2844" s="84">
        <v>2026</v>
      </c>
      <c r="B2844" s="84" t="s">
        <v>397</v>
      </c>
      <c r="C2844" s="84">
        <v>5</v>
      </c>
      <c r="D2844" s="84">
        <v>23</v>
      </c>
      <c r="E2844" s="85">
        <v>17180.7</v>
      </c>
      <c r="F2844" s="85">
        <v>23963.84</v>
      </c>
      <c r="G2844" s="85">
        <v>6783.14</v>
      </c>
    </row>
    <row r="2845" spans="1:7" x14ac:dyDescent="0.3">
      <c r="A2845" s="84">
        <v>2026</v>
      </c>
      <c r="B2845" s="84" t="s">
        <v>397</v>
      </c>
      <c r="C2845" s="84">
        <v>5</v>
      </c>
      <c r="D2845" s="84">
        <v>24</v>
      </c>
      <c r="E2845" s="85">
        <v>17180.7</v>
      </c>
      <c r="F2845" s="85">
        <v>24603.08</v>
      </c>
      <c r="G2845" s="85">
        <v>7422.38</v>
      </c>
    </row>
    <row r="2846" spans="1:7" x14ac:dyDescent="0.3">
      <c r="A2846" s="84">
        <v>2026</v>
      </c>
      <c r="B2846" s="84" t="s">
        <v>397</v>
      </c>
      <c r="C2846" s="84">
        <v>5</v>
      </c>
      <c r="D2846" s="84">
        <v>25</v>
      </c>
      <c r="E2846" s="85">
        <v>17180.7</v>
      </c>
      <c r="F2846" s="85">
        <v>25243.16</v>
      </c>
      <c r="G2846" s="85">
        <v>8062.46</v>
      </c>
    </row>
    <row r="2847" spans="1:7" x14ac:dyDescent="0.3">
      <c r="A2847" s="84">
        <v>2026</v>
      </c>
      <c r="B2847" s="84" t="s">
        <v>397</v>
      </c>
      <c r="C2847" s="84">
        <v>5</v>
      </c>
      <c r="D2847" s="84">
        <v>26</v>
      </c>
      <c r="E2847" s="85">
        <v>17180.7</v>
      </c>
      <c r="F2847" s="85">
        <v>26622.44</v>
      </c>
      <c r="G2847" s="85">
        <v>9441.74</v>
      </c>
    </row>
    <row r="2848" spans="1:7" x14ac:dyDescent="0.3">
      <c r="A2848" s="84">
        <v>2026</v>
      </c>
      <c r="B2848" s="84" t="s">
        <v>397</v>
      </c>
      <c r="C2848" s="84">
        <v>5</v>
      </c>
      <c r="D2848" s="84">
        <v>27</v>
      </c>
      <c r="E2848" s="85">
        <v>17180.7</v>
      </c>
      <c r="F2848" s="85">
        <v>28331.7</v>
      </c>
      <c r="G2848" s="85">
        <v>11151</v>
      </c>
    </row>
    <row r="2849" spans="1:7" x14ac:dyDescent="0.3">
      <c r="A2849" s="84">
        <v>2026</v>
      </c>
      <c r="B2849" s="84" t="s">
        <v>397</v>
      </c>
      <c r="C2849" s="84">
        <v>5</v>
      </c>
      <c r="D2849" s="84">
        <v>28</v>
      </c>
      <c r="E2849" s="85">
        <v>17180.7</v>
      </c>
      <c r="F2849" s="85">
        <v>28972.2</v>
      </c>
      <c r="G2849" s="85">
        <v>11791.5</v>
      </c>
    </row>
    <row r="2850" spans="1:7" x14ac:dyDescent="0.3">
      <c r="A2850" s="84">
        <v>2026</v>
      </c>
      <c r="B2850" s="84" t="s">
        <v>397</v>
      </c>
      <c r="C2850" s="84">
        <v>5</v>
      </c>
      <c r="D2850" s="84">
        <v>29</v>
      </c>
      <c r="E2850" s="85">
        <v>17180.7</v>
      </c>
      <c r="F2850" s="85">
        <v>29611.58</v>
      </c>
      <c r="G2850" s="85">
        <v>12430.88</v>
      </c>
    </row>
    <row r="2851" spans="1:7" x14ac:dyDescent="0.3">
      <c r="A2851" s="84">
        <v>2026</v>
      </c>
      <c r="B2851" s="84" t="s">
        <v>397</v>
      </c>
      <c r="C2851" s="84">
        <v>5</v>
      </c>
      <c r="D2851" s="84">
        <v>30</v>
      </c>
      <c r="E2851" s="85">
        <v>17180.7</v>
      </c>
      <c r="F2851" s="85">
        <v>31359.9</v>
      </c>
      <c r="G2851" s="85">
        <v>14179.2</v>
      </c>
    </row>
    <row r="2852" spans="1:7" x14ac:dyDescent="0.3">
      <c r="A2852" s="84">
        <v>2026</v>
      </c>
      <c r="B2852" s="84" t="s">
        <v>397</v>
      </c>
      <c r="C2852" s="84">
        <v>6</v>
      </c>
      <c r="D2852" s="84">
        <v>1</v>
      </c>
      <c r="E2852" s="85">
        <v>17377.400000000001</v>
      </c>
      <c r="F2852" s="85">
        <v>16002.46</v>
      </c>
      <c r="G2852" s="85">
        <v>-1374.94</v>
      </c>
    </row>
    <row r="2853" spans="1:7" x14ac:dyDescent="0.3">
      <c r="A2853" s="84">
        <v>2026</v>
      </c>
      <c r="B2853" s="84" t="s">
        <v>397</v>
      </c>
      <c r="C2853" s="84">
        <v>6</v>
      </c>
      <c r="D2853" s="84">
        <v>2</v>
      </c>
      <c r="E2853" s="85">
        <v>17377.400000000001</v>
      </c>
      <c r="F2853" s="85">
        <v>16296.88</v>
      </c>
      <c r="G2853" s="85">
        <v>-1080.52</v>
      </c>
    </row>
    <row r="2854" spans="1:7" x14ac:dyDescent="0.3">
      <c r="A2854" s="84">
        <v>2026</v>
      </c>
      <c r="B2854" s="84" t="s">
        <v>397</v>
      </c>
      <c r="C2854" s="84">
        <v>6</v>
      </c>
      <c r="D2854" s="84">
        <v>3</v>
      </c>
      <c r="E2854" s="85">
        <v>17377.400000000001</v>
      </c>
      <c r="F2854" s="85">
        <v>16591.86</v>
      </c>
      <c r="G2854" s="85">
        <v>-785.54</v>
      </c>
    </row>
    <row r="2855" spans="1:7" x14ac:dyDescent="0.3">
      <c r="A2855" s="84">
        <v>2026</v>
      </c>
      <c r="B2855" s="84" t="s">
        <v>397</v>
      </c>
      <c r="C2855" s="84">
        <v>6</v>
      </c>
      <c r="D2855" s="84">
        <v>4</v>
      </c>
      <c r="E2855" s="85">
        <v>17377.400000000001</v>
      </c>
      <c r="F2855" s="85">
        <v>16886</v>
      </c>
      <c r="G2855" s="85">
        <v>-491.4</v>
      </c>
    </row>
    <row r="2856" spans="1:7" x14ac:dyDescent="0.3">
      <c r="A2856" s="84">
        <v>2026</v>
      </c>
      <c r="B2856" s="84" t="s">
        <v>397</v>
      </c>
      <c r="C2856" s="84">
        <v>6</v>
      </c>
      <c r="D2856" s="84">
        <v>5</v>
      </c>
      <c r="E2856" s="85">
        <v>17377.400000000001</v>
      </c>
      <c r="F2856" s="85">
        <v>17180.7</v>
      </c>
      <c r="G2856" s="85">
        <v>-196.7</v>
      </c>
    </row>
    <row r="2857" spans="1:7" x14ac:dyDescent="0.3">
      <c r="A2857" s="84">
        <v>2026</v>
      </c>
      <c r="B2857" s="84" t="s">
        <v>397</v>
      </c>
      <c r="C2857" s="84">
        <v>6</v>
      </c>
      <c r="D2857" s="84">
        <v>6</v>
      </c>
      <c r="E2857" s="85">
        <v>17377.400000000001</v>
      </c>
      <c r="F2857" s="85">
        <v>17377.400000000001</v>
      </c>
      <c r="G2857" s="85">
        <v>0</v>
      </c>
    </row>
    <row r="2858" spans="1:7" x14ac:dyDescent="0.3">
      <c r="A2858" s="84">
        <v>2026</v>
      </c>
      <c r="B2858" s="84" t="s">
        <v>397</v>
      </c>
      <c r="C2858" s="84">
        <v>6</v>
      </c>
      <c r="D2858" s="84">
        <v>7</v>
      </c>
      <c r="E2858" s="85">
        <v>17377.400000000001</v>
      </c>
      <c r="F2858" s="85">
        <v>17574.099999999999</v>
      </c>
      <c r="G2858" s="85">
        <v>196.7</v>
      </c>
    </row>
    <row r="2859" spans="1:7" x14ac:dyDescent="0.3">
      <c r="A2859" s="84">
        <v>2026</v>
      </c>
      <c r="B2859" s="84" t="s">
        <v>397</v>
      </c>
      <c r="C2859" s="84">
        <v>6</v>
      </c>
      <c r="D2859" s="84">
        <v>8</v>
      </c>
      <c r="E2859" s="85">
        <v>17377.400000000001</v>
      </c>
      <c r="F2859" s="85">
        <v>17770.38</v>
      </c>
      <c r="G2859" s="85">
        <v>392.98</v>
      </c>
    </row>
    <row r="2860" spans="1:7" x14ac:dyDescent="0.3">
      <c r="A2860" s="84">
        <v>2026</v>
      </c>
      <c r="B2860" s="84" t="s">
        <v>397</v>
      </c>
      <c r="C2860" s="84">
        <v>6</v>
      </c>
      <c r="D2860" s="84">
        <v>9</v>
      </c>
      <c r="E2860" s="85">
        <v>17377.400000000001</v>
      </c>
      <c r="F2860" s="85">
        <v>17967.5</v>
      </c>
      <c r="G2860" s="85">
        <v>590.1</v>
      </c>
    </row>
    <row r="2861" spans="1:7" x14ac:dyDescent="0.3">
      <c r="A2861" s="84">
        <v>2026</v>
      </c>
      <c r="B2861" s="84" t="s">
        <v>397</v>
      </c>
      <c r="C2861" s="84">
        <v>6</v>
      </c>
      <c r="D2861" s="84">
        <v>10</v>
      </c>
      <c r="E2861" s="85">
        <v>17377.400000000001</v>
      </c>
      <c r="F2861" s="85">
        <v>18163.919999999998</v>
      </c>
      <c r="G2861" s="85">
        <v>786.52</v>
      </c>
    </row>
    <row r="2862" spans="1:7" x14ac:dyDescent="0.3">
      <c r="A2862" s="84">
        <v>2026</v>
      </c>
      <c r="B2862" s="84" t="s">
        <v>397</v>
      </c>
      <c r="C2862" s="84">
        <v>6</v>
      </c>
      <c r="D2862" s="84">
        <v>11</v>
      </c>
      <c r="E2862" s="85">
        <v>17377.400000000001</v>
      </c>
      <c r="F2862" s="85">
        <v>18556.48</v>
      </c>
      <c r="G2862" s="85">
        <v>1179.08</v>
      </c>
    </row>
    <row r="2863" spans="1:7" x14ac:dyDescent="0.3">
      <c r="A2863" s="84">
        <v>2026</v>
      </c>
      <c r="B2863" s="84" t="s">
        <v>397</v>
      </c>
      <c r="C2863" s="84">
        <v>6</v>
      </c>
      <c r="D2863" s="84">
        <v>12</v>
      </c>
      <c r="E2863" s="85">
        <v>17377.400000000001</v>
      </c>
      <c r="F2863" s="85">
        <v>18950.02</v>
      </c>
      <c r="G2863" s="85">
        <v>1572.62</v>
      </c>
    </row>
    <row r="2864" spans="1:7" x14ac:dyDescent="0.3">
      <c r="A2864" s="84">
        <v>2026</v>
      </c>
      <c r="B2864" s="84" t="s">
        <v>397</v>
      </c>
      <c r="C2864" s="84">
        <v>6</v>
      </c>
      <c r="D2864" s="84">
        <v>13</v>
      </c>
      <c r="E2864" s="85">
        <v>17377.400000000001</v>
      </c>
      <c r="F2864" s="85">
        <v>19343.28</v>
      </c>
      <c r="G2864" s="85">
        <v>1965.88</v>
      </c>
    </row>
    <row r="2865" spans="1:7" x14ac:dyDescent="0.3">
      <c r="A2865" s="84">
        <v>2026</v>
      </c>
      <c r="B2865" s="84" t="s">
        <v>397</v>
      </c>
      <c r="C2865" s="84">
        <v>6</v>
      </c>
      <c r="D2865" s="84">
        <v>14</v>
      </c>
      <c r="E2865" s="85">
        <v>17377.400000000001</v>
      </c>
      <c r="F2865" s="85">
        <v>19737.099999999999</v>
      </c>
      <c r="G2865" s="85">
        <v>2359.6999999999998</v>
      </c>
    </row>
    <row r="2866" spans="1:7" x14ac:dyDescent="0.3">
      <c r="A2866" s="84">
        <v>2026</v>
      </c>
      <c r="B2866" s="84" t="s">
        <v>397</v>
      </c>
      <c r="C2866" s="84">
        <v>6</v>
      </c>
      <c r="D2866" s="84">
        <v>15</v>
      </c>
      <c r="E2866" s="85">
        <v>17377.400000000001</v>
      </c>
      <c r="F2866" s="85">
        <v>20129.38</v>
      </c>
      <c r="G2866" s="85">
        <v>2751.98</v>
      </c>
    </row>
    <row r="2867" spans="1:7" x14ac:dyDescent="0.3">
      <c r="A2867" s="84">
        <v>2026</v>
      </c>
      <c r="B2867" s="84" t="s">
        <v>397</v>
      </c>
      <c r="C2867" s="84">
        <v>6</v>
      </c>
      <c r="D2867" s="84">
        <v>16</v>
      </c>
      <c r="E2867" s="85">
        <v>17377.400000000001</v>
      </c>
      <c r="F2867" s="85">
        <v>20523.34</v>
      </c>
      <c r="G2867" s="85">
        <v>3145.94</v>
      </c>
    </row>
    <row r="2868" spans="1:7" x14ac:dyDescent="0.3">
      <c r="A2868" s="84">
        <v>2026</v>
      </c>
      <c r="B2868" s="84" t="s">
        <v>397</v>
      </c>
      <c r="C2868" s="84">
        <v>6</v>
      </c>
      <c r="D2868" s="84">
        <v>17</v>
      </c>
      <c r="E2868" s="85">
        <v>17377.400000000001</v>
      </c>
      <c r="F2868" s="85">
        <v>20915.62</v>
      </c>
      <c r="G2868" s="85">
        <v>3538.22</v>
      </c>
    </row>
    <row r="2869" spans="1:7" x14ac:dyDescent="0.3">
      <c r="A2869" s="84">
        <v>2026</v>
      </c>
      <c r="B2869" s="84" t="s">
        <v>397</v>
      </c>
      <c r="C2869" s="84">
        <v>6</v>
      </c>
      <c r="D2869" s="84">
        <v>18</v>
      </c>
      <c r="E2869" s="85">
        <v>17377.400000000001</v>
      </c>
      <c r="F2869" s="85">
        <v>21309.16</v>
      </c>
      <c r="G2869" s="85">
        <v>3931.76</v>
      </c>
    </row>
    <row r="2870" spans="1:7" x14ac:dyDescent="0.3">
      <c r="A2870" s="84">
        <v>2026</v>
      </c>
      <c r="B2870" s="84" t="s">
        <v>397</v>
      </c>
      <c r="C2870" s="84">
        <v>6</v>
      </c>
      <c r="D2870" s="84">
        <v>19</v>
      </c>
      <c r="E2870" s="85">
        <v>17377.400000000001</v>
      </c>
      <c r="F2870" s="85">
        <v>21702.28</v>
      </c>
      <c r="G2870" s="85">
        <v>4324.88</v>
      </c>
    </row>
    <row r="2871" spans="1:7" x14ac:dyDescent="0.3">
      <c r="A2871" s="84">
        <v>2026</v>
      </c>
      <c r="B2871" s="84" t="s">
        <v>397</v>
      </c>
      <c r="C2871" s="84">
        <v>6</v>
      </c>
      <c r="D2871" s="84">
        <v>20</v>
      </c>
      <c r="E2871" s="85">
        <v>17377.400000000001</v>
      </c>
      <c r="F2871" s="85">
        <v>22095.26</v>
      </c>
      <c r="G2871" s="85">
        <v>4717.8599999999997</v>
      </c>
    </row>
    <row r="2872" spans="1:7" x14ac:dyDescent="0.3">
      <c r="A2872" s="84">
        <v>2026</v>
      </c>
      <c r="B2872" s="84" t="s">
        <v>397</v>
      </c>
      <c r="C2872" s="84">
        <v>6</v>
      </c>
      <c r="D2872" s="84">
        <v>21</v>
      </c>
      <c r="E2872" s="85">
        <v>17377.400000000001</v>
      </c>
      <c r="F2872" s="85">
        <v>22684.66</v>
      </c>
      <c r="G2872" s="85">
        <v>5307.26</v>
      </c>
    </row>
    <row r="2873" spans="1:7" x14ac:dyDescent="0.3">
      <c r="A2873" s="84">
        <v>2026</v>
      </c>
      <c r="B2873" s="84" t="s">
        <v>397</v>
      </c>
      <c r="C2873" s="84">
        <v>6</v>
      </c>
      <c r="D2873" s="84">
        <v>22</v>
      </c>
      <c r="E2873" s="85">
        <v>17377.400000000001</v>
      </c>
      <c r="F2873" s="85">
        <v>23323.34</v>
      </c>
      <c r="G2873" s="85">
        <v>5945.94</v>
      </c>
    </row>
    <row r="2874" spans="1:7" x14ac:dyDescent="0.3">
      <c r="A2874" s="84">
        <v>2026</v>
      </c>
      <c r="B2874" s="84" t="s">
        <v>397</v>
      </c>
      <c r="C2874" s="84">
        <v>6</v>
      </c>
      <c r="D2874" s="84">
        <v>23</v>
      </c>
      <c r="E2874" s="85">
        <v>17377.400000000001</v>
      </c>
      <c r="F2874" s="85">
        <v>23963.84</v>
      </c>
      <c r="G2874" s="85">
        <v>6586.44</v>
      </c>
    </row>
    <row r="2875" spans="1:7" x14ac:dyDescent="0.3">
      <c r="A2875" s="84">
        <v>2026</v>
      </c>
      <c r="B2875" s="84" t="s">
        <v>397</v>
      </c>
      <c r="C2875" s="84">
        <v>6</v>
      </c>
      <c r="D2875" s="84">
        <v>24</v>
      </c>
      <c r="E2875" s="85">
        <v>17377.400000000001</v>
      </c>
      <c r="F2875" s="85">
        <v>24603.08</v>
      </c>
      <c r="G2875" s="85">
        <v>7225.68</v>
      </c>
    </row>
    <row r="2876" spans="1:7" x14ac:dyDescent="0.3">
      <c r="A2876" s="84">
        <v>2026</v>
      </c>
      <c r="B2876" s="84" t="s">
        <v>397</v>
      </c>
      <c r="C2876" s="84">
        <v>6</v>
      </c>
      <c r="D2876" s="84">
        <v>25</v>
      </c>
      <c r="E2876" s="85">
        <v>17377.400000000001</v>
      </c>
      <c r="F2876" s="85">
        <v>25243.16</v>
      </c>
      <c r="G2876" s="85">
        <v>7865.76</v>
      </c>
    </row>
    <row r="2877" spans="1:7" x14ac:dyDescent="0.3">
      <c r="A2877" s="84">
        <v>2026</v>
      </c>
      <c r="B2877" s="84" t="s">
        <v>397</v>
      </c>
      <c r="C2877" s="84">
        <v>6</v>
      </c>
      <c r="D2877" s="84">
        <v>26</v>
      </c>
      <c r="E2877" s="85">
        <v>17377.400000000001</v>
      </c>
      <c r="F2877" s="85">
        <v>26622.44</v>
      </c>
      <c r="G2877" s="85">
        <v>9245.0400000000009</v>
      </c>
    </row>
    <row r="2878" spans="1:7" x14ac:dyDescent="0.3">
      <c r="A2878" s="84">
        <v>2026</v>
      </c>
      <c r="B2878" s="84" t="s">
        <v>397</v>
      </c>
      <c r="C2878" s="84">
        <v>6</v>
      </c>
      <c r="D2878" s="84">
        <v>27</v>
      </c>
      <c r="E2878" s="85">
        <v>17377.400000000001</v>
      </c>
      <c r="F2878" s="85">
        <v>28331.7</v>
      </c>
      <c r="G2878" s="85">
        <v>10954.3</v>
      </c>
    </row>
    <row r="2879" spans="1:7" x14ac:dyDescent="0.3">
      <c r="A2879" s="84">
        <v>2026</v>
      </c>
      <c r="B2879" s="84" t="s">
        <v>397</v>
      </c>
      <c r="C2879" s="84">
        <v>6</v>
      </c>
      <c r="D2879" s="84">
        <v>28</v>
      </c>
      <c r="E2879" s="85">
        <v>17377.400000000001</v>
      </c>
      <c r="F2879" s="85">
        <v>28972.2</v>
      </c>
      <c r="G2879" s="85">
        <v>11594.8</v>
      </c>
    </row>
    <row r="2880" spans="1:7" x14ac:dyDescent="0.3">
      <c r="A2880" s="84">
        <v>2026</v>
      </c>
      <c r="B2880" s="84" t="s">
        <v>397</v>
      </c>
      <c r="C2880" s="84">
        <v>6</v>
      </c>
      <c r="D2880" s="84">
        <v>29</v>
      </c>
      <c r="E2880" s="85">
        <v>17377.400000000001</v>
      </c>
      <c r="F2880" s="85">
        <v>29611.58</v>
      </c>
      <c r="G2880" s="85">
        <v>12234.18</v>
      </c>
    </row>
    <row r="2881" spans="1:7" x14ac:dyDescent="0.3">
      <c r="A2881" s="84">
        <v>2026</v>
      </c>
      <c r="B2881" s="84" t="s">
        <v>397</v>
      </c>
      <c r="C2881" s="84">
        <v>6</v>
      </c>
      <c r="D2881" s="84">
        <v>30</v>
      </c>
      <c r="E2881" s="85">
        <v>17377.400000000001</v>
      </c>
      <c r="F2881" s="85">
        <v>31359.9</v>
      </c>
      <c r="G2881" s="85">
        <v>13982.5</v>
      </c>
    </row>
    <row r="2882" spans="1:7" x14ac:dyDescent="0.3">
      <c r="A2882" s="84">
        <v>2026</v>
      </c>
      <c r="B2882" s="84" t="s">
        <v>397</v>
      </c>
      <c r="C2882" s="84">
        <v>7</v>
      </c>
      <c r="D2882" s="84">
        <v>1</v>
      </c>
      <c r="E2882" s="85">
        <v>17574.099999999999</v>
      </c>
      <c r="F2882" s="85">
        <v>16002.46</v>
      </c>
      <c r="G2882" s="85">
        <v>-1571.64</v>
      </c>
    </row>
    <row r="2883" spans="1:7" x14ac:dyDescent="0.3">
      <c r="A2883" s="84">
        <v>2026</v>
      </c>
      <c r="B2883" s="84" t="s">
        <v>397</v>
      </c>
      <c r="C2883" s="84">
        <v>7</v>
      </c>
      <c r="D2883" s="84">
        <v>2</v>
      </c>
      <c r="E2883" s="85">
        <v>17574.099999999999</v>
      </c>
      <c r="F2883" s="85">
        <v>16296.88</v>
      </c>
      <c r="G2883" s="85">
        <v>-1277.22</v>
      </c>
    </row>
    <row r="2884" spans="1:7" x14ac:dyDescent="0.3">
      <c r="A2884" s="84">
        <v>2026</v>
      </c>
      <c r="B2884" s="84" t="s">
        <v>397</v>
      </c>
      <c r="C2884" s="84">
        <v>7</v>
      </c>
      <c r="D2884" s="84">
        <v>3</v>
      </c>
      <c r="E2884" s="85">
        <v>17574.099999999999</v>
      </c>
      <c r="F2884" s="85">
        <v>16591.86</v>
      </c>
      <c r="G2884" s="85">
        <v>-982.24</v>
      </c>
    </row>
    <row r="2885" spans="1:7" x14ac:dyDescent="0.3">
      <c r="A2885" s="84">
        <v>2026</v>
      </c>
      <c r="B2885" s="84" t="s">
        <v>397</v>
      </c>
      <c r="C2885" s="84">
        <v>7</v>
      </c>
      <c r="D2885" s="84">
        <v>4</v>
      </c>
      <c r="E2885" s="85">
        <v>17574.099999999999</v>
      </c>
      <c r="F2885" s="85">
        <v>16886</v>
      </c>
      <c r="G2885" s="85">
        <v>-688.1</v>
      </c>
    </row>
    <row r="2886" spans="1:7" x14ac:dyDescent="0.3">
      <c r="A2886" s="84">
        <v>2026</v>
      </c>
      <c r="B2886" s="84" t="s">
        <v>397</v>
      </c>
      <c r="C2886" s="84">
        <v>7</v>
      </c>
      <c r="D2886" s="84">
        <v>5</v>
      </c>
      <c r="E2886" s="85">
        <v>17574.099999999999</v>
      </c>
      <c r="F2886" s="85">
        <v>17180.7</v>
      </c>
      <c r="G2886" s="85">
        <v>-393.4</v>
      </c>
    </row>
    <row r="2887" spans="1:7" x14ac:dyDescent="0.3">
      <c r="A2887" s="84">
        <v>2026</v>
      </c>
      <c r="B2887" s="84" t="s">
        <v>397</v>
      </c>
      <c r="C2887" s="84">
        <v>7</v>
      </c>
      <c r="D2887" s="84">
        <v>6</v>
      </c>
      <c r="E2887" s="85">
        <v>17574.099999999999</v>
      </c>
      <c r="F2887" s="85">
        <v>17377.400000000001</v>
      </c>
      <c r="G2887" s="85">
        <v>-196.7</v>
      </c>
    </row>
    <row r="2888" spans="1:7" x14ac:dyDescent="0.3">
      <c r="A2888" s="84">
        <v>2026</v>
      </c>
      <c r="B2888" s="84" t="s">
        <v>397</v>
      </c>
      <c r="C2888" s="84">
        <v>7</v>
      </c>
      <c r="D2888" s="84">
        <v>7</v>
      </c>
      <c r="E2888" s="85">
        <v>17574.099999999999</v>
      </c>
      <c r="F2888" s="85">
        <v>17574.099999999999</v>
      </c>
      <c r="G2888" s="85">
        <v>0</v>
      </c>
    </row>
    <row r="2889" spans="1:7" x14ac:dyDescent="0.3">
      <c r="A2889" s="84">
        <v>2026</v>
      </c>
      <c r="B2889" s="84" t="s">
        <v>397</v>
      </c>
      <c r="C2889" s="84">
        <v>7</v>
      </c>
      <c r="D2889" s="84">
        <v>8</v>
      </c>
      <c r="E2889" s="85">
        <v>17574.099999999999</v>
      </c>
      <c r="F2889" s="85">
        <v>17770.38</v>
      </c>
      <c r="G2889" s="85">
        <v>196.28</v>
      </c>
    </row>
    <row r="2890" spans="1:7" x14ac:dyDescent="0.3">
      <c r="A2890" s="84">
        <v>2026</v>
      </c>
      <c r="B2890" s="84" t="s">
        <v>397</v>
      </c>
      <c r="C2890" s="84">
        <v>7</v>
      </c>
      <c r="D2890" s="84">
        <v>9</v>
      </c>
      <c r="E2890" s="85">
        <v>17574.099999999999</v>
      </c>
      <c r="F2890" s="85">
        <v>17967.5</v>
      </c>
      <c r="G2890" s="85">
        <v>393.4</v>
      </c>
    </row>
    <row r="2891" spans="1:7" x14ac:dyDescent="0.3">
      <c r="A2891" s="84">
        <v>2026</v>
      </c>
      <c r="B2891" s="84" t="s">
        <v>397</v>
      </c>
      <c r="C2891" s="84">
        <v>7</v>
      </c>
      <c r="D2891" s="84">
        <v>10</v>
      </c>
      <c r="E2891" s="85">
        <v>17574.099999999999</v>
      </c>
      <c r="F2891" s="85">
        <v>18163.919999999998</v>
      </c>
      <c r="G2891" s="85">
        <v>589.82000000000005</v>
      </c>
    </row>
    <row r="2892" spans="1:7" x14ac:dyDescent="0.3">
      <c r="A2892" s="84">
        <v>2026</v>
      </c>
      <c r="B2892" s="84" t="s">
        <v>397</v>
      </c>
      <c r="C2892" s="84">
        <v>7</v>
      </c>
      <c r="D2892" s="84">
        <v>11</v>
      </c>
      <c r="E2892" s="85">
        <v>17574.099999999999</v>
      </c>
      <c r="F2892" s="85">
        <v>18556.48</v>
      </c>
      <c r="G2892" s="85">
        <v>982.38</v>
      </c>
    </row>
    <row r="2893" spans="1:7" x14ac:dyDescent="0.3">
      <c r="A2893" s="84">
        <v>2026</v>
      </c>
      <c r="B2893" s="84" t="s">
        <v>397</v>
      </c>
      <c r="C2893" s="84">
        <v>7</v>
      </c>
      <c r="D2893" s="84">
        <v>12</v>
      </c>
      <c r="E2893" s="85">
        <v>17574.099999999999</v>
      </c>
      <c r="F2893" s="85">
        <v>18950.02</v>
      </c>
      <c r="G2893" s="85">
        <v>1375.92</v>
      </c>
    </row>
    <row r="2894" spans="1:7" x14ac:dyDescent="0.3">
      <c r="A2894" s="84">
        <v>2026</v>
      </c>
      <c r="B2894" s="84" t="s">
        <v>397</v>
      </c>
      <c r="C2894" s="84">
        <v>7</v>
      </c>
      <c r="D2894" s="84">
        <v>13</v>
      </c>
      <c r="E2894" s="85">
        <v>17574.099999999999</v>
      </c>
      <c r="F2894" s="85">
        <v>19343.28</v>
      </c>
      <c r="G2894" s="85">
        <v>1769.18</v>
      </c>
    </row>
    <row r="2895" spans="1:7" x14ac:dyDescent="0.3">
      <c r="A2895" s="84">
        <v>2026</v>
      </c>
      <c r="B2895" s="84" t="s">
        <v>397</v>
      </c>
      <c r="C2895" s="84">
        <v>7</v>
      </c>
      <c r="D2895" s="84">
        <v>14</v>
      </c>
      <c r="E2895" s="85">
        <v>17574.099999999999</v>
      </c>
      <c r="F2895" s="85">
        <v>19737.099999999999</v>
      </c>
      <c r="G2895" s="85">
        <v>2163</v>
      </c>
    </row>
    <row r="2896" spans="1:7" x14ac:dyDescent="0.3">
      <c r="A2896" s="84">
        <v>2026</v>
      </c>
      <c r="B2896" s="84" t="s">
        <v>397</v>
      </c>
      <c r="C2896" s="84">
        <v>7</v>
      </c>
      <c r="D2896" s="84">
        <v>15</v>
      </c>
      <c r="E2896" s="85">
        <v>17574.099999999999</v>
      </c>
      <c r="F2896" s="85">
        <v>20129.38</v>
      </c>
      <c r="G2896" s="85">
        <v>2555.2800000000002</v>
      </c>
    </row>
    <row r="2897" spans="1:7" x14ac:dyDescent="0.3">
      <c r="A2897" s="84">
        <v>2026</v>
      </c>
      <c r="B2897" s="84" t="s">
        <v>397</v>
      </c>
      <c r="C2897" s="84">
        <v>7</v>
      </c>
      <c r="D2897" s="84">
        <v>16</v>
      </c>
      <c r="E2897" s="85">
        <v>17574.099999999999</v>
      </c>
      <c r="F2897" s="85">
        <v>20523.34</v>
      </c>
      <c r="G2897" s="85">
        <v>2949.24</v>
      </c>
    </row>
    <row r="2898" spans="1:7" x14ac:dyDescent="0.3">
      <c r="A2898" s="84">
        <v>2026</v>
      </c>
      <c r="B2898" s="84" t="s">
        <v>397</v>
      </c>
      <c r="C2898" s="84">
        <v>7</v>
      </c>
      <c r="D2898" s="84">
        <v>17</v>
      </c>
      <c r="E2898" s="85">
        <v>17574.099999999999</v>
      </c>
      <c r="F2898" s="85">
        <v>20915.62</v>
      </c>
      <c r="G2898" s="85">
        <v>3341.52</v>
      </c>
    </row>
    <row r="2899" spans="1:7" x14ac:dyDescent="0.3">
      <c r="A2899" s="84">
        <v>2026</v>
      </c>
      <c r="B2899" s="84" t="s">
        <v>397</v>
      </c>
      <c r="C2899" s="84">
        <v>7</v>
      </c>
      <c r="D2899" s="84">
        <v>18</v>
      </c>
      <c r="E2899" s="85">
        <v>17574.099999999999</v>
      </c>
      <c r="F2899" s="85">
        <v>21309.16</v>
      </c>
      <c r="G2899" s="85">
        <v>3735.06</v>
      </c>
    </row>
    <row r="2900" spans="1:7" x14ac:dyDescent="0.3">
      <c r="A2900" s="84">
        <v>2026</v>
      </c>
      <c r="B2900" s="84" t="s">
        <v>397</v>
      </c>
      <c r="C2900" s="84">
        <v>7</v>
      </c>
      <c r="D2900" s="84">
        <v>19</v>
      </c>
      <c r="E2900" s="85">
        <v>17574.099999999999</v>
      </c>
      <c r="F2900" s="85">
        <v>21702.28</v>
      </c>
      <c r="G2900" s="85">
        <v>4128.18</v>
      </c>
    </row>
    <row r="2901" spans="1:7" x14ac:dyDescent="0.3">
      <c r="A2901" s="84">
        <v>2026</v>
      </c>
      <c r="B2901" s="84" t="s">
        <v>397</v>
      </c>
      <c r="C2901" s="84">
        <v>7</v>
      </c>
      <c r="D2901" s="84">
        <v>20</v>
      </c>
      <c r="E2901" s="85">
        <v>17574.099999999999</v>
      </c>
      <c r="F2901" s="85">
        <v>22095.26</v>
      </c>
      <c r="G2901" s="85">
        <v>4521.16</v>
      </c>
    </row>
    <row r="2902" spans="1:7" x14ac:dyDescent="0.3">
      <c r="A2902" s="84">
        <v>2026</v>
      </c>
      <c r="B2902" s="84" t="s">
        <v>397</v>
      </c>
      <c r="C2902" s="84">
        <v>7</v>
      </c>
      <c r="D2902" s="84">
        <v>21</v>
      </c>
      <c r="E2902" s="85">
        <v>17574.099999999999</v>
      </c>
      <c r="F2902" s="85">
        <v>22684.66</v>
      </c>
      <c r="G2902" s="85">
        <v>5110.5600000000004</v>
      </c>
    </row>
    <row r="2903" spans="1:7" x14ac:dyDescent="0.3">
      <c r="A2903" s="84">
        <v>2026</v>
      </c>
      <c r="B2903" s="84" t="s">
        <v>397</v>
      </c>
      <c r="C2903" s="84">
        <v>7</v>
      </c>
      <c r="D2903" s="84">
        <v>22</v>
      </c>
      <c r="E2903" s="85">
        <v>17574.099999999999</v>
      </c>
      <c r="F2903" s="85">
        <v>23323.34</v>
      </c>
      <c r="G2903" s="85">
        <v>5749.24</v>
      </c>
    </row>
    <row r="2904" spans="1:7" x14ac:dyDescent="0.3">
      <c r="A2904" s="84">
        <v>2026</v>
      </c>
      <c r="B2904" s="84" t="s">
        <v>397</v>
      </c>
      <c r="C2904" s="84">
        <v>7</v>
      </c>
      <c r="D2904" s="84">
        <v>23</v>
      </c>
      <c r="E2904" s="85">
        <v>17574.099999999999</v>
      </c>
      <c r="F2904" s="85">
        <v>23963.84</v>
      </c>
      <c r="G2904" s="85">
        <v>6389.74</v>
      </c>
    </row>
    <row r="2905" spans="1:7" x14ac:dyDescent="0.3">
      <c r="A2905" s="84">
        <v>2026</v>
      </c>
      <c r="B2905" s="84" t="s">
        <v>397</v>
      </c>
      <c r="C2905" s="84">
        <v>7</v>
      </c>
      <c r="D2905" s="84">
        <v>24</v>
      </c>
      <c r="E2905" s="85">
        <v>17574.099999999999</v>
      </c>
      <c r="F2905" s="85">
        <v>24603.08</v>
      </c>
      <c r="G2905" s="85">
        <v>7028.98</v>
      </c>
    </row>
    <row r="2906" spans="1:7" x14ac:dyDescent="0.3">
      <c r="A2906" s="84">
        <v>2026</v>
      </c>
      <c r="B2906" s="84" t="s">
        <v>397</v>
      </c>
      <c r="C2906" s="84">
        <v>7</v>
      </c>
      <c r="D2906" s="84">
        <v>25</v>
      </c>
      <c r="E2906" s="85">
        <v>17574.099999999999</v>
      </c>
      <c r="F2906" s="85">
        <v>25243.16</v>
      </c>
      <c r="G2906" s="85">
        <v>7669.06</v>
      </c>
    </row>
    <row r="2907" spans="1:7" x14ac:dyDescent="0.3">
      <c r="A2907" s="84">
        <v>2026</v>
      </c>
      <c r="B2907" s="84" t="s">
        <v>397</v>
      </c>
      <c r="C2907" s="84">
        <v>7</v>
      </c>
      <c r="D2907" s="84">
        <v>26</v>
      </c>
      <c r="E2907" s="85">
        <v>17574.099999999999</v>
      </c>
      <c r="F2907" s="85">
        <v>26622.44</v>
      </c>
      <c r="G2907" s="85">
        <v>9048.34</v>
      </c>
    </row>
    <row r="2908" spans="1:7" x14ac:dyDescent="0.3">
      <c r="A2908" s="84">
        <v>2026</v>
      </c>
      <c r="B2908" s="84" t="s">
        <v>397</v>
      </c>
      <c r="C2908" s="84">
        <v>7</v>
      </c>
      <c r="D2908" s="84">
        <v>27</v>
      </c>
      <c r="E2908" s="85">
        <v>17574.099999999999</v>
      </c>
      <c r="F2908" s="85">
        <v>28331.7</v>
      </c>
      <c r="G2908" s="85">
        <v>10757.6</v>
      </c>
    </row>
    <row r="2909" spans="1:7" x14ac:dyDescent="0.3">
      <c r="A2909" s="84">
        <v>2026</v>
      </c>
      <c r="B2909" s="84" t="s">
        <v>397</v>
      </c>
      <c r="C2909" s="84">
        <v>7</v>
      </c>
      <c r="D2909" s="84">
        <v>28</v>
      </c>
      <c r="E2909" s="85">
        <v>17574.099999999999</v>
      </c>
      <c r="F2909" s="85">
        <v>28972.2</v>
      </c>
      <c r="G2909" s="85">
        <v>11398.1</v>
      </c>
    </row>
    <row r="2910" spans="1:7" x14ac:dyDescent="0.3">
      <c r="A2910" s="84">
        <v>2026</v>
      </c>
      <c r="B2910" s="84" t="s">
        <v>397</v>
      </c>
      <c r="C2910" s="84">
        <v>7</v>
      </c>
      <c r="D2910" s="84">
        <v>29</v>
      </c>
      <c r="E2910" s="85">
        <v>17574.099999999999</v>
      </c>
      <c r="F2910" s="85">
        <v>29611.58</v>
      </c>
      <c r="G2910" s="85">
        <v>12037.48</v>
      </c>
    </row>
    <row r="2911" spans="1:7" x14ac:dyDescent="0.3">
      <c r="A2911" s="84">
        <v>2026</v>
      </c>
      <c r="B2911" s="84" t="s">
        <v>397</v>
      </c>
      <c r="C2911" s="84">
        <v>7</v>
      </c>
      <c r="D2911" s="84">
        <v>30</v>
      </c>
      <c r="E2911" s="85">
        <v>17574.099999999999</v>
      </c>
      <c r="F2911" s="85">
        <v>31359.9</v>
      </c>
      <c r="G2911" s="85">
        <v>13785.8</v>
      </c>
    </row>
    <row r="2912" spans="1:7" x14ac:dyDescent="0.3">
      <c r="A2912" s="84">
        <v>2026</v>
      </c>
      <c r="B2912" s="84" t="s">
        <v>397</v>
      </c>
      <c r="C2912" s="84">
        <v>8</v>
      </c>
      <c r="D2912" s="84">
        <v>1</v>
      </c>
      <c r="E2912" s="85">
        <v>17770.38</v>
      </c>
      <c r="F2912" s="85">
        <v>16002.46</v>
      </c>
      <c r="G2912" s="85">
        <v>-1767.92</v>
      </c>
    </row>
    <row r="2913" spans="1:7" x14ac:dyDescent="0.3">
      <c r="A2913" s="84">
        <v>2026</v>
      </c>
      <c r="B2913" s="84" t="s">
        <v>397</v>
      </c>
      <c r="C2913" s="84">
        <v>8</v>
      </c>
      <c r="D2913" s="84">
        <v>2</v>
      </c>
      <c r="E2913" s="85">
        <v>17770.38</v>
      </c>
      <c r="F2913" s="85">
        <v>16296.88</v>
      </c>
      <c r="G2913" s="85">
        <v>-1473.5</v>
      </c>
    </row>
    <row r="2914" spans="1:7" x14ac:dyDescent="0.3">
      <c r="A2914" s="84">
        <v>2026</v>
      </c>
      <c r="B2914" s="84" t="s">
        <v>397</v>
      </c>
      <c r="C2914" s="84">
        <v>8</v>
      </c>
      <c r="D2914" s="84">
        <v>3</v>
      </c>
      <c r="E2914" s="85">
        <v>17770.38</v>
      </c>
      <c r="F2914" s="85">
        <v>16591.86</v>
      </c>
      <c r="G2914" s="85">
        <v>-1178.52</v>
      </c>
    </row>
    <row r="2915" spans="1:7" x14ac:dyDescent="0.3">
      <c r="A2915" s="84">
        <v>2026</v>
      </c>
      <c r="B2915" s="84" t="s">
        <v>397</v>
      </c>
      <c r="C2915" s="84">
        <v>8</v>
      </c>
      <c r="D2915" s="84">
        <v>4</v>
      </c>
      <c r="E2915" s="85">
        <v>17770.38</v>
      </c>
      <c r="F2915" s="85">
        <v>16886</v>
      </c>
      <c r="G2915" s="85">
        <v>-884.38</v>
      </c>
    </row>
    <row r="2916" spans="1:7" x14ac:dyDescent="0.3">
      <c r="A2916" s="84">
        <v>2026</v>
      </c>
      <c r="B2916" s="84" t="s">
        <v>397</v>
      </c>
      <c r="C2916" s="84">
        <v>8</v>
      </c>
      <c r="D2916" s="84">
        <v>5</v>
      </c>
      <c r="E2916" s="85">
        <v>17770.38</v>
      </c>
      <c r="F2916" s="85">
        <v>17180.7</v>
      </c>
      <c r="G2916" s="85">
        <v>-589.67999999999995</v>
      </c>
    </row>
    <row r="2917" spans="1:7" x14ac:dyDescent="0.3">
      <c r="A2917" s="84">
        <v>2026</v>
      </c>
      <c r="B2917" s="84" t="s">
        <v>397</v>
      </c>
      <c r="C2917" s="84">
        <v>8</v>
      </c>
      <c r="D2917" s="84">
        <v>6</v>
      </c>
      <c r="E2917" s="85">
        <v>17770.38</v>
      </c>
      <c r="F2917" s="85">
        <v>17377.400000000001</v>
      </c>
      <c r="G2917" s="85">
        <v>-392.98</v>
      </c>
    </row>
    <row r="2918" spans="1:7" x14ac:dyDescent="0.3">
      <c r="A2918" s="84">
        <v>2026</v>
      </c>
      <c r="B2918" s="84" t="s">
        <v>397</v>
      </c>
      <c r="C2918" s="84">
        <v>8</v>
      </c>
      <c r="D2918" s="84">
        <v>7</v>
      </c>
      <c r="E2918" s="85">
        <v>17770.38</v>
      </c>
      <c r="F2918" s="85">
        <v>17574.099999999999</v>
      </c>
      <c r="G2918" s="85">
        <v>-196.28</v>
      </c>
    </row>
    <row r="2919" spans="1:7" x14ac:dyDescent="0.3">
      <c r="A2919" s="84">
        <v>2026</v>
      </c>
      <c r="B2919" s="84" t="s">
        <v>397</v>
      </c>
      <c r="C2919" s="84">
        <v>8</v>
      </c>
      <c r="D2919" s="84">
        <v>8</v>
      </c>
      <c r="E2919" s="85">
        <v>17770.38</v>
      </c>
      <c r="F2919" s="85">
        <v>17770.38</v>
      </c>
      <c r="G2919" s="85">
        <v>0</v>
      </c>
    </row>
    <row r="2920" spans="1:7" x14ac:dyDescent="0.3">
      <c r="A2920" s="84">
        <v>2026</v>
      </c>
      <c r="B2920" s="84" t="s">
        <v>397</v>
      </c>
      <c r="C2920" s="84">
        <v>8</v>
      </c>
      <c r="D2920" s="84">
        <v>9</v>
      </c>
      <c r="E2920" s="85">
        <v>17770.38</v>
      </c>
      <c r="F2920" s="85">
        <v>17967.5</v>
      </c>
      <c r="G2920" s="85">
        <v>197.12</v>
      </c>
    </row>
    <row r="2921" spans="1:7" x14ac:dyDescent="0.3">
      <c r="A2921" s="84">
        <v>2026</v>
      </c>
      <c r="B2921" s="84" t="s">
        <v>397</v>
      </c>
      <c r="C2921" s="84">
        <v>8</v>
      </c>
      <c r="D2921" s="84">
        <v>10</v>
      </c>
      <c r="E2921" s="85">
        <v>17770.38</v>
      </c>
      <c r="F2921" s="85">
        <v>18163.919999999998</v>
      </c>
      <c r="G2921" s="85">
        <v>393.54</v>
      </c>
    </row>
    <row r="2922" spans="1:7" x14ac:dyDescent="0.3">
      <c r="A2922" s="84">
        <v>2026</v>
      </c>
      <c r="B2922" s="84" t="s">
        <v>397</v>
      </c>
      <c r="C2922" s="84">
        <v>8</v>
      </c>
      <c r="D2922" s="84">
        <v>11</v>
      </c>
      <c r="E2922" s="85">
        <v>17770.38</v>
      </c>
      <c r="F2922" s="85">
        <v>18556.48</v>
      </c>
      <c r="G2922" s="85">
        <v>786.1</v>
      </c>
    </row>
    <row r="2923" spans="1:7" x14ac:dyDescent="0.3">
      <c r="A2923" s="84">
        <v>2026</v>
      </c>
      <c r="B2923" s="84" t="s">
        <v>397</v>
      </c>
      <c r="C2923" s="84">
        <v>8</v>
      </c>
      <c r="D2923" s="84">
        <v>12</v>
      </c>
      <c r="E2923" s="85">
        <v>17770.38</v>
      </c>
      <c r="F2923" s="85">
        <v>18950.02</v>
      </c>
      <c r="G2923" s="85">
        <v>1179.6400000000001</v>
      </c>
    </row>
    <row r="2924" spans="1:7" x14ac:dyDescent="0.3">
      <c r="A2924" s="84">
        <v>2026</v>
      </c>
      <c r="B2924" s="84" t="s">
        <v>397</v>
      </c>
      <c r="C2924" s="84">
        <v>8</v>
      </c>
      <c r="D2924" s="84">
        <v>13</v>
      </c>
      <c r="E2924" s="85">
        <v>17770.38</v>
      </c>
      <c r="F2924" s="85">
        <v>19343.28</v>
      </c>
      <c r="G2924" s="85">
        <v>1572.9</v>
      </c>
    </row>
    <row r="2925" spans="1:7" x14ac:dyDescent="0.3">
      <c r="A2925" s="84">
        <v>2026</v>
      </c>
      <c r="B2925" s="84" t="s">
        <v>397</v>
      </c>
      <c r="C2925" s="84">
        <v>8</v>
      </c>
      <c r="D2925" s="84">
        <v>14</v>
      </c>
      <c r="E2925" s="85">
        <v>17770.38</v>
      </c>
      <c r="F2925" s="85">
        <v>19737.099999999999</v>
      </c>
      <c r="G2925" s="85">
        <v>1966.72</v>
      </c>
    </row>
    <row r="2926" spans="1:7" x14ac:dyDescent="0.3">
      <c r="A2926" s="84">
        <v>2026</v>
      </c>
      <c r="B2926" s="84" t="s">
        <v>397</v>
      </c>
      <c r="C2926" s="84">
        <v>8</v>
      </c>
      <c r="D2926" s="84">
        <v>15</v>
      </c>
      <c r="E2926" s="85">
        <v>17770.38</v>
      </c>
      <c r="F2926" s="85">
        <v>20129.38</v>
      </c>
      <c r="G2926" s="85">
        <v>2359</v>
      </c>
    </row>
    <row r="2927" spans="1:7" x14ac:dyDescent="0.3">
      <c r="A2927" s="84">
        <v>2026</v>
      </c>
      <c r="B2927" s="84" t="s">
        <v>397</v>
      </c>
      <c r="C2927" s="84">
        <v>8</v>
      </c>
      <c r="D2927" s="84">
        <v>16</v>
      </c>
      <c r="E2927" s="85">
        <v>17770.38</v>
      </c>
      <c r="F2927" s="85">
        <v>20523.34</v>
      </c>
      <c r="G2927" s="85">
        <v>2752.96</v>
      </c>
    </row>
    <row r="2928" spans="1:7" x14ac:dyDescent="0.3">
      <c r="A2928" s="84">
        <v>2026</v>
      </c>
      <c r="B2928" s="84" t="s">
        <v>397</v>
      </c>
      <c r="C2928" s="84">
        <v>8</v>
      </c>
      <c r="D2928" s="84">
        <v>17</v>
      </c>
      <c r="E2928" s="85">
        <v>17770.38</v>
      </c>
      <c r="F2928" s="85">
        <v>20915.62</v>
      </c>
      <c r="G2928" s="85">
        <v>3145.24</v>
      </c>
    </row>
    <row r="2929" spans="1:7" x14ac:dyDescent="0.3">
      <c r="A2929" s="84">
        <v>2026</v>
      </c>
      <c r="B2929" s="84" t="s">
        <v>397</v>
      </c>
      <c r="C2929" s="84">
        <v>8</v>
      </c>
      <c r="D2929" s="84">
        <v>18</v>
      </c>
      <c r="E2929" s="85">
        <v>17770.38</v>
      </c>
      <c r="F2929" s="85">
        <v>21309.16</v>
      </c>
      <c r="G2929" s="85">
        <v>3538.78</v>
      </c>
    </row>
    <row r="2930" spans="1:7" x14ac:dyDescent="0.3">
      <c r="A2930" s="84">
        <v>2026</v>
      </c>
      <c r="B2930" s="84" t="s">
        <v>397</v>
      </c>
      <c r="C2930" s="84">
        <v>8</v>
      </c>
      <c r="D2930" s="84">
        <v>19</v>
      </c>
      <c r="E2930" s="85">
        <v>17770.38</v>
      </c>
      <c r="F2930" s="85">
        <v>21702.28</v>
      </c>
      <c r="G2930" s="85">
        <v>3931.9</v>
      </c>
    </row>
    <row r="2931" spans="1:7" x14ac:dyDescent="0.3">
      <c r="A2931" s="84">
        <v>2026</v>
      </c>
      <c r="B2931" s="84" t="s">
        <v>397</v>
      </c>
      <c r="C2931" s="84">
        <v>8</v>
      </c>
      <c r="D2931" s="84">
        <v>20</v>
      </c>
      <c r="E2931" s="85">
        <v>17770.38</v>
      </c>
      <c r="F2931" s="85">
        <v>22095.26</v>
      </c>
      <c r="G2931" s="85">
        <v>4324.88</v>
      </c>
    </row>
    <row r="2932" spans="1:7" x14ac:dyDescent="0.3">
      <c r="A2932" s="84">
        <v>2026</v>
      </c>
      <c r="B2932" s="84" t="s">
        <v>397</v>
      </c>
      <c r="C2932" s="84">
        <v>8</v>
      </c>
      <c r="D2932" s="84">
        <v>21</v>
      </c>
      <c r="E2932" s="85">
        <v>17770.38</v>
      </c>
      <c r="F2932" s="85">
        <v>22684.66</v>
      </c>
      <c r="G2932" s="85">
        <v>4914.28</v>
      </c>
    </row>
    <row r="2933" spans="1:7" x14ac:dyDescent="0.3">
      <c r="A2933" s="84">
        <v>2026</v>
      </c>
      <c r="B2933" s="84" t="s">
        <v>397</v>
      </c>
      <c r="C2933" s="84">
        <v>8</v>
      </c>
      <c r="D2933" s="84">
        <v>22</v>
      </c>
      <c r="E2933" s="85">
        <v>17770.38</v>
      </c>
      <c r="F2933" s="85">
        <v>23323.34</v>
      </c>
      <c r="G2933" s="85">
        <v>5552.96</v>
      </c>
    </row>
    <row r="2934" spans="1:7" x14ac:dyDescent="0.3">
      <c r="A2934" s="84">
        <v>2026</v>
      </c>
      <c r="B2934" s="84" t="s">
        <v>397</v>
      </c>
      <c r="C2934" s="84">
        <v>8</v>
      </c>
      <c r="D2934" s="84">
        <v>23</v>
      </c>
      <c r="E2934" s="85">
        <v>17770.38</v>
      </c>
      <c r="F2934" s="85">
        <v>23963.84</v>
      </c>
      <c r="G2934" s="85">
        <v>6193.46</v>
      </c>
    </row>
    <row r="2935" spans="1:7" x14ac:dyDescent="0.3">
      <c r="A2935" s="84">
        <v>2026</v>
      </c>
      <c r="B2935" s="84" t="s">
        <v>397</v>
      </c>
      <c r="C2935" s="84">
        <v>8</v>
      </c>
      <c r="D2935" s="84">
        <v>24</v>
      </c>
      <c r="E2935" s="85">
        <v>17770.38</v>
      </c>
      <c r="F2935" s="85">
        <v>24603.08</v>
      </c>
      <c r="G2935" s="85">
        <v>6832.7</v>
      </c>
    </row>
    <row r="2936" spans="1:7" x14ac:dyDescent="0.3">
      <c r="A2936" s="84">
        <v>2026</v>
      </c>
      <c r="B2936" s="84" t="s">
        <v>397</v>
      </c>
      <c r="C2936" s="84">
        <v>8</v>
      </c>
      <c r="D2936" s="84">
        <v>25</v>
      </c>
      <c r="E2936" s="85">
        <v>17770.38</v>
      </c>
      <c r="F2936" s="85">
        <v>25243.16</v>
      </c>
      <c r="G2936" s="85">
        <v>7472.78</v>
      </c>
    </row>
    <row r="2937" spans="1:7" x14ac:dyDescent="0.3">
      <c r="A2937" s="84">
        <v>2026</v>
      </c>
      <c r="B2937" s="84" t="s">
        <v>397</v>
      </c>
      <c r="C2937" s="84">
        <v>8</v>
      </c>
      <c r="D2937" s="84">
        <v>26</v>
      </c>
      <c r="E2937" s="85">
        <v>17770.38</v>
      </c>
      <c r="F2937" s="85">
        <v>26622.44</v>
      </c>
      <c r="G2937" s="85">
        <v>8852.06</v>
      </c>
    </row>
    <row r="2938" spans="1:7" x14ac:dyDescent="0.3">
      <c r="A2938" s="84">
        <v>2026</v>
      </c>
      <c r="B2938" s="84" t="s">
        <v>397</v>
      </c>
      <c r="C2938" s="84">
        <v>8</v>
      </c>
      <c r="D2938" s="84">
        <v>27</v>
      </c>
      <c r="E2938" s="85">
        <v>17770.38</v>
      </c>
      <c r="F2938" s="85">
        <v>28331.7</v>
      </c>
      <c r="G2938" s="85">
        <v>10561.32</v>
      </c>
    </row>
    <row r="2939" spans="1:7" x14ac:dyDescent="0.3">
      <c r="A2939" s="84">
        <v>2026</v>
      </c>
      <c r="B2939" s="84" t="s">
        <v>397</v>
      </c>
      <c r="C2939" s="84">
        <v>8</v>
      </c>
      <c r="D2939" s="84">
        <v>28</v>
      </c>
      <c r="E2939" s="85">
        <v>17770.38</v>
      </c>
      <c r="F2939" s="85">
        <v>28972.2</v>
      </c>
      <c r="G2939" s="85">
        <v>11201.82</v>
      </c>
    </row>
    <row r="2940" spans="1:7" x14ac:dyDescent="0.3">
      <c r="A2940" s="84">
        <v>2026</v>
      </c>
      <c r="B2940" s="84" t="s">
        <v>397</v>
      </c>
      <c r="C2940" s="84">
        <v>8</v>
      </c>
      <c r="D2940" s="84">
        <v>29</v>
      </c>
      <c r="E2940" s="85">
        <v>17770.38</v>
      </c>
      <c r="F2940" s="85">
        <v>29611.58</v>
      </c>
      <c r="G2940" s="85">
        <v>11841.2</v>
      </c>
    </row>
    <row r="2941" spans="1:7" x14ac:dyDescent="0.3">
      <c r="A2941" s="84">
        <v>2026</v>
      </c>
      <c r="B2941" s="84" t="s">
        <v>397</v>
      </c>
      <c r="C2941" s="84">
        <v>8</v>
      </c>
      <c r="D2941" s="84">
        <v>30</v>
      </c>
      <c r="E2941" s="85">
        <v>17770.38</v>
      </c>
      <c r="F2941" s="85">
        <v>31359.9</v>
      </c>
      <c r="G2941" s="85">
        <v>13589.52</v>
      </c>
    </row>
    <row r="2942" spans="1:7" x14ac:dyDescent="0.3">
      <c r="A2942" s="84">
        <v>2026</v>
      </c>
      <c r="B2942" s="84" t="s">
        <v>397</v>
      </c>
      <c r="C2942" s="84">
        <v>9</v>
      </c>
      <c r="D2942" s="84">
        <v>1</v>
      </c>
      <c r="E2942" s="85">
        <v>17967.5</v>
      </c>
      <c r="F2942" s="85">
        <v>16002.46</v>
      </c>
      <c r="G2942" s="85">
        <v>-1965.04</v>
      </c>
    </row>
    <row r="2943" spans="1:7" x14ac:dyDescent="0.3">
      <c r="A2943" s="84">
        <v>2026</v>
      </c>
      <c r="B2943" s="84" t="s">
        <v>397</v>
      </c>
      <c r="C2943" s="84">
        <v>9</v>
      </c>
      <c r="D2943" s="84">
        <v>2</v>
      </c>
      <c r="E2943" s="85">
        <v>17967.5</v>
      </c>
      <c r="F2943" s="85">
        <v>16296.88</v>
      </c>
      <c r="G2943" s="85">
        <v>-1670.62</v>
      </c>
    </row>
    <row r="2944" spans="1:7" x14ac:dyDescent="0.3">
      <c r="A2944" s="84">
        <v>2026</v>
      </c>
      <c r="B2944" s="84" t="s">
        <v>397</v>
      </c>
      <c r="C2944" s="84">
        <v>9</v>
      </c>
      <c r="D2944" s="84">
        <v>3</v>
      </c>
      <c r="E2944" s="85">
        <v>17967.5</v>
      </c>
      <c r="F2944" s="85">
        <v>16591.86</v>
      </c>
      <c r="G2944" s="85">
        <v>-1375.64</v>
      </c>
    </row>
    <row r="2945" spans="1:7" x14ac:dyDescent="0.3">
      <c r="A2945" s="84">
        <v>2026</v>
      </c>
      <c r="B2945" s="84" t="s">
        <v>397</v>
      </c>
      <c r="C2945" s="84">
        <v>9</v>
      </c>
      <c r="D2945" s="84">
        <v>4</v>
      </c>
      <c r="E2945" s="85">
        <v>17967.5</v>
      </c>
      <c r="F2945" s="85">
        <v>16886</v>
      </c>
      <c r="G2945" s="85">
        <v>-1081.5</v>
      </c>
    </row>
    <row r="2946" spans="1:7" x14ac:dyDescent="0.3">
      <c r="A2946" s="84">
        <v>2026</v>
      </c>
      <c r="B2946" s="84" t="s">
        <v>397</v>
      </c>
      <c r="C2946" s="84">
        <v>9</v>
      </c>
      <c r="D2946" s="84">
        <v>5</v>
      </c>
      <c r="E2946" s="85">
        <v>17967.5</v>
      </c>
      <c r="F2946" s="85">
        <v>17180.7</v>
      </c>
      <c r="G2946" s="85">
        <v>-786.8</v>
      </c>
    </row>
    <row r="2947" spans="1:7" x14ac:dyDescent="0.3">
      <c r="A2947" s="84">
        <v>2026</v>
      </c>
      <c r="B2947" s="84" t="s">
        <v>397</v>
      </c>
      <c r="C2947" s="84">
        <v>9</v>
      </c>
      <c r="D2947" s="84">
        <v>6</v>
      </c>
      <c r="E2947" s="85">
        <v>17967.5</v>
      </c>
      <c r="F2947" s="85">
        <v>17377.400000000001</v>
      </c>
      <c r="G2947" s="85">
        <v>-590.1</v>
      </c>
    </row>
    <row r="2948" spans="1:7" x14ac:dyDescent="0.3">
      <c r="A2948" s="84">
        <v>2026</v>
      </c>
      <c r="B2948" s="84" t="s">
        <v>397</v>
      </c>
      <c r="C2948" s="84">
        <v>9</v>
      </c>
      <c r="D2948" s="84">
        <v>7</v>
      </c>
      <c r="E2948" s="85">
        <v>17967.5</v>
      </c>
      <c r="F2948" s="85">
        <v>17574.099999999999</v>
      </c>
      <c r="G2948" s="85">
        <v>-393.4</v>
      </c>
    </row>
    <row r="2949" spans="1:7" x14ac:dyDescent="0.3">
      <c r="A2949" s="84">
        <v>2026</v>
      </c>
      <c r="B2949" s="84" t="s">
        <v>397</v>
      </c>
      <c r="C2949" s="84">
        <v>9</v>
      </c>
      <c r="D2949" s="84">
        <v>8</v>
      </c>
      <c r="E2949" s="85">
        <v>17967.5</v>
      </c>
      <c r="F2949" s="85">
        <v>17770.38</v>
      </c>
      <c r="G2949" s="85">
        <v>-197.12</v>
      </c>
    </row>
    <row r="2950" spans="1:7" x14ac:dyDescent="0.3">
      <c r="A2950" s="84">
        <v>2026</v>
      </c>
      <c r="B2950" s="84" t="s">
        <v>397</v>
      </c>
      <c r="C2950" s="84">
        <v>9</v>
      </c>
      <c r="D2950" s="84">
        <v>9</v>
      </c>
      <c r="E2950" s="85">
        <v>17967.5</v>
      </c>
      <c r="F2950" s="85">
        <v>17967.5</v>
      </c>
      <c r="G2950" s="85">
        <v>0</v>
      </c>
    </row>
    <row r="2951" spans="1:7" x14ac:dyDescent="0.3">
      <c r="A2951" s="84">
        <v>2026</v>
      </c>
      <c r="B2951" s="84" t="s">
        <v>397</v>
      </c>
      <c r="C2951" s="84">
        <v>9</v>
      </c>
      <c r="D2951" s="84">
        <v>10</v>
      </c>
      <c r="E2951" s="85">
        <v>17967.5</v>
      </c>
      <c r="F2951" s="85">
        <v>18163.919999999998</v>
      </c>
      <c r="G2951" s="85">
        <v>196.42</v>
      </c>
    </row>
    <row r="2952" spans="1:7" x14ac:dyDescent="0.3">
      <c r="A2952" s="84">
        <v>2026</v>
      </c>
      <c r="B2952" s="84" t="s">
        <v>397</v>
      </c>
      <c r="C2952" s="84">
        <v>9</v>
      </c>
      <c r="D2952" s="84">
        <v>11</v>
      </c>
      <c r="E2952" s="85">
        <v>17967.5</v>
      </c>
      <c r="F2952" s="85">
        <v>18556.48</v>
      </c>
      <c r="G2952" s="85">
        <v>588.98</v>
      </c>
    </row>
    <row r="2953" spans="1:7" x14ac:dyDescent="0.3">
      <c r="A2953" s="84">
        <v>2026</v>
      </c>
      <c r="B2953" s="84" t="s">
        <v>397</v>
      </c>
      <c r="C2953" s="84">
        <v>9</v>
      </c>
      <c r="D2953" s="84">
        <v>12</v>
      </c>
      <c r="E2953" s="85">
        <v>17967.5</v>
      </c>
      <c r="F2953" s="85">
        <v>18950.02</v>
      </c>
      <c r="G2953" s="85">
        <v>982.52</v>
      </c>
    </row>
    <row r="2954" spans="1:7" x14ac:dyDescent="0.3">
      <c r="A2954" s="84">
        <v>2026</v>
      </c>
      <c r="B2954" s="84" t="s">
        <v>397</v>
      </c>
      <c r="C2954" s="84">
        <v>9</v>
      </c>
      <c r="D2954" s="84">
        <v>13</v>
      </c>
      <c r="E2954" s="85">
        <v>17967.5</v>
      </c>
      <c r="F2954" s="85">
        <v>19343.28</v>
      </c>
      <c r="G2954" s="85">
        <v>1375.78</v>
      </c>
    </row>
    <row r="2955" spans="1:7" x14ac:dyDescent="0.3">
      <c r="A2955" s="84">
        <v>2026</v>
      </c>
      <c r="B2955" s="84" t="s">
        <v>397</v>
      </c>
      <c r="C2955" s="84">
        <v>9</v>
      </c>
      <c r="D2955" s="84">
        <v>14</v>
      </c>
      <c r="E2955" s="85">
        <v>17967.5</v>
      </c>
      <c r="F2955" s="85">
        <v>19737.099999999999</v>
      </c>
      <c r="G2955" s="85">
        <v>1769.6</v>
      </c>
    </row>
    <row r="2956" spans="1:7" x14ac:dyDescent="0.3">
      <c r="A2956" s="84">
        <v>2026</v>
      </c>
      <c r="B2956" s="84" t="s">
        <v>397</v>
      </c>
      <c r="C2956" s="84">
        <v>9</v>
      </c>
      <c r="D2956" s="84">
        <v>15</v>
      </c>
      <c r="E2956" s="85">
        <v>17967.5</v>
      </c>
      <c r="F2956" s="85">
        <v>20129.38</v>
      </c>
      <c r="G2956" s="85">
        <v>2161.88</v>
      </c>
    </row>
    <row r="2957" spans="1:7" x14ac:dyDescent="0.3">
      <c r="A2957" s="84">
        <v>2026</v>
      </c>
      <c r="B2957" s="84" t="s">
        <v>397</v>
      </c>
      <c r="C2957" s="84">
        <v>9</v>
      </c>
      <c r="D2957" s="84">
        <v>16</v>
      </c>
      <c r="E2957" s="85">
        <v>17967.5</v>
      </c>
      <c r="F2957" s="85">
        <v>20523.34</v>
      </c>
      <c r="G2957" s="85">
        <v>2555.84</v>
      </c>
    </row>
    <row r="2958" spans="1:7" x14ac:dyDescent="0.3">
      <c r="A2958" s="84">
        <v>2026</v>
      </c>
      <c r="B2958" s="84" t="s">
        <v>397</v>
      </c>
      <c r="C2958" s="84">
        <v>9</v>
      </c>
      <c r="D2958" s="84">
        <v>17</v>
      </c>
      <c r="E2958" s="85">
        <v>17967.5</v>
      </c>
      <c r="F2958" s="85">
        <v>20915.62</v>
      </c>
      <c r="G2958" s="85">
        <v>2948.12</v>
      </c>
    </row>
    <row r="2959" spans="1:7" x14ac:dyDescent="0.3">
      <c r="A2959" s="84">
        <v>2026</v>
      </c>
      <c r="B2959" s="84" t="s">
        <v>397</v>
      </c>
      <c r="C2959" s="84">
        <v>9</v>
      </c>
      <c r="D2959" s="84">
        <v>18</v>
      </c>
      <c r="E2959" s="85">
        <v>17967.5</v>
      </c>
      <c r="F2959" s="85">
        <v>21309.16</v>
      </c>
      <c r="G2959" s="85">
        <v>3341.66</v>
      </c>
    </row>
    <row r="2960" spans="1:7" x14ac:dyDescent="0.3">
      <c r="A2960" s="84">
        <v>2026</v>
      </c>
      <c r="B2960" s="84" t="s">
        <v>397</v>
      </c>
      <c r="C2960" s="84">
        <v>9</v>
      </c>
      <c r="D2960" s="84">
        <v>19</v>
      </c>
      <c r="E2960" s="85">
        <v>17967.5</v>
      </c>
      <c r="F2960" s="85">
        <v>21702.28</v>
      </c>
      <c r="G2960" s="85">
        <v>3734.78</v>
      </c>
    </row>
    <row r="2961" spans="1:7" x14ac:dyDescent="0.3">
      <c r="A2961" s="84">
        <v>2026</v>
      </c>
      <c r="B2961" s="84" t="s">
        <v>397</v>
      </c>
      <c r="C2961" s="84">
        <v>9</v>
      </c>
      <c r="D2961" s="84">
        <v>20</v>
      </c>
      <c r="E2961" s="85">
        <v>17967.5</v>
      </c>
      <c r="F2961" s="85">
        <v>22095.26</v>
      </c>
      <c r="G2961" s="85">
        <v>4127.76</v>
      </c>
    </row>
    <row r="2962" spans="1:7" x14ac:dyDescent="0.3">
      <c r="A2962" s="84">
        <v>2026</v>
      </c>
      <c r="B2962" s="84" t="s">
        <v>397</v>
      </c>
      <c r="C2962" s="84">
        <v>9</v>
      </c>
      <c r="D2962" s="84">
        <v>21</v>
      </c>
      <c r="E2962" s="85">
        <v>17967.5</v>
      </c>
      <c r="F2962" s="85">
        <v>22684.66</v>
      </c>
      <c r="G2962" s="85">
        <v>4717.16</v>
      </c>
    </row>
    <row r="2963" spans="1:7" x14ac:dyDescent="0.3">
      <c r="A2963" s="84">
        <v>2026</v>
      </c>
      <c r="B2963" s="84" t="s">
        <v>397</v>
      </c>
      <c r="C2963" s="84">
        <v>9</v>
      </c>
      <c r="D2963" s="84">
        <v>22</v>
      </c>
      <c r="E2963" s="85">
        <v>17967.5</v>
      </c>
      <c r="F2963" s="85">
        <v>23323.34</v>
      </c>
      <c r="G2963" s="85">
        <v>5355.84</v>
      </c>
    </row>
    <row r="2964" spans="1:7" x14ac:dyDescent="0.3">
      <c r="A2964" s="84">
        <v>2026</v>
      </c>
      <c r="B2964" s="84" t="s">
        <v>397</v>
      </c>
      <c r="C2964" s="84">
        <v>9</v>
      </c>
      <c r="D2964" s="84">
        <v>23</v>
      </c>
      <c r="E2964" s="85">
        <v>17967.5</v>
      </c>
      <c r="F2964" s="85">
        <v>23963.84</v>
      </c>
      <c r="G2964" s="85">
        <v>5996.34</v>
      </c>
    </row>
    <row r="2965" spans="1:7" x14ac:dyDescent="0.3">
      <c r="A2965" s="84">
        <v>2026</v>
      </c>
      <c r="B2965" s="84" t="s">
        <v>397</v>
      </c>
      <c r="C2965" s="84">
        <v>9</v>
      </c>
      <c r="D2965" s="84">
        <v>24</v>
      </c>
      <c r="E2965" s="85">
        <v>17967.5</v>
      </c>
      <c r="F2965" s="85">
        <v>24603.08</v>
      </c>
      <c r="G2965" s="85">
        <v>6635.58</v>
      </c>
    </row>
    <row r="2966" spans="1:7" x14ac:dyDescent="0.3">
      <c r="A2966" s="84">
        <v>2026</v>
      </c>
      <c r="B2966" s="84" t="s">
        <v>397</v>
      </c>
      <c r="C2966" s="84">
        <v>9</v>
      </c>
      <c r="D2966" s="84">
        <v>25</v>
      </c>
      <c r="E2966" s="85">
        <v>17967.5</v>
      </c>
      <c r="F2966" s="85">
        <v>25243.16</v>
      </c>
      <c r="G2966" s="85">
        <v>7275.66</v>
      </c>
    </row>
    <row r="2967" spans="1:7" x14ac:dyDescent="0.3">
      <c r="A2967" s="84">
        <v>2026</v>
      </c>
      <c r="B2967" s="84" t="s">
        <v>397</v>
      </c>
      <c r="C2967" s="84">
        <v>9</v>
      </c>
      <c r="D2967" s="84">
        <v>26</v>
      </c>
      <c r="E2967" s="85">
        <v>17967.5</v>
      </c>
      <c r="F2967" s="85">
        <v>26622.44</v>
      </c>
      <c r="G2967" s="85">
        <v>8654.94</v>
      </c>
    </row>
    <row r="2968" spans="1:7" x14ac:dyDescent="0.3">
      <c r="A2968" s="84">
        <v>2026</v>
      </c>
      <c r="B2968" s="84" t="s">
        <v>397</v>
      </c>
      <c r="C2968" s="84">
        <v>9</v>
      </c>
      <c r="D2968" s="84">
        <v>27</v>
      </c>
      <c r="E2968" s="85">
        <v>17967.5</v>
      </c>
      <c r="F2968" s="85">
        <v>28331.7</v>
      </c>
      <c r="G2968" s="85">
        <v>10364.200000000001</v>
      </c>
    </row>
    <row r="2969" spans="1:7" x14ac:dyDescent="0.3">
      <c r="A2969" s="84">
        <v>2026</v>
      </c>
      <c r="B2969" s="84" t="s">
        <v>397</v>
      </c>
      <c r="C2969" s="84">
        <v>9</v>
      </c>
      <c r="D2969" s="84">
        <v>28</v>
      </c>
      <c r="E2969" s="85">
        <v>17967.5</v>
      </c>
      <c r="F2969" s="85">
        <v>28972.2</v>
      </c>
      <c r="G2969" s="85">
        <v>11004.7</v>
      </c>
    </row>
    <row r="2970" spans="1:7" x14ac:dyDescent="0.3">
      <c r="A2970" s="84">
        <v>2026</v>
      </c>
      <c r="B2970" s="84" t="s">
        <v>397</v>
      </c>
      <c r="C2970" s="84">
        <v>9</v>
      </c>
      <c r="D2970" s="84">
        <v>29</v>
      </c>
      <c r="E2970" s="85">
        <v>17967.5</v>
      </c>
      <c r="F2970" s="85">
        <v>29611.58</v>
      </c>
      <c r="G2970" s="85">
        <v>11644.08</v>
      </c>
    </row>
    <row r="2971" spans="1:7" x14ac:dyDescent="0.3">
      <c r="A2971" s="84">
        <v>2026</v>
      </c>
      <c r="B2971" s="84" t="s">
        <v>397</v>
      </c>
      <c r="C2971" s="84">
        <v>9</v>
      </c>
      <c r="D2971" s="84">
        <v>30</v>
      </c>
      <c r="E2971" s="85">
        <v>17967.5</v>
      </c>
      <c r="F2971" s="85">
        <v>31359.9</v>
      </c>
      <c r="G2971" s="85">
        <v>13392.4</v>
      </c>
    </row>
    <row r="2972" spans="1:7" x14ac:dyDescent="0.3">
      <c r="A2972" s="84">
        <v>2026</v>
      </c>
      <c r="B2972" s="84" t="s">
        <v>397</v>
      </c>
      <c r="C2972" s="84">
        <v>10</v>
      </c>
      <c r="D2972" s="84">
        <v>1</v>
      </c>
      <c r="E2972" s="85">
        <v>18163.919999999998</v>
      </c>
      <c r="F2972" s="85">
        <v>16002.46</v>
      </c>
      <c r="G2972" s="85">
        <v>-2161.46</v>
      </c>
    </row>
    <row r="2973" spans="1:7" x14ac:dyDescent="0.3">
      <c r="A2973" s="84">
        <v>2026</v>
      </c>
      <c r="B2973" s="84" t="s">
        <v>397</v>
      </c>
      <c r="C2973" s="84">
        <v>10</v>
      </c>
      <c r="D2973" s="84">
        <v>2</v>
      </c>
      <c r="E2973" s="85">
        <v>18163.919999999998</v>
      </c>
      <c r="F2973" s="85">
        <v>16296.88</v>
      </c>
      <c r="G2973" s="85">
        <v>-1867.04</v>
      </c>
    </row>
    <row r="2974" spans="1:7" x14ac:dyDescent="0.3">
      <c r="A2974" s="84">
        <v>2026</v>
      </c>
      <c r="B2974" s="84" t="s">
        <v>397</v>
      </c>
      <c r="C2974" s="84">
        <v>10</v>
      </c>
      <c r="D2974" s="84">
        <v>3</v>
      </c>
      <c r="E2974" s="85">
        <v>18163.919999999998</v>
      </c>
      <c r="F2974" s="85">
        <v>16591.86</v>
      </c>
      <c r="G2974" s="85">
        <v>-1572.06</v>
      </c>
    </row>
    <row r="2975" spans="1:7" x14ac:dyDescent="0.3">
      <c r="A2975" s="84">
        <v>2026</v>
      </c>
      <c r="B2975" s="84" t="s">
        <v>397</v>
      </c>
      <c r="C2975" s="84">
        <v>10</v>
      </c>
      <c r="D2975" s="84">
        <v>4</v>
      </c>
      <c r="E2975" s="85">
        <v>18163.919999999998</v>
      </c>
      <c r="F2975" s="85">
        <v>16886</v>
      </c>
      <c r="G2975" s="85">
        <v>-1277.92</v>
      </c>
    </row>
    <row r="2976" spans="1:7" x14ac:dyDescent="0.3">
      <c r="A2976" s="84">
        <v>2026</v>
      </c>
      <c r="B2976" s="84" t="s">
        <v>397</v>
      </c>
      <c r="C2976" s="84">
        <v>10</v>
      </c>
      <c r="D2976" s="84">
        <v>5</v>
      </c>
      <c r="E2976" s="85">
        <v>18163.919999999998</v>
      </c>
      <c r="F2976" s="85">
        <v>17180.7</v>
      </c>
      <c r="G2976" s="85">
        <v>-983.22</v>
      </c>
    </row>
    <row r="2977" spans="1:7" x14ac:dyDescent="0.3">
      <c r="A2977" s="84">
        <v>2026</v>
      </c>
      <c r="B2977" s="84" t="s">
        <v>397</v>
      </c>
      <c r="C2977" s="84">
        <v>10</v>
      </c>
      <c r="D2977" s="84">
        <v>6</v>
      </c>
      <c r="E2977" s="85">
        <v>18163.919999999998</v>
      </c>
      <c r="F2977" s="85">
        <v>17377.400000000001</v>
      </c>
      <c r="G2977" s="85">
        <v>-786.52</v>
      </c>
    </row>
    <row r="2978" spans="1:7" x14ac:dyDescent="0.3">
      <c r="A2978" s="84">
        <v>2026</v>
      </c>
      <c r="B2978" s="84" t="s">
        <v>397</v>
      </c>
      <c r="C2978" s="84">
        <v>10</v>
      </c>
      <c r="D2978" s="84">
        <v>7</v>
      </c>
      <c r="E2978" s="85">
        <v>18163.919999999998</v>
      </c>
      <c r="F2978" s="85">
        <v>17574.099999999999</v>
      </c>
      <c r="G2978" s="85">
        <v>-589.82000000000005</v>
      </c>
    </row>
    <row r="2979" spans="1:7" x14ac:dyDescent="0.3">
      <c r="A2979" s="84">
        <v>2026</v>
      </c>
      <c r="B2979" s="84" t="s">
        <v>397</v>
      </c>
      <c r="C2979" s="84">
        <v>10</v>
      </c>
      <c r="D2979" s="84">
        <v>8</v>
      </c>
      <c r="E2979" s="85">
        <v>18163.919999999998</v>
      </c>
      <c r="F2979" s="85">
        <v>17770.38</v>
      </c>
      <c r="G2979" s="85">
        <v>-393.54</v>
      </c>
    </row>
    <row r="2980" spans="1:7" x14ac:dyDescent="0.3">
      <c r="A2980" s="84">
        <v>2026</v>
      </c>
      <c r="B2980" s="84" t="s">
        <v>397</v>
      </c>
      <c r="C2980" s="84">
        <v>10</v>
      </c>
      <c r="D2980" s="84">
        <v>9</v>
      </c>
      <c r="E2980" s="85">
        <v>18163.919999999998</v>
      </c>
      <c r="F2980" s="85">
        <v>17967.5</v>
      </c>
      <c r="G2980" s="85">
        <v>-196.42</v>
      </c>
    </row>
    <row r="2981" spans="1:7" x14ac:dyDescent="0.3">
      <c r="A2981" s="84">
        <v>2026</v>
      </c>
      <c r="B2981" s="84" t="s">
        <v>397</v>
      </c>
      <c r="C2981" s="84">
        <v>10</v>
      </c>
      <c r="D2981" s="84">
        <v>10</v>
      </c>
      <c r="E2981" s="85">
        <v>18163.919999999998</v>
      </c>
      <c r="F2981" s="85">
        <v>18163.919999999998</v>
      </c>
      <c r="G2981" s="85">
        <v>0</v>
      </c>
    </row>
    <row r="2982" spans="1:7" x14ac:dyDescent="0.3">
      <c r="A2982" s="84">
        <v>2026</v>
      </c>
      <c r="B2982" s="84" t="s">
        <v>397</v>
      </c>
      <c r="C2982" s="84">
        <v>10</v>
      </c>
      <c r="D2982" s="84">
        <v>11</v>
      </c>
      <c r="E2982" s="85">
        <v>18163.919999999998</v>
      </c>
      <c r="F2982" s="85">
        <v>18556.48</v>
      </c>
      <c r="G2982" s="85">
        <v>392.56</v>
      </c>
    </row>
    <row r="2983" spans="1:7" x14ac:dyDescent="0.3">
      <c r="A2983" s="84">
        <v>2026</v>
      </c>
      <c r="B2983" s="84" t="s">
        <v>397</v>
      </c>
      <c r="C2983" s="84">
        <v>10</v>
      </c>
      <c r="D2983" s="84">
        <v>12</v>
      </c>
      <c r="E2983" s="85">
        <v>18163.919999999998</v>
      </c>
      <c r="F2983" s="85">
        <v>18950.02</v>
      </c>
      <c r="G2983" s="85">
        <v>786.1</v>
      </c>
    </row>
    <row r="2984" spans="1:7" x14ac:dyDescent="0.3">
      <c r="A2984" s="84">
        <v>2026</v>
      </c>
      <c r="B2984" s="84" t="s">
        <v>397</v>
      </c>
      <c r="C2984" s="84">
        <v>10</v>
      </c>
      <c r="D2984" s="84">
        <v>13</v>
      </c>
      <c r="E2984" s="85">
        <v>18163.919999999998</v>
      </c>
      <c r="F2984" s="85">
        <v>19343.28</v>
      </c>
      <c r="G2984" s="85">
        <v>1179.3599999999999</v>
      </c>
    </row>
    <row r="2985" spans="1:7" x14ac:dyDescent="0.3">
      <c r="A2985" s="84">
        <v>2026</v>
      </c>
      <c r="B2985" s="84" t="s">
        <v>397</v>
      </c>
      <c r="C2985" s="84">
        <v>10</v>
      </c>
      <c r="D2985" s="84">
        <v>14</v>
      </c>
      <c r="E2985" s="85">
        <v>18163.919999999998</v>
      </c>
      <c r="F2985" s="85">
        <v>19737.099999999999</v>
      </c>
      <c r="G2985" s="85">
        <v>1573.18</v>
      </c>
    </row>
    <row r="2986" spans="1:7" x14ac:dyDescent="0.3">
      <c r="A2986" s="84">
        <v>2026</v>
      </c>
      <c r="B2986" s="84" t="s">
        <v>397</v>
      </c>
      <c r="C2986" s="84">
        <v>10</v>
      </c>
      <c r="D2986" s="84">
        <v>15</v>
      </c>
      <c r="E2986" s="85">
        <v>18163.919999999998</v>
      </c>
      <c r="F2986" s="85">
        <v>20129.38</v>
      </c>
      <c r="G2986" s="85">
        <v>1965.46</v>
      </c>
    </row>
    <row r="2987" spans="1:7" x14ac:dyDescent="0.3">
      <c r="A2987" s="84">
        <v>2026</v>
      </c>
      <c r="B2987" s="84" t="s">
        <v>397</v>
      </c>
      <c r="C2987" s="84">
        <v>10</v>
      </c>
      <c r="D2987" s="84">
        <v>16</v>
      </c>
      <c r="E2987" s="85">
        <v>18163.919999999998</v>
      </c>
      <c r="F2987" s="85">
        <v>20523.34</v>
      </c>
      <c r="G2987" s="85">
        <v>2359.42</v>
      </c>
    </row>
    <row r="2988" spans="1:7" x14ac:dyDescent="0.3">
      <c r="A2988" s="84">
        <v>2026</v>
      </c>
      <c r="B2988" s="84" t="s">
        <v>397</v>
      </c>
      <c r="C2988" s="84">
        <v>10</v>
      </c>
      <c r="D2988" s="84">
        <v>17</v>
      </c>
      <c r="E2988" s="85">
        <v>18163.919999999998</v>
      </c>
      <c r="F2988" s="85">
        <v>20915.62</v>
      </c>
      <c r="G2988" s="85">
        <v>2751.7</v>
      </c>
    </row>
    <row r="2989" spans="1:7" x14ac:dyDescent="0.3">
      <c r="A2989" s="84">
        <v>2026</v>
      </c>
      <c r="B2989" s="84" t="s">
        <v>397</v>
      </c>
      <c r="C2989" s="84">
        <v>10</v>
      </c>
      <c r="D2989" s="84">
        <v>18</v>
      </c>
      <c r="E2989" s="85">
        <v>18163.919999999998</v>
      </c>
      <c r="F2989" s="85">
        <v>21309.16</v>
      </c>
      <c r="G2989" s="85">
        <v>3145.24</v>
      </c>
    </row>
    <row r="2990" spans="1:7" x14ac:dyDescent="0.3">
      <c r="A2990" s="84">
        <v>2026</v>
      </c>
      <c r="B2990" s="84" t="s">
        <v>397</v>
      </c>
      <c r="C2990" s="84">
        <v>10</v>
      </c>
      <c r="D2990" s="84">
        <v>19</v>
      </c>
      <c r="E2990" s="85">
        <v>18163.919999999998</v>
      </c>
      <c r="F2990" s="85">
        <v>21702.28</v>
      </c>
      <c r="G2990" s="85">
        <v>3538.36</v>
      </c>
    </row>
    <row r="2991" spans="1:7" x14ac:dyDescent="0.3">
      <c r="A2991" s="84">
        <v>2026</v>
      </c>
      <c r="B2991" s="84" t="s">
        <v>397</v>
      </c>
      <c r="C2991" s="84">
        <v>10</v>
      </c>
      <c r="D2991" s="84">
        <v>20</v>
      </c>
      <c r="E2991" s="85">
        <v>18163.919999999998</v>
      </c>
      <c r="F2991" s="85">
        <v>22095.26</v>
      </c>
      <c r="G2991" s="85">
        <v>3931.34</v>
      </c>
    </row>
    <row r="2992" spans="1:7" x14ac:dyDescent="0.3">
      <c r="A2992" s="84">
        <v>2026</v>
      </c>
      <c r="B2992" s="84" t="s">
        <v>397</v>
      </c>
      <c r="C2992" s="84">
        <v>10</v>
      </c>
      <c r="D2992" s="84">
        <v>21</v>
      </c>
      <c r="E2992" s="85">
        <v>18163.919999999998</v>
      </c>
      <c r="F2992" s="85">
        <v>22684.66</v>
      </c>
      <c r="G2992" s="85">
        <v>4520.74</v>
      </c>
    </row>
    <row r="2993" spans="1:7" x14ac:dyDescent="0.3">
      <c r="A2993" s="84">
        <v>2026</v>
      </c>
      <c r="B2993" s="84" t="s">
        <v>397</v>
      </c>
      <c r="C2993" s="84">
        <v>10</v>
      </c>
      <c r="D2993" s="84">
        <v>22</v>
      </c>
      <c r="E2993" s="85">
        <v>18163.919999999998</v>
      </c>
      <c r="F2993" s="85">
        <v>23323.34</v>
      </c>
      <c r="G2993" s="85">
        <v>5159.42</v>
      </c>
    </row>
    <row r="2994" spans="1:7" x14ac:dyDescent="0.3">
      <c r="A2994" s="84">
        <v>2026</v>
      </c>
      <c r="B2994" s="84" t="s">
        <v>397</v>
      </c>
      <c r="C2994" s="84">
        <v>10</v>
      </c>
      <c r="D2994" s="84">
        <v>23</v>
      </c>
      <c r="E2994" s="85">
        <v>18163.919999999998</v>
      </c>
      <c r="F2994" s="85">
        <v>23963.84</v>
      </c>
      <c r="G2994" s="85">
        <v>5799.92</v>
      </c>
    </row>
    <row r="2995" spans="1:7" x14ac:dyDescent="0.3">
      <c r="A2995" s="84">
        <v>2026</v>
      </c>
      <c r="B2995" s="84" t="s">
        <v>397</v>
      </c>
      <c r="C2995" s="84">
        <v>10</v>
      </c>
      <c r="D2995" s="84">
        <v>24</v>
      </c>
      <c r="E2995" s="85">
        <v>18163.919999999998</v>
      </c>
      <c r="F2995" s="85">
        <v>24603.08</v>
      </c>
      <c r="G2995" s="85">
        <v>6439.16</v>
      </c>
    </row>
    <row r="2996" spans="1:7" x14ac:dyDescent="0.3">
      <c r="A2996" s="84">
        <v>2026</v>
      </c>
      <c r="B2996" s="84" t="s">
        <v>397</v>
      </c>
      <c r="C2996" s="84">
        <v>10</v>
      </c>
      <c r="D2996" s="84">
        <v>25</v>
      </c>
      <c r="E2996" s="85">
        <v>18163.919999999998</v>
      </c>
      <c r="F2996" s="85">
        <v>25243.16</v>
      </c>
      <c r="G2996" s="85">
        <v>7079.24</v>
      </c>
    </row>
    <row r="2997" spans="1:7" x14ac:dyDescent="0.3">
      <c r="A2997" s="84">
        <v>2026</v>
      </c>
      <c r="B2997" s="84" t="s">
        <v>397</v>
      </c>
      <c r="C2997" s="84">
        <v>10</v>
      </c>
      <c r="D2997" s="84">
        <v>26</v>
      </c>
      <c r="E2997" s="85">
        <v>18163.919999999998</v>
      </c>
      <c r="F2997" s="85">
        <v>26622.44</v>
      </c>
      <c r="G2997" s="85">
        <v>8458.52</v>
      </c>
    </row>
    <row r="2998" spans="1:7" x14ac:dyDescent="0.3">
      <c r="A2998" s="84">
        <v>2026</v>
      </c>
      <c r="B2998" s="84" t="s">
        <v>397</v>
      </c>
      <c r="C2998" s="84">
        <v>10</v>
      </c>
      <c r="D2998" s="84">
        <v>27</v>
      </c>
      <c r="E2998" s="85">
        <v>18163.919999999998</v>
      </c>
      <c r="F2998" s="85">
        <v>28331.7</v>
      </c>
      <c r="G2998" s="85">
        <v>10167.780000000001</v>
      </c>
    </row>
    <row r="2999" spans="1:7" x14ac:dyDescent="0.3">
      <c r="A2999" s="84">
        <v>2026</v>
      </c>
      <c r="B2999" s="84" t="s">
        <v>397</v>
      </c>
      <c r="C2999" s="84">
        <v>10</v>
      </c>
      <c r="D2999" s="84">
        <v>28</v>
      </c>
      <c r="E2999" s="85">
        <v>18163.919999999998</v>
      </c>
      <c r="F2999" s="85">
        <v>28972.2</v>
      </c>
      <c r="G2999" s="85">
        <v>10808.28</v>
      </c>
    </row>
    <row r="3000" spans="1:7" x14ac:dyDescent="0.3">
      <c r="A3000" s="84">
        <v>2026</v>
      </c>
      <c r="B3000" s="84" t="s">
        <v>397</v>
      </c>
      <c r="C3000" s="84">
        <v>10</v>
      </c>
      <c r="D3000" s="84">
        <v>29</v>
      </c>
      <c r="E3000" s="85">
        <v>18163.919999999998</v>
      </c>
      <c r="F3000" s="85">
        <v>29611.58</v>
      </c>
      <c r="G3000" s="85">
        <v>11447.66</v>
      </c>
    </row>
    <row r="3001" spans="1:7" x14ac:dyDescent="0.3">
      <c r="A3001" s="84">
        <v>2026</v>
      </c>
      <c r="B3001" s="84" t="s">
        <v>397</v>
      </c>
      <c r="C3001" s="84">
        <v>10</v>
      </c>
      <c r="D3001" s="84">
        <v>30</v>
      </c>
      <c r="E3001" s="85">
        <v>18163.919999999998</v>
      </c>
      <c r="F3001" s="85">
        <v>31359.9</v>
      </c>
      <c r="G3001" s="85">
        <v>13195.98</v>
      </c>
    </row>
    <row r="3002" spans="1:7" x14ac:dyDescent="0.3">
      <c r="A3002" s="84">
        <v>2026</v>
      </c>
      <c r="B3002" s="84" t="s">
        <v>397</v>
      </c>
      <c r="C3002" s="84">
        <v>11</v>
      </c>
      <c r="D3002" s="84">
        <v>1</v>
      </c>
      <c r="E3002" s="85">
        <v>18556.48</v>
      </c>
      <c r="F3002" s="85">
        <v>16002.46</v>
      </c>
      <c r="G3002" s="85">
        <v>-2554.02</v>
      </c>
    </row>
    <row r="3003" spans="1:7" x14ac:dyDescent="0.3">
      <c r="A3003" s="84">
        <v>2026</v>
      </c>
      <c r="B3003" s="84" t="s">
        <v>397</v>
      </c>
      <c r="C3003" s="84">
        <v>11</v>
      </c>
      <c r="D3003" s="84">
        <v>2</v>
      </c>
      <c r="E3003" s="85">
        <v>18556.48</v>
      </c>
      <c r="F3003" s="85">
        <v>16296.88</v>
      </c>
      <c r="G3003" s="85">
        <v>-2259.6</v>
      </c>
    </row>
    <row r="3004" spans="1:7" x14ac:dyDescent="0.3">
      <c r="A3004" s="84">
        <v>2026</v>
      </c>
      <c r="B3004" s="84" t="s">
        <v>397</v>
      </c>
      <c r="C3004" s="84">
        <v>11</v>
      </c>
      <c r="D3004" s="84">
        <v>3</v>
      </c>
      <c r="E3004" s="85">
        <v>18556.48</v>
      </c>
      <c r="F3004" s="85">
        <v>16591.86</v>
      </c>
      <c r="G3004" s="85">
        <v>-1964.62</v>
      </c>
    </row>
    <row r="3005" spans="1:7" x14ac:dyDescent="0.3">
      <c r="A3005" s="84">
        <v>2026</v>
      </c>
      <c r="B3005" s="84" t="s">
        <v>397</v>
      </c>
      <c r="C3005" s="84">
        <v>11</v>
      </c>
      <c r="D3005" s="84">
        <v>4</v>
      </c>
      <c r="E3005" s="85">
        <v>18556.48</v>
      </c>
      <c r="F3005" s="85">
        <v>16886</v>
      </c>
      <c r="G3005" s="85">
        <v>-1670.48</v>
      </c>
    </row>
    <row r="3006" spans="1:7" x14ac:dyDescent="0.3">
      <c r="A3006" s="84">
        <v>2026</v>
      </c>
      <c r="B3006" s="84" t="s">
        <v>397</v>
      </c>
      <c r="C3006" s="84">
        <v>11</v>
      </c>
      <c r="D3006" s="84">
        <v>5</v>
      </c>
      <c r="E3006" s="85">
        <v>18556.48</v>
      </c>
      <c r="F3006" s="85">
        <v>17180.7</v>
      </c>
      <c r="G3006" s="85">
        <v>-1375.78</v>
      </c>
    </row>
    <row r="3007" spans="1:7" x14ac:dyDescent="0.3">
      <c r="A3007" s="84">
        <v>2026</v>
      </c>
      <c r="B3007" s="84" t="s">
        <v>397</v>
      </c>
      <c r="C3007" s="84">
        <v>11</v>
      </c>
      <c r="D3007" s="84">
        <v>6</v>
      </c>
      <c r="E3007" s="85">
        <v>18556.48</v>
      </c>
      <c r="F3007" s="85">
        <v>17377.400000000001</v>
      </c>
      <c r="G3007" s="85">
        <v>-1179.08</v>
      </c>
    </row>
    <row r="3008" spans="1:7" x14ac:dyDescent="0.3">
      <c r="A3008" s="84">
        <v>2026</v>
      </c>
      <c r="B3008" s="84" t="s">
        <v>397</v>
      </c>
      <c r="C3008" s="84">
        <v>11</v>
      </c>
      <c r="D3008" s="84">
        <v>7</v>
      </c>
      <c r="E3008" s="85">
        <v>18556.48</v>
      </c>
      <c r="F3008" s="85">
        <v>17574.099999999999</v>
      </c>
      <c r="G3008" s="85">
        <v>-982.38</v>
      </c>
    </row>
    <row r="3009" spans="1:7" x14ac:dyDescent="0.3">
      <c r="A3009" s="84">
        <v>2026</v>
      </c>
      <c r="B3009" s="84" t="s">
        <v>397</v>
      </c>
      <c r="C3009" s="84">
        <v>11</v>
      </c>
      <c r="D3009" s="84">
        <v>8</v>
      </c>
      <c r="E3009" s="85">
        <v>18556.48</v>
      </c>
      <c r="F3009" s="85">
        <v>17770.38</v>
      </c>
      <c r="G3009" s="85">
        <v>-786.1</v>
      </c>
    </row>
    <row r="3010" spans="1:7" x14ac:dyDescent="0.3">
      <c r="A3010" s="84">
        <v>2026</v>
      </c>
      <c r="B3010" s="84" t="s">
        <v>397</v>
      </c>
      <c r="C3010" s="84">
        <v>11</v>
      </c>
      <c r="D3010" s="84">
        <v>9</v>
      </c>
      <c r="E3010" s="85">
        <v>18556.48</v>
      </c>
      <c r="F3010" s="85">
        <v>17967.5</v>
      </c>
      <c r="G3010" s="85">
        <v>-588.98</v>
      </c>
    </row>
    <row r="3011" spans="1:7" x14ac:dyDescent="0.3">
      <c r="A3011" s="84">
        <v>2026</v>
      </c>
      <c r="B3011" s="84" t="s">
        <v>397</v>
      </c>
      <c r="C3011" s="84">
        <v>11</v>
      </c>
      <c r="D3011" s="84">
        <v>10</v>
      </c>
      <c r="E3011" s="85">
        <v>18556.48</v>
      </c>
      <c r="F3011" s="85">
        <v>18163.919999999998</v>
      </c>
      <c r="G3011" s="85">
        <v>-392.56</v>
      </c>
    </row>
    <row r="3012" spans="1:7" x14ac:dyDescent="0.3">
      <c r="A3012" s="84">
        <v>2026</v>
      </c>
      <c r="B3012" s="84" t="s">
        <v>397</v>
      </c>
      <c r="C3012" s="84">
        <v>11</v>
      </c>
      <c r="D3012" s="84">
        <v>11</v>
      </c>
      <c r="E3012" s="85">
        <v>18556.48</v>
      </c>
      <c r="F3012" s="85">
        <v>18556.48</v>
      </c>
      <c r="G3012" s="85">
        <v>0</v>
      </c>
    </row>
    <row r="3013" spans="1:7" x14ac:dyDescent="0.3">
      <c r="A3013" s="84">
        <v>2026</v>
      </c>
      <c r="B3013" s="84" t="s">
        <v>397</v>
      </c>
      <c r="C3013" s="84">
        <v>11</v>
      </c>
      <c r="D3013" s="84">
        <v>12</v>
      </c>
      <c r="E3013" s="85">
        <v>18556.48</v>
      </c>
      <c r="F3013" s="85">
        <v>18950.02</v>
      </c>
      <c r="G3013" s="85">
        <v>393.54</v>
      </c>
    </row>
    <row r="3014" spans="1:7" x14ac:dyDescent="0.3">
      <c r="A3014" s="84">
        <v>2026</v>
      </c>
      <c r="B3014" s="84" t="s">
        <v>397</v>
      </c>
      <c r="C3014" s="84">
        <v>11</v>
      </c>
      <c r="D3014" s="84">
        <v>13</v>
      </c>
      <c r="E3014" s="85">
        <v>18556.48</v>
      </c>
      <c r="F3014" s="85">
        <v>19343.28</v>
      </c>
      <c r="G3014" s="85">
        <v>786.8</v>
      </c>
    </row>
    <row r="3015" spans="1:7" x14ac:dyDescent="0.3">
      <c r="A3015" s="84">
        <v>2026</v>
      </c>
      <c r="B3015" s="84" t="s">
        <v>397</v>
      </c>
      <c r="C3015" s="84">
        <v>11</v>
      </c>
      <c r="D3015" s="84">
        <v>14</v>
      </c>
      <c r="E3015" s="85">
        <v>18556.48</v>
      </c>
      <c r="F3015" s="85">
        <v>19737.099999999999</v>
      </c>
      <c r="G3015" s="85">
        <v>1180.6199999999999</v>
      </c>
    </row>
    <row r="3016" spans="1:7" x14ac:dyDescent="0.3">
      <c r="A3016" s="84">
        <v>2026</v>
      </c>
      <c r="B3016" s="84" t="s">
        <v>397</v>
      </c>
      <c r="C3016" s="84">
        <v>11</v>
      </c>
      <c r="D3016" s="84">
        <v>15</v>
      </c>
      <c r="E3016" s="85">
        <v>18556.48</v>
      </c>
      <c r="F3016" s="85">
        <v>20129.38</v>
      </c>
      <c r="G3016" s="85">
        <v>1572.9</v>
      </c>
    </row>
    <row r="3017" spans="1:7" x14ac:dyDescent="0.3">
      <c r="A3017" s="84">
        <v>2026</v>
      </c>
      <c r="B3017" s="84" t="s">
        <v>397</v>
      </c>
      <c r="C3017" s="84">
        <v>11</v>
      </c>
      <c r="D3017" s="84">
        <v>16</v>
      </c>
      <c r="E3017" s="85">
        <v>18556.48</v>
      </c>
      <c r="F3017" s="85">
        <v>20523.34</v>
      </c>
      <c r="G3017" s="85">
        <v>1966.86</v>
      </c>
    </row>
    <row r="3018" spans="1:7" x14ac:dyDescent="0.3">
      <c r="A3018" s="84">
        <v>2026</v>
      </c>
      <c r="B3018" s="84" t="s">
        <v>397</v>
      </c>
      <c r="C3018" s="84">
        <v>11</v>
      </c>
      <c r="D3018" s="84">
        <v>17</v>
      </c>
      <c r="E3018" s="85">
        <v>18556.48</v>
      </c>
      <c r="F3018" s="85">
        <v>20915.62</v>
      </c>
      <c r="G3018" s="85">
        <v>2359.14</v>
      </c>
    </row>
    <row r="3019" spans="1:7" x14ac:dyDescent="0.3">
      <c r="A3019" s="84">
        <v>2026</v>
      </c>
      <c r="B3019" s="84" t="s">
        <v>397</v>
      </c>
      <c r="C3019" s="84">
        <v>11</v>
      </c>
      <c r="D3019" s="84">
        <v>18</v>
      </c>
      <c r="E3019" s="85">
        <v>18556.48</v>
      </c>
      <c r="F3019" s="85">
        <v>21309.16</v>
      </c>
      <c r="G3019" s="85">
        <v>2752.68</v>
      </c>
    </row>
    <row r="3020" spans="1:7" x14ac:dyDescent="0.3">
      <c r="A3020" s="84">
        <v>2026</v>
      </c>
      <c r="B3020" s="84" t="s">
        <v>397</v>
      </c>
      <c r="C3020" s="84">
        <v>11</v>
      </c>
      <c r="D3020" s="84">
        <v>19</v>
      </c>
      <c r="E3020" s="85">
        <v>18556.48</v>
      </c>
      <c r="F3020" s="85">
        <v>21702.28</v>
      </c>
      <c r="G3020" s="85">
        <v>3145.8</v>
      </c>
    </row>
    <row r="3021" spans="1:7" x14ac:dyDescent="0.3">
      <c r="A3021" s="84">
        <v>2026</v>
      </c>
      <c r="B3021" s="84" t="s">
        <v>397</v>
      </c>
      <c r="C3021" s="84">
        <v>11</v>
      </c>
      <c r="D3021" s="84">
        <v>20</v>
      </c>
      <c r="E3021" s="85">
        <v>18556.48</v>
      </c>
      <c r="F3021" s="85">
        <v>22095.26</v>
      </c>
      <c r="G3021" s="85">
        <v>3538.78</v>
      </c>
    </row>
    <row r="3022" spans="1:7" x14ac:dyDescent="0.3">
      <c r="A3022" s="84">
        <v>2026</v>
      </c>
      <c r="B3022" s="84" t="s">
        <v>397</v>
      </c>
      <c r="C3022" s="84">
        <v>11</v>
      </c>
      <c r="D3022" s="84">
        <v>21</v>
      </c>
      <c r="E3022" s="85">
        <v>18556.48</v>
      </c>
      <c r="F3022" s="85">
        <v>22684.66</v>
      </c>
      <c r="G3022" s="85">
        <v>4128.18</v>
      </c>
    </row>
    <row r="3023" spans="1:7" x14ac:dyDescent="0.3">
      <c r="A3023" s="84">
        <v>2026</v>
      </c>
      <c r="B3023" s="84" t="s">
        <v>397</v>
      </c>
      <c r="C3023" s="84">
        <v>11</v>
      </c>
      <c r="D3023" s="84">
        <v>22</v>
      </c>
      <c r="E3023" s="85">
        <v>18556.48</v>
      </c>
      <c r="F3023" s="85">
        <v>23323.34</v>
      </c>
      <c r="G3023" s="85">
        <v>4766.8599999999997</v>
      </c>
    </row>
    <row r="3024" spans="1:7" x14ac:dyDescent="0.3">
      <c r="A3024" s="84">
        <v>2026</v>
      </c>
      <c r="B3024" s="84" t="s">
        <v>397</v>
      </c>
      <c r="C3024" s="84">
        <v>11</v>
      </c>
      <c r="D3024" s="84">
        <v>23</v>
      </c>
      <c r="E3024" s="85">
        <v>18556.48</v>
      </c>
      <c r="F3024" s="85">
        <v>23963.84</v>
      </c>
      <c r="G3024" s="85">
        <v>5407.36</v>
      </c>
    </row>
    <row r="3025" spans="1:7" x14ac:dyDescent="0.3">
      <c r="A3025" s="84">
        <v>2026</v>
      </c>
      <c r="B3025" s="84" t="s">
        <v>397</v>
      </c>
      <c r="C3025" s="84">
        <v>11</v>
      </c>
      <c r="D3025" s="84">
        <v>24</v>
      </c>
      <c r="E3025" s="85">
        <v>18556.48</v>
      </c>
      <c r="F3025" s="85">
        <v>24603.08</v>
      </c>
      <c r="G3025" s="85">
        <v>6046.6</v>
      </c>
    </row>
    <row r="3026" spans="1:7" x14ac:dyDescent="0.3">
      <c r="A3026" s="84">
        <v>2026</v>
      </c>
      <c r="B3026" s="84" t="s">
        <v>397</v>
      </c>
      <c r="C3026" s="84">
        <v>11</v>
      </c>
      <c r="D3026" s="84">
        <v>25</v>
      </c>
      <c r="E3026" s="85">
        <v>18556.48</v>
      </c>
      <c r="F3026" s="85">
        <v>25243.16</v>
      </c>
      <c r="G3026" s="85">
        <v>6686.68</v>
      </c>
    </row>
    <row r="3027" spans="1:7" x14ac:dyDescent="0.3">
      <c r="A3027" s="84">
        <v>2026</v>
      </c>
      <c r="B3027" s="84" t="s">
        <v>397</v>
      </c>
      <c r="C3027" s="84">
        <v>11</v>
      </c>
      <c r="D3027" s="84">
        <v>26</v>
      </c>
      <c r="E3027" s="85">
        <v>18556.48</v>
      </c>
      <c r="F3027" s="85">
        <v>26622.44</v>
      </c>
      <c r="G3027" s="85">
        <v>8065.96</v>
      </c>
    </row>
    <row r="3028" spans="1:7" x14ac:dyDescent="0.3">
      <c r="A3028" s="84">
        <v>2026</v>
      </c>
      <c r="B3028" s="84" t="s">
        <v>397</v>
      </c>
      <c r="C3028" s="84">
        <v>11</v>
      </c>
      <c r="D3028" s="84">
        <v>27</v>
      </c>
      <c r="E3028" s="85">
        <v>18556.48</v>
      </c>
      <c r="F3028" s="85">
        <v>28331.7</v>
      </c>
      <c r="G3028" s="85">
        <v>9775.2199999999993</v>
      </c>
    </row>
    <row r="3029" spans="1:7" x14ac:dyDescent="0.3">
      <c r="A3029" s="84">
        <v>2026</v>
      </c>
      <c r="B3029" s="84" t="s">
        <v>397</v>
      </c>
      <c r="C3029" s="84">
        <v>11</v>
      </c>
      <c r="D3029" s="84">
        <v>28</v>
      </c>
      <c r="E3029" s="85">
        <v>18556.48</v>
      </c>
      <c r="F3029" s="85">
        <v>28972.2</v>
      </c>
      <c r="G3029" s="85">
        <v>10415.719999999999</v>
      </c>
    </row>
    <row r="3030" spans="1:7" x14ac:dyDescent="0.3">
      <c r="A3030" s="84">
        <v>2026</v>
      </c>
      <c r="B3030" s="84" t="s">
        <v>397</v>
      </c>
      <c r="C3030" s="84">
        <v>11</v>
      </c>
      <c r="D3030" s="84">
        <v>29</v>
      </c>
      <c r="E3030" s="85">
        <v>18556.48</v>
      </c>
      <c r="F3030" s="85">
        <v>29611.58</v>
      </c>
      <c r="G3030" s="85">
        <v>11055.1</v>
      </c>
    </row>
    <row r="3031" spans="1:7" x14ac:dyDescent="0.3">
      <c r="A3031" s="84">
        <v>2026</v>
      </c>
      <c r="B3031" s="84" t="s">
        <v>397</v>
      </c>
      <c r="C3031" s="84">
        <v>11</v>
      </c>
      <c r="D3031" s="84">
        <v>30</v>
      </c>
      <c r="E3031" s="85">
        <v>18556.48</v>
      </c>
      <c r="F3031" s="85">
        <v>31359.9</v>
      </c>
      <c r="G3031" s="85">
        <v>12803.42</v>
      </c>
    </row>
    <row r="3032" spans="1:7" x14ac:dyDescent="0.3">
      <c r="A3032" s="84">
        <v>2026</v>
      </c>
      <c r="B3032" s="84" t="s">
        <v>397</v>
      </c>
      <c r="C3032" s="84">
        <v>12</v>
      </c>
      <c r="D3032" s="84">
        <v>1</v>
      </c>
      <c r="E3032" s="85">
        <v>18950.02</v>
      </c>
      <c r="F3032" s="85">
        <v>16002.46</v>
      </c>
      <c r="G3032" s="85">
        <v>-2947.56</v>
      </c>
    </row>
    <row r="3033" spans="1:7" x14ac:dyDescent="0.3">
      <c r="A3033" s="84">
        <v>2026</v>
      </c>
      <c r="B3033" s="84" t="s">
        <v>397</v>
      </c>
      <c r="C3033" s="84">
        <v>12</v>
      </c>
      <c r="D3033" s="84">
        <v>2</v>
      </c>
      <c r="E3033" s="85">
        <v>18950.02</v>
      </c>
      <c r="F3033" s="85">
        <v>16296.88</v>
      </c>
      <c r="G3033" s="85">
        <v>-2653.14</v>
      </c>
    </row>
    <row r="3034" spans="1:7" x14ac:dyDescent="0.3">
      <c r="A3034" s="84">
        <v>2026</v>
      </c>
      <c r="B3034" s="84" t="s">
        <v>397</v>
      </c>
      <c r="C3034" s="84">
        <v>12</v>
      </c>
      <c r="D3034" s="84">
        <v>3</v>
      </c>
      <c r="E3034" s="85">
        <v>18950.02</v>
      </c>
      <c r="F3034" s="85">
        <v>16591.86</v>
      </c>
      <c r="G3034" s="85">
        <v>-2358.16</v>
      </c>
    </row>
    <row r="3035" spans="1:7" x14ac:dyDescent="0.3">
      <c r="A3035" s="84">
        <v>2026</v>
      </c>
      <c r="B3035" s="84" t="s">
        <v>397</v>
      </c>
      <c r="C3035" s="84">
        <v>12</v>
      </c>
      <c r="D3035" s="84">
        <v>4</v>
      </c>
      <c r="E3035" s="85">
        <v>18950.02</v>
      </c>
      <c r="F3035" s="85">
        <v>16886</v>
      </c>
      <c r="G3035" s="85">
        <v>-2064.02</v>
      </c>
    </row>
    <row r="3036" spans="1:7" x14ac:dyDescent="0.3">
      <c r="A3036" s="84">
        <v>2026</v>
      </c>
      <c r="B3036" s="84" t="s">
        <v>397</v>
      </c>
      <c r="C3036" s="84">
        <v>12</v>
      </c>
      <c r="D3036" s="84">
        <v>5</v>
      </c>
      <c r="E3036" s="85">
        <v>18950.02</v>
      </c>
      <c r="F3036" s="85">
        <v>17180.7</v>
      </c>
      <c r="G3036" s="85">
        <v>-1769.32</v>
      </c>
    </row>
    <row r="3037" spans="1:7" x14ac:dyDescent="0.3">
      <c r="A3037" s="84">
        <v>2026</v>
      </c>
      <c r="B3037" s="84" t="s">
        <v>397</v>
      </c>
      <c r="C3037" s="84">
        <v>12</v>
      </c>
      <c r="D3037" s="84">
        <v>6</v>
      </c>
      <c r="E3037" s="85">
        <v>18950.02</v>
      </c>
      <c r="F3037" s="85">
        <v>17377.400000000001</v>
      </c>
      <c r="G3037" s="85">
        <v>-1572.62</v>
      </c>
    </row>
    <row r="3038" spans="1:7" x14ac:dyDescent="0.3">
      <c r="A3038" s="84">
        <v>2026</v>
      </c>
      <c r="B3038" s="84" t="s">
        <v>397</v>
      </c>
      <c r="C3038" s="84">
        <v>12</v>
      </c>
      <c r="D3038" s="84">
        <v>7</v>
      </c>
      <c r="E3038" s="85">
        <v>18950.02</v>
      </c>
      <c r="F3038" s="85">
        <v>17574.099999999999</v>
      </c>
      <c r="G3038" s="85">
        <v>-1375.92</v>
      </c>
    </row>
    <row r="3039" spans="1:7" x14ac:dyDescent="0.3">
      <c r="A3039" s="84">
        <v>2026</v>
      </c>
      <c r="B3039" s="84" t="s">
        <v>397</v>
      </c>
      <c r="C3039" s="84">
        <v>12</v>
      </c>
      <c r="D3039" s="84">
        <v>8</v>
      </c>
      <c r="E3039" s="85">
        <v>18950.02</v>
      </c>
      <c r="F3039" s="85">
        <v>17770.38</v>
      </c>
      <c r="G3039" s="85">
        <v>-1179.6400000000001</v>
      </c>
    </row>
    <row r="3040" spans="1:7" x14ac:dyDescent="0.3">
      <c r="A3040" s="84">
        <v>2026</v>
      </c>
      <c r="B3040" s="84" t="s">
        <v>397</v>
      </c>
      <c r="C3040" s="84">
        <v>12</v>
      </c>
      <c r="D3040" s="84">
        <v>9</v>
      </c>
      <c r="E3040" s="85">
        <v>18950.02</v>
      </c>
      <c r="F3040" s="85">
        <v>17967.5</v>
      </c>
      <c r="G3040" s="85">
        <v>-982.52</v>
      </c>
    </row>
    <row r="3041" spans="1:7" x14ac:dyDescent="0.3">
      <c r="A3041" s="84">
        <v>2026</v>
      </c>
      <c r="B3041" s="84" t="s">
        <v>397</v>
      </c>
      <c r="C3041" s="84">
        <v>12</v>
      </c>
      <c r="D3041" s="84">
        <v>10</v>
      </c>
      <c r="E3041" s="85">
        <v>18950.02</v>
      </c>
      <c r="F3041" s="85">
        <v>18163.919999999998</v>
      </c>
      <c r="G3041" s="85">
        <v>-786.1</v>
      </c>
    </row>
    <row r="3042" spans="1:7" x14ac:dyDescent="0.3">
      <c r="A3042" s="84">
        <v>2026</v>
      </c>
      <c r="B3042" s="84" t="s">
        <v>397</v>
      </c>
      <c r="C3042" s="84">
        <v>12</v>
      </c>
      <c r="D3042" s="84">
        <v>11</v>
      </c>
      <c r="E3042" s="85">
        <v>18950.02</v>
      </c>
      <c r="F3042" s="85">
        <v>18556.48</v>
      </c>
      <c r="G3042" s="85">
        <v>-393.54</v>
      </c>
    </row>
    <row r="3043" spans="1:7" x14ac:dyDescent="0.3">
      <c r="A3043" s="84">
        <v>2026</v>
      </c>
      <c r="B3043" s="84" t="s">
        <v>397</v>
      </c>
      <c r="C3043" s="84">
        <v>12</v>
      </c>
      <c r="D3043" s="84">
        <v>12</v>
      </c>
      <c r="E3043" s="85">
        <v>18950.02</v>
      </c>
      <c r="F3043" s="85">
        <v>18950.02</v>
      </c>
      <c r="G3043" s="85">
        <v>0</v>
      </c>
    </row>
    <row r="3044" spans="1:7" x14ac:dyDescent="0.3">
      <c r="A3044" s="84">
        <v>2026</v>
      </c>
      <c r="B3044" s="84" t="s">
        <v>397</v>
      </c>
      <c r="C3044" s="84">
        <v>12</v>
      </c>
      <c r="D3044" s="84">
        <v>13</v>
      </c>
      <c r="E3044" s="85">
        <v>18950.02</v>
      </c>
      <c r="F3044" s="85">
        <v>19343.28</v>
      </c>
      <c r="G3044" s="85">
        <v>393.26</v>
      </c>
    </row>
    <row r="3045" spans="1:7" x14ac:dyDescent="0.3">
      <c r="A3045" s="84">
        <v>2026</v>
      </c>
      <c r="B3045" s="84" t="s">
        <v>397</v>
      </c>
      <c r="C3045" s="84">
        <v>12</v>
      </c>
      <c r="D3045" s="84">
        <v>14</v>
      </c>
      <c r="E3045" s="85">
        <v>18950.02</v>
      </c>
      <c r="F3045" s="85">
        <v>19737.099999999999</v>
      </c>
      <c r="G3045" s="85">
        <v>787.08</v>
      </c>
    </row>
    <row r="3046" spans="1:7" x14ac:dyDescent="0.3">
      <c r="A3046" s="84">
        <v>2026</v>
      </c>
      <c r="B3046" s="84" t="s">
        <v>397</v>
      </c>
      <c r="C3046" s="84">
        <v>12</v>
      </c>
      <c r="D3046" s="84">
        <v>15</v>
      </c>
      <c r="E3046" s="85">
        <v>18950.02</v>
      </c>
      <c r="F3046" s="85">
        <v>20129.38</v>
      </c>
      <c r="G3046" s="85">
        <v>1179.3599999999999</v>
      </c>
    </row>
    <row r="3047" spans="1:7" x14ac:dyDescent="0.3">
      <c r="A3047" s="84">
        <v>2026</v>
      </c>
      <c r="B3047" s="84" t="s">
        <v>397</v>
      </c>
      <c r="C3047" s="84">
        <v>12</v>
      </c>
      <c r="D3047" s="84">
        <v>16</v>
      </c>
      <c r="E3047" s="85">
        <v>18950.02</v>
      </c>
      <c r="F3047" s="85">
        <v>20523.34</v>
      </c>
      <c r="G3047" s="85">
        <v>1573.32</v>
      </c>
    </row>
    <row r="3048" spans="1:7" x14ac:dyDescent="0.3">
      <c r="A3048" s="84">
        <v>2026</v>
      </c>
      <c r="B3048" s="84" t="s">
        <v>397</v>
      </c>
      <c r="C3048" s="84">
        <v>12</v>
      </c>
      <c r="D3048" s="84">
        <v>17</v>
      </c>
      <c r="E3048" s="85">
        <v>18950.02</v>
      </c>
      <c r="F3048" s="85">
        <v>20915.62</v>
      </c>
      <c r="G3048" s="85">
        <v>1965.6</v>
      </c>
    </row>
    <row r="3049" spans="1:7" x14ac:dyDescent="0.3">
      <c r="A3049" s="84">
        <v>2026</v>
      </c>
      <c r="B3049" s="84" t="s">
        <v>397</v>
      </c>
      <c r="C3049" s="84">
        <v>12</v>
      </c>
      <c r="D3049" s="84">
        <v>18</v>
      </c>
      <c r="E3049" s="85">
        <v>18950.02</v>
      </c>
      <c r="F3049" s="85">
        <v>21309.16</v>
      </c>
      <c r="G3049" s="85">
        <v>2359.14</v>
      </c>
    </row>
    <row r="3050" spans="1:7" x14ac:dyDescent="0.3">
      <c r="A3050" s="84">
        <v>2026</v>
      </c>
      <c r="B3050" s="84" t="s">
        <v>397</v>
      </c>
      <c r="C3050" s="84">
        <v>12</v>
      </c>
      <c r="D3050" s="84">
        <v>19</v>
      </c>
      <c r="E3050" s="85">
        <v>18950.02</v>
      </c>
      <c r="F3050" s="85">
        <v>21702.28</v>
      </c>
      <c r="G3050" s="85">
        <v>2752.26</v>
      </c>
    </row>
    <row r="3051" spans="1:7" x14ac:dyDescent="0.3">
      <c r="A3051" s="84">
        <v>2026</v>
      </c>
      <c r="B3051" s="84" t="s">
        <v>397</v>
      </c>
      <c r="C3051" s="84">
        <v>12</v>
      </c>
      <c r="D3051" s="84">
        <v>20</v>
      </c>
      <c r="E3051" s="85">
        <v>18950.02</v>
      </c>
      <c r="F3051" s="85">
        <v>22095.26</v>
      </c>
      <c r="G3051" s="85">
        <v>3145.24</v>
      </c>
    </row>
    <row r="3052" spans="1:7" x14ac:dyDescent="0.3">
      <c r="A3052" s="84">
        <v>2026</v>
      </c>
      <c r="B3052" s="84" t="s">
        <v>397</v>
      </c>
      <c r="C3052" s="84">
        <v>12</v>
      </c>
      <c r="D3052" s="84">
        <v>21</v>
      </c>
      <c r="E3052" s="85">
        <v>18950.02</v>
      </c>
      <c r="F3052" s="85">
        <v>22684.66</v>
      </c>
      <c r="G3052" s="85">
        <v>3734.64</v>
      </c>
    </row>
    <row r="3053" spans="1:7" x14ac:dyDescent="0.3">
      <c r="A3053" s="84">
        <v>2026</v>
      </c>
      <c r="B3053" s="84" t="s">
        <v>397</v>
      </c>
      <c r="C3053" s="84">
        <v>12</v>
      </c>
      <c r="D3053" s="84">
        <v>22</v>
      </c>
      <c r="E3053" s="85">
        <v>18950.02</v>
      </c>
      <c r="F3053" s="85">
        <v>23323.34</v>
      </c>
      <c r="G3053" s="85">
        <v>4373.32</v>
      </c>
    </row>
    <row r="3054" spans="1:7" x14ac:dyDescent="0.3">
      <c r="A3054" s="84">
        <v>2026</v>
      </c>
      <c r="B3054" s="84" t="s">
        <v>397</v>
      </c>
      <c r="C3054" s="84">
        <v>12</v>
      </c>
      <c r="D3054" s="84">
        <v>23</v>
      </c>
      <c r="E3054" s="85">
        <v>18950.02</v>
      </c>
      <c r="F3054" s="85">
        <v>23963.84</v>
      </c>
      <c r="G3054" s="85">
        <v>5013.82</v>
      </c>
    </row>
    <row r="3055" spans="1:7" x14ac:dyDescent="0.3">
      <c r="A3055" s="84">
        <v>2026</v>
      </c>
      <c r="B3055" s="84" t="s">
        <v>397</v>
      </c>
      <c r="C3055" s="84">
        <v>12</v>
      </c>
      <c r="D3055" s="84">
        <v>24</v>
      </c>
      <c r="E3055" s="85">
        <v>18950.02</v>
      </c>
      <c r="F3055" s="85">
        <v>24603.08</v>
      </c>
      <c r="G3055" s="85">
        <v>5653.06</v>
      </c>
    </row>
    <row r="3056" spans="1:7" x14ac:dyDescent="0.3">
      <c r="A3056" s="84">
        <v>2026</v>
      </c>
      <c r="B3056" s="84" t="s">
        <v>397</v>
      </c>
      <c r="C3056" s="84">
        <v>12</v>
      </c>
      <c r="D3056" s="84">
        <v>25</v>
      </c>
      <c r="E3056" s="85">
        <v>18950.02</v>
      </c>
      <c r="F3056" s="85">
        <v>25243.16</v>
      </c>
      <c r="G3056" s="85">
        <v>6293.14</v>
      </c>
    </row>
    <row r="3057" spans="1:7" x14ac:dyDescent="0.3">
      <c r="A3057" s="84">
        <v>2026</v>
      </c>
      <c r="B3057" s="84" t="s">
        <v>397</v>
      </c>
      <c r="C3057" s="84">
        <v>12</v>
      </c>
      <c r="D3057" s="84">
        <v>26</v>
      </c>
      <c r="E3057" s="85">
        <v>18950.02</v>
      </c>
      <c r="F3057" s="85">
        <v>26622.44</v>
      </c>
      <c r="G3057" s="85">
        <v>7672.42</v>
      </c>
    </row>
    <row r="3058" spans="1:7" x14ac:dyDescent="0.3">
      <c r="A3058" s="84">
        <v>2026</v>
      </c>
      <c r="B3058" s="84" t="s">
        <v>397</v>
      </c>
      <c r="C3058" s="84">
        <v>12</v>
      </c>
      <c r="D3058" s="84">
        <v>27</v>
      </c>
      <c r="E3058" s="85">
        <v>18950.02</v>
      </c>
      <c r="F3058" s="85">
        <v>28331.7</v>
      </c>
      <c r="G3058" s="85">
        <v>9381.68</v>
      </c>
    </row>
    <row r="3059" spans="1:7" x14ac:dyDescent="0.3">
      <c r="A3059" s="84">
        <v>2026</v>
      </c>
      <c r="B3059" s="84" t="s">
        <v>397</v>
      </c>
      <c r="C3059" s="84">
        <v>12</v>
      </c>
      <c r="D3059" s="84">
        <v>28</v>
      </c>
      <c r="E3059" s="85">
        <v>18950.02</v>
      </c>
      <c r="F3059" s="85">
        <v>28972.2</v>
      </c>
      <c r="G3059" s="85">
        <v>10022.18</v>
      </c>
    </row>
    <row r="3060" spans="1:7" x14ac:dyDescent="0.3">
      <c r="A3060" s="84">
        <v>2026</v>
      </c>
      <c r="B3060" s="84" t="s">
        <v>397</v>
      </c>
      <c r="C3060" s="84">
        <v>12</v>
      </c>
      <c r="D3060" s="84">
        <v>29</v>
      </c>
      <c r="E3060" s="85">
        <v>18950.02</v>
      </c>
      <c r="F3060" s="85">
        <v>29611.58</v>
      </c>
      <c r="G3060" s="85">
        <v>10661.56</v>
      </c>
    </row>
    <row r="3061" spans="1:7" x14ac:dyDescent="0.3">
      <c r="A3061" s="84">
        <v>2026</v>
      </c>
      <c r="B3061" s="84" t="s">
        <v>397</v>
      </c>
      <c r="C3061" s="84">
        <v>12</v>
      </c>
      <c r="D3061" s="84">
        <v>30</v>
      </c>
      <c r="E3061" s="85">
        <v>18950.02</v>
      </c>
      <c r="F3061" s="85">
        <v>31359.9</v>
      </c>
      <c r="G3061" s="85">
        <v>12409.88</v>
      </c>
    </row>
    <row r="3062" spans="1:7" x14ac:dyDescent="0.3">
      <c r="A3062" s="84">
        <v>2026</v>
      </c>
      <c r="B3062" s="84" t="s">
        <v>397</v>
      </c>
      <c r="C3062" s="84">
        <v>13</v>
      </c>
      <c r="D3062" s="84">
        <v>1</v>
      </c>
      <c r="E3062" s="85">
        <v>19343.28</v>
      </c>
      <c r="F3062" s="85">
        <v>16002.46</v>
      </c>
      <c r="G3062" s="85">
        <v>-3340.82</v>
      </c>
    </row>
    <row r="3063" spans="1:7" x14ac:dyDescent="0.3">
      <c r="A3063" s="84">
        <v>2026</v>
      </c>
      <c r="B3063" s="84" t="s">
        <v>397</v>
      </c>
      <c r="C3063" s="84">
        <v>13</v>
      </c>
      <c r="D3063" s="84">
        <v>2</v>
      </c>
      <c r="E3063" s="85">
        <v>19343.28</v>
      </c>
      <c r="F3063" s="85">
        <v>16296.88</v>
      </c>
      <c r="G3063" s="85">
        <v>-3046.4</v>
      </c>
    </row>
    <row r="3064" spans="1:7" x14ac:dyDescent="0.3">
      <c r="A3064" s="84">
        <v>2026</v>
      </c>
      <c r="B3064" s="84" t="s">
        <v>397</v>
      </c>
      <c r="C3064" s="84">
        <v>13</v>
      </c>
      <c r="D3064" s="84">
        <v>3</v>
      </c>
      <c r="E3064" s="85">
        <v>19343.28</v>
      </c>
      <c r="F3064" s="85">
        <v>16591.86</v>
      </c>
      <c r="G3064" s="85">
        <v>-2751.42</v>
      </c>
    </row>
    <row r="3065" spans="1:7" x14ac:dyDescent="0.3">
      <c r="A3065" s="84">
        <v>2026</v>
      </c>
      <c r="B3065" s="84" t="s">
        <v>397</v>
      </c>
      <c r="C3065" s="84">
        <v>13</v>
      </c>
      <c r="D3065" s="84">
        <v>4</v>
      </c>
      <c r="E3065" s="85">
        <v>19343.28</v>
      </c>
      <c r="F3065" s="85">
        <v>16886</v>
      </c>
      <c r="G3065" s="85">
        <v>-2457.2800000000002</v>
      </c>
    </row>
    <row r="3066" spans="1:7" x14ac:dyDescent="0.3">
      <c r="A3066" s="84">
        <v>2026</v>
      </c>
      <c r="B3066" s="84" t="s">
        <v>397</v>
      </c>
      <c r="C3066" s="84">
        <v>13</v>
      </c>
      <c r="D3066" s="84">
        <v>5</v>
      </c>
      <c r="E3066" s="85">
        <v>19343.28</v>
      </c>
      <c r="F3066" s="85">
        <v>17180.7</v>
      </c>
      <c r="G3066" s="85">
        <v>-2162.58</v>
      </c>
    </row>
    <row r="3067" spans="1:7" x14ac:dyDescent="0.3">
      <c r="A3067" s="84">
        <v>2026</v>
      </c>
      <c r="B3067" s="84" t="s">
        <v>397</v>
      </c>
      <c r="C3067" s="84">
        <v>13</v>
      </c>
      <c r="D3067" s="84">
        <v>6</v>
      </c>
      <c r="E3067" s="85">
        <v>19343.28</v>
      </c>
      <c r="F3067" s="85">
        <v>17377.400000000001</v>
      </c>
      <c r="G3067" s="85">
        <v>-1965.88</v>
      </c>
    </row>
    <row r="3068" spans="1:7" x14ac:dyDescent="0.3">
      <c r="A3068" s="84">
        <v>2026</v>
      </c>
      <c r="B3068" s="84" t="s">
        <v>397</v>
      </c>
      <c r="C3068" s="84">
        <v>13</v>
      </c>
      <c r="D3068" s="84">
        <v>7</v>
      </c>
      <c r="E3068" s="85">
        <v>19343.28</v>
      </c>
      <c r="F3068" s="85">
        <v>17574.099999999999</v>
      </c>
      <c r="G3068" s="85">
        <v>-1769.18</v>
      </c>
    </row>
    <row r="3069" spans="1:7" x14ac:dyDescent="0.3">
      <c r="A3069" s="84">
        <v>2026</v>
      </c>
      <c r="B3069" s="84" t="s">
        <v>397</v>
      </c>
      <c r="C3069" s="84">
        <v>13</v>
      </c>
      <c r="D3069" s="84">
        <v>8</v>
      </c>
      <c r="E3069" s="85">
        <v>19343.28</v>
      </c>
      <c r="F3069" s="85">
        <v>17770.38</v>
      </c>
      <c r="G3069" s="85">
        <v>-1572.9</v>
      </c>
    </row>
    <row r="3070" spans="1:7" x14ac:dyDescent="0.3">
      <c r="A3070" s="84">
        <v>2026</v>
      </c>
      <c r="B3070" s="84" t="s">
        <v>397</v>
      </c>
      <c r="C3070" s="84">
        <v>13</v>
      </c>
      <c r="D3070" s="84">
        <v>9</v>
      </c>
      <c r="E3070" s="85">
        <v>19343.28</v>
      </c>
      <c r="F3070" s="85">
        <v>17967.5</v>
      </c>
      <c r="G3070" s="85">
        <v>-1375.78</v>
      </c>
    </row>
    <row r="3071" spans="1:7" x14ac:dyDescent="0.3">
      <c r="A3071" s="84">
        <v>2026</v>
      </c>
      <c r="B3071" s="84" t="s">
        <v>397</v>
      </c>
      <c r="C3071" s="84">
        <v>13</v>
      </c>
      <c r="D3071" s="84">
        <v>10</v>
      </c>
      <c r="E3071" s="85">
        <v>19343.28</v>
      </c>
      <c r="F3071" s="85">
        <v>18163.919999999998</v>
      </c>
      <c r="G3071" s="85">
        <v>-1179.3599999999999</v>
      </c>
    </row>
    <row r="3072" spans="1:7" x14ac:dyDescent="0.3">
      <c r="A3072" s="84">
        <v>2026</v>
      </c>
      <c r="B3072" s="84" t="s">
        <v>397</v>
      </c>
      <c r="C3072" s="84">
        <v>13</v>
      </c>
      <c r="D3072" s="84">
        <v>11</v>
      </c>
      <c r="E3072" s="85">
        <v>19343.28</v>
      </c>
      <c r="F3072" s="85">
        <v>18556.48</v>
      </c>
      <c r="G3072" s="85">
        <v>-786.8</v>
      </c>
    </row>
    <row r="3073" spans="1:7" x14ac:dyDescent="0.3">
      <c r="A3073" s="84">
        <v>2026</v>
      </c>
      <c r="B3073" s="84" t="s">
        <v>397</v>
      </c>
      <c r="C3073" s="84">
        <v>13</v>
      </c>
      <c r="D3073" s="84">
        <v>12</v>
      </c>
      <c r="E3073" s="85">
        <v>19343.28</v>
      </c>
      <c r="F3073" s="85">
        <v>18950.02</v>
      </c>
      <c r="G3073" s="85">
        <v>-393.26</v>
      </c>
    </row>
    <row r="3074" spans="1:7" x14ac:dyDescent="0.3">
      <c r="A3074" s="84">
        <v>2026</v>
      </c>
      <c r="B3074" s="84" t="s">
        <v>397</v>
      </c>
      <c r="C3074" s="84">
        <v>13</v>
      </c>
      <c r="D3074" s="84">
        <v>13</v>
      </c>
      <c r="E3074" s="85">
        <v>19343.28</v>
      </c>
      <c r="F3074" s="85">
        <v>19343.28</v>
      </c>
      <c r="G3074" s="85">
        <v>0</v>
      </c>
    </row>
    <row r="3075" spans="1:7" x14ac:dyDescent="0.3">
      <c r="A3075" s="84">
        <v>2026</v>
      </c>
      <c r="B3075" s="84" t="s">
        <v>397</v>
      </c>
      <c r="C3075" s="84">
        <v>13</v>
      </c>
      <c r="D3075" s="84">
        <v>14</v>
      </c>
      <c r="E3075" s="85">
        <v>19343.28</v>
      </c>
      <c r="F3075" s="85">
        <v>19737.099999999999</v>
      </c>
      <c r="G3075" s="85">
        <v>393.82</v>
      </c>
    </row>
    <row r="3076" spans="1:7" x14ac:dyDescent="0.3">
      <c r="A3076" s="84">
        <v>2026</v>
      </c>
      <c r="B3076" s="84" t="s">
        <v>397</v>
      </c>
      <c r="C3076" s="84">
        <v>13</v>
      </c>
      <c r="D3076" s="84">
        <v>15</v>
      </c>
      <c r="E3076" s="85">
        <v>19343.28</v>
      </c>
      <c r="F3076" s="85">
        <v>20129.38</v>
      </c>
      <c r="G3076" s="85">
        <v>786.1</v>
      </c>
    </row>
    <row r="3077" spans="1:7" x14ac:dyDescent="0.3">
      <c r="A3077" s="84">
        <v>2026</v>
      </c>
      <c r="B3077" s="84" t="s">
        <v>397</v>
      </c>
      <c r="C3077" s="84">
        <v>13</v>
      </c>
      <c r="D3077" s="84">
        <v>16</v>
      </c>
      <c r="E3077" s="85">
        <v>19343.28</v>
      </c>
      <c r="F3077" s="85">
        <v>20523.34</v>
      </c>
      <c r="G3077" s="85">
        <v>1180.06</v>
      </c>
    </row>
    <row r="3078" spans="1:7" x14ac:dyDescent="0.3">
      <c r="A3078" s="84">
        <v>2026</v>
      </c>
      <c r="B3078" s="84" t="s">
        <v>397</v>
      </c>
      <c r="C3078" s="84">
        <v>13</v>
      </c>
      <c r="D3078" s="84">
        <v>17</v>
      </c>
      <c r="E3078" s="85">
        <v>19343.28</v>
      </c>
      <c r="F3078" s="85">
        <v>20915.62</v>
      </c>
      <c r="G3078" s="85">
        <v>1572.34</v>
      </c>
    </row>
    <row r="3079" spans="1:7" x14ac:dyDescent="0.3">
      <c r="A3079" s="84">
        <v>2026</v>
      </c>
      <c r="B3079" s="84" t="s">
        <v>397</v>
      </c>
      <c r="C3079" s="84">
        <v>13</v>
      </c>
      <c r="D3079" s="84">
        <v>18</v>
      </c>
      <c r="E3079" s="85">
        <v>19343.28</v>
      </c>
      <c r="F3079" s="85">
        <v>21309.16</v>
      </c>
      <c r="G3079" s="85">
        <v>1965.88</v>
      </c>
    </row>
    <row r="3080" spans="1:7" x14ac:dyDescent="0.3">
      <c r="A3080" s="84">
        <v>2026</v>
      </c>
      <c r="B3080" s="84" t="s">
        <v>397</v>
      </c>
      <c r="C3080" s="84">
        <v>13</v>
      </c>
      <c r="D3080" s="84">
        <v>19</v>
      </c>
      <c r="E3080" s="85">
        <v>19343.28</v>
      </c>
      <c r="F3080" s="85">
        <v>21702.28</v>
      </c>
      <c r="G3080" s="85">
        <v>2359</v>
      </c>
    </row>
    <row r="3081" spans="1:7" x14ac:dyDescent="0.3">
      <c r="A3081" s="84">
        <v>2026</v>
      </c>
      <c r="B3081" s="84" t="s">
        <v>397</v>
      </c>
      <c r="C3081" s="84">
        <v>13</v>
      </c>
      <c r="D3081" s="84">
        <v>20</v>
      </c>
      <c r="E3081" s="85">
        <v>19343.28</v>
      </c>
      <c r="F3081" s="85">
        <v>22095.26</v>
      </c>
      <c r="G3081" s="85">
        <v>2751.98</v>
      </c>
    </row>
    <row r="3082" spans="1:7" x14ac:dyDescent="0.3">
      <c r="A3082" s="84">
        <v>2026</v>
      </c>
      <c r="B3082" s="84" t="s">
        <v>397</v>
      </c>
      <c r="C3082" s="84">
        <v>13</v>
      </c>
      <c r="D3082" s="84">
        <v>21</v>
      </c>
      <c r="E3082" s="85">
        <v>19343.28</v>
      </c>
      <c r="F3082" s="85">
        <v>22684.66</v>
      </c>
      <c r="G3082" s="85">
        <v>3341.38</v>
      </c>
    </row>
    <row r="3083" spans="1:7" x14ac:dyDescent="0.3">
      <c r="A3083" s="84">
        <v>2026</v>
      </c>
      <c r="B3083" s="84" t="s">
        <v>397</v>
      </c>
      <c r="C3083" s="84">
        <v>13</v>
      </c>
      <c r="D3083" s="84">
        <v>22</v>
      </c>
      <c r="E3083" s="85">
        <v>19343.28</v>
      </c>
      <c r="F3083" s="85">
        <v>23323.34</v>
      </c>
      <c r="G3083" s="85">
        <v>3980.06</v>
      </c>
    </row>
    <row r="3084" spans="1:7" x14ac:dyDescent="0.3">
      <c r="A3084" s="84">
        <v>2026</v>
      </c>
      <c r="B3084" s="84" t="s">
        <v>397</v>
      </c>
      <c r="C3084" s="84">
        <v>13</v>
      </c>
      <c r="D3084" s="84">
        <v>23</v>
      </c>
      <c r="E3084" s="85">
        <v>19343.28</v>
      </c>
      <c r="F3084" s="85">
        <v>23963.84</v>
      </c>
      <c r="G3084" s="85">
        <v>4620.5600000000004</v>
      </c>
    </row>
    <row r="3085" spans="1:7" x14ac:dyDescent="0.3">
      <c r="A3085" s="84">
        <v>2026</v>
      </c>
      <c r="B3085" s="84" t="s">
        <v>397</v>
      </c>
      <c r="C3085" s="84">
        <v>13</v>
      </c>
      <c r="D3085" s="84">
        <v>24</v>
      </c>
      <c r="E3085" s="85">
        <v>19343.28</v>
      </c>
      <c r="F3085" s="85">
        <v>24603.08</v>
      </c>
      <c r="G3085" s="85">
        <v>5259.8</v>
      </c>
    </row>
    <row r="3086" spans="1:7" x14ac:dyDescent="0.3">
      <c r="A3086" s="84">
        <v>2026</v>
      </c>
      <c r="B3086" s="84" t="s">
        <v>397</v>
      </c>
      <c r="C3086" s="84">
        <v>13</v>
      </c>
      <c r="D3086" s="84">
        <v>25</v>
      </c>
      <c r="E3086" s="85">
        <v>19343.28</v>
      </c>
      <c r="F3086" s="85">
        <v>25243.16</v>
      </c>
      <c r="G3086" s="85">
        <v>5899.88</v>
      </c>
    </row>
    <row r="3087" spans="1:7" x14ac:dyDescent="0.3">
      <c r="A3087" s="84">
        <v>2026</v>
      </c>
      <c r="B3087" s="84" t="s">
        <v>397</v>
      </c>
      <c r="C3087" s="84">
        <v>13</v>
      </c>
      <c r="D3087" s="84">
        <v>26</v>
      </c>
      <c r="E3087" s="85">
        <v>19343.28</v>
      </c>
      <c r="F3087" s="85">
        <v>26622.44</v>
      </c>
      <c r="G3087" s="85">
        <v>7279.16</v>
      </c>
    </row>
    <row r="3088" spans="1:7" x14ac:dyDescent="0.3">
      <c r="A3088" s="84">
        <v>2026</v>
      </c>
      <c r="B3088" s="84" t="s">
        <v>397</v>
      </c>
      <c r="C3088" s="84">
        <v>13</v>
      </c>
      <c r="D3088" s="84">
        <v>27</v>
      </c>
      <c r="E3088" s="85">
        <v>19343.28</v>
      </c>
      <c r="F3088" s="85">
        <v>28331.7</v>
      </c>
      <c r="G3088" s="85">
        <v>8988.42</v>
      </c>
    </row>
    <row r="3089" spans="1:7" x14ac:dyDescent="0.3">
      <c r="A3089" s="84">
        <v>2026</v>
      </c>
      <c r="B3089" s="84" t="s">
        <v>397</v>
      </c>
      <c r="C3089" s="84">
        <v>13</v>
      </c>
      <c r="D3089" s="84">
        <v>28</v>
      </c>
      <c r="E3089" s="85">
        <v>19343.28</v>
      </c>
      <c r="F3089" s="85">
        <v>28972.2</v>
      </c>
      <c r="G3089" s="85">
        <v>9628.92</v>
      </c>
    </row>
    <row r="3090" spans="1:7" x14ac:dyDescent="0.3">
      <c r="A3090" s="84">
        <v>2026</v>
      </c>
      <c r="B3090" s="84" t="s">
        <v>397</v>
      </c>
      <c r="C3090" s="84">
        <v>13</v>
      </c>
      <c r="D3090" s="84">
        <v>29</v>
      </c>
      <c r="E3090" s="85">
        <v>19343.28</v>
      </c>
      <c r="F3090" s="85">
        <v>29611.58</v>
      </c>
      <c r="G3090" s="85">
        <v>10268.299999999999</v>
      </c>
    </row>
    <row r="3091" spans="1:7" x14ac:dyDescent="0.3">
      <c r="A3091" s="84">
        <v>2026</v>
      </c>
      <c r="B3091" s="84" t="s">
        <v>397</v>
      </c>
      <c r="C3091" s="84">
        <v>13</v>
      </c>
      <c r="D3091" s="84">
        <v>30</v>
      </c>
      <c r="E3091" s="85">
        <v>19343.28</v>
      </c>
      <c r="F3091" s="85">
        <v>31359.9</v>
      </c>
      <c r="G3091" s="85">
        <v>12016.62</v>
      </c>
    </row>
    <row r="3092" spans="1:7" x14ac:dyDescent="0.3">
      <c r="A3092" s="84">
        <v>2026</v>
      </c>
      <c r="B3092" s="84" t="s">
        <v>397</v>
      </c>
      <c r="C3092" s="84">
        <v>14</v>
      </c>
      <c r="D3092" s="84">
        <v>1</v>
      </c>
      <c r="E3092" s="85">
        <v>19737.099999999999</v>
      </c>
      <c r="F3092" s="85">
        <v>16002.46</v>
      </c>
      <c r="G3092" s="85">
        <v>-3734.64</v>
      </c>
    </row>
    <row r="3093" spans="1:7" x14ac:dyDescent="0.3">
      <c r="A3093" s="84">
        <v>2026</v>
      </c>
      <c r="B3093" s="84" t="s">
        <v>397</v>
      </c>
      <c r="C3093" s="84">
        <v>14</v>
      </c>
      <c r="D3093" s="84">
        <v>2</v>
      </c>
      <c r="E3093" s="85">
        <v>19737.099999999999</v>
      </c>
      <c r="F3093" s="85">
        <v>16296.88</v>
      </c>
      <c r="G3093" s="85">
        <v>-3440.22</v>
      </c>
    </row>
    <row r="3094" spans="1:7" x14ac:dyDescent="0.3">
      <c r="A3094" s="84">
        <v>2026</v>
      </c>
      <c r="B3094" s="84" t="s">
        <v>397</v>
      </c>
      <c r="C3094" s="84">
        <v>14</v>
      </c>
      <c r="D3094" s="84">
        <v>3</v>
      </c>
      <c r="E3094" s="85">
        <v>19737.099999999999</v>
      </c>
      <c r="F3094" s="85">
        <v>16591.86</v>
      </c>
      <c r="G3094" s="85">
        <v>-3145.24</v>
      </c>
    </row>
    <row r="3095" spans="1:7" x14ac:dyDescent="0.3">
      <c r="A3095" s="84">
        <v>2026</v>
      </c>
      <c r="B3095" s="84" t="s">
        <v>397</v>
      </c>
      <c r="C3095" s="84">
        <v>14</v>
      </c>
      <c r="D3095" s="84">
        <v>4</v>
      </c>
      <c r="E3095" s="85">
        <v>19737.099999999999</v>
      </c>
      <c r="F3095" s="85">
        <v>16886</v>
      </c>
      <c r="G3095" s="85">
        <v>-2851.1</v>
      </c>
    </row>
    <row r="3096" spans="1:7" x14ac:dyDescent="0.3">
      <c r="A3096" s="84">
        <v>2026</v>
      </c>
      <c r="B3096" s="84" t="s">
        <v>397</v>
      </c>
      <c r="C3096" s="84">
        <v>14</v>
      </c>
      <c r="D3096" s="84">
        <v>5</v>
      </c>
      <c r="E3096" s="85">
        <v>19737.099999999999</v>
      </c>
      <c r="F3096" s="85">
        <v>17180.7</v>
      </c>
      <c r="G3096" s="85">
        <v>-2556.4</v>
      </c>
    </row>
    <row r="3097" spans="1:7" x14ac:dyDescent="0.3">
      <c r="A3097" s="84">
        <v>2026</v>
      </c>
      <c r="B3097" s="84" t="s">
        <v>397</v>
      </c>
      <c r="C3097" s="84">
        <v>14</v>
      </c>
      <c r="D3097" s="84">
        <v>6</v>
      </c>
      <c r="E3097" s="85">
        <v>19737.099999999999</v>
      </c>
      <c r="F3097" s="85">
        <v>17377.400000000001</v>
      </c>
      <c r="G3097" s="85">
        <v>-2359.6999999999998</v>
      </c>
    </row>
    <row r="3098" spans="1:7" x14ac:dyDescent="0.3">
      <c r="A3098" s="84">
        <v>2026</v>
      </c>
      <c r="B3098" s="84" t="s">
        <v>397</v>
      </c>
      <c r="C3098" s="84">
        <v>14</v>
      </c>
      <c r="D3098" s="84">
        <v>7</v>
      </c>
      <c r="E3098" s="85">
        <v>19737.099999999999</v>
      </c>
      <c r="F3098" s="85">
        <v>17574.099999999999</v>
      </c>
      <c r="G3098" s="85">
        <v>-2163</v>
      </c>
    </row>
    <row r="3099" spans="1:7" x14ac:dyDescent="0.3">
      <c r="A3099" s="84">
        <v>2026</v>
      </c>
      <c r="B3099" s="84" t="s">
        <v>397</v>
      </c>
      <c r="C3099" s="84">
        <v>14</v>
      </c>
      <c r="D3099" s="84">
        <v>8</v>
      </c>
      <c r="E3099" s="85">
        <v>19737.099999999999</v>
      </c>
      <c r="F3099" s="85">
        <v>17770.38</v>
      </c>
      <c r="G3099" s="85">
        <v>-1966.72</v>
      </c>
    </row>
    <row r="3100" spans="1:7" x14ac:dyDescent="0.3">
      <c r="A3100" s="84">
        <v>2026</v>
      </c>
      <c r="B3100" s="84" t="s">
        <v>397</v>
      </c>
      <c r="C3100" s="84">
        <v>14</v>
      </c>
      <c r="D3100" s="84">
        <v>9</v>
      </c>
      <c r="E3100" s="85">
        <v>19737.099999999999</v>
      </c>
      <c r="F3100" s="85">
        <v>17967.5</v>
      </c>
      <c r="G3100" s="85">
        <v>-1769.6</v>
      </c>
    </row>
    <row r="3101" spans="1:7" x14ac:dyDescent="0.3">
      <c r="A3101" s="84">
        <v>2026</v>
      </c>
      <c r="B3101" s="84" t="s">
        <v>397</v>
      </c>
      <c r="C3101" s="84">
        <v>14</v>
      </c>
      <c r="D3101" s="84">
        <v>10</v>
      </c>
      <c r="E3101" s="85">
        <v>19737.099999999999</v>
      </c>
      <c r="F3101" s="85">
        <v>18163.919999999998</v>
      </c>
      <c r="G3101" s="85">
        <v>-1573.18</v>
      </c>
    </row>
    <row r="3102" spans="1:7" x14ac:dyDescent="0.3">
      <c r="A3102" s="84">
        <v>2026</v>
      </c>
      <c r="B3102" s="84" t="s">
        <v>397</v>
      </c>
      <c r="C3102" s="84">
        <v>14</v>
      </c>
      <c r="D3102" s="84">
        <v>11</v>
      </c>
      <c r="E3102" s="85">
        <v>19737.099999999999</v>
      </c>
      <c r="F3102" s="85">
        <v>18556.48</v>
      </c>
      <c r="G3102" s="85">
        <v>-1180.6199999999999</v>
      </c>
    </row>
    <row r="3103" spans="1:7" x14ac:dyDescent="0.3">
      <c r="A3103" s="84">
        <v>2026</v>
      </c>
      <c r="B3103" s="84" t="s">
        <v>397</v>
      </c>
      <c r="C3103" s="84">
        <v>14</v>
      </c>
      <c r="D3103" s="84">
        <v>12</v>
      </c>
      <c r="E3103" s="85">
        <v>19737.099999999999</v>
      </c>
      <c r="F3103" s="85">
        <v>18950.02</v>
      </c>
      <c r="G3103" s="85">
        <v>-787.08</v>
      </c>
    </row>
    <row r="3104" spans="1:7" x14ac:dyDescent="0.3">
      <c r="A3104" s="84">
        <v>2026</v>
      </c>
      <c r="B3104" s="84" t="s">
        <v>397</v>
      </c>
      <c r="C3104" s="84">
        <v>14</v>
      </c>
      <c r="D3104" s="84">
        <v>13</v>
      </c>
      <c r="E3104" s="85">
        <v>19737.099999999999</v>
      </c>
      <c r="F3104" s="85">
        <v>19343.28</v>
      </c>
      <c r="G3104" s="85">
        <v>-393.82</v>
      </c>
    </row>
    <row r="3105" spans="1:7" x14ac:dyDescent="0.3">
      <c r="A3105" s="84">
        <v>2026</v>
      </c>
      <c r="B3105" s="84" t="s">
        <v>397</v>
      </c>
      <c r="C3105" s="84">
        <v>14</v>
      </c>
      <c r="D3105" s="84">
        <v>14</v>
      </c>
      <c r="E3105" s="85">
        <v>19737.099999999999</v>
      </c>
      <c r="F3105" s="85">
        <v>19737.099999999999</v>
      </c>
      <c r="G3105" s="85">
        <v>0</v>
      </c>
    </row>
    <row r="3106" spans="1:7" x14ac:dyDescent="0.3">
      <c r="A3106" s="84">
        <v>2026</v>
      </c>
      <c r="B3106" s="84" t="s">
        <v>397</v>
      </c>
      <c r="C3106" s="84">
        <v>14</v>
      </c>
      <c r="D3106" s="84">
        <v>15</v>
      </c>
      <c r="E3106" s="85">
        <v>19737.099999999999</v>
      </c>
      <c r="F3106" s="85">
        <v>20129.38</v>
      </c>
      <c r="G3106" s="85">
        <v>392.28</v>
      </c>
    </row>
    <row r="3107" spans="1:7" x14ac:dyDescent="0.3">
      <c r="A3107" s="84">
        <v>2026</v>
      </c>
      <c r="B3107" s="84" t="s">
        <v>397</v>
      </c>
      <c r="C3107" s="84">
        <v>14</v>
      </c>
      <c r="D3107" s="84">
        <v>16</v>
      </c>
      <c r="E3107" s="85">
        <v>19737.099999999999</v>
      </c>
      <c r="F3107" s="85">
        <v>20523.34</v>
      </c>
      <c r="G3107" s="85">
        <v>786.24</v>
      </c>
    </row>
    <row r="3108" spans="1:7" x14ac:dyDescent="0.3">
      <c r="A3108" s="84">
        <v>2026</v>
      </c>
      <c r="B3108" s="84" t="s">
        <v>397</v>
      </c>
      <c r="C3108" s="84">
        <v>14</v>
      </c>
      <c r="D3108" s="84">
        <v>17</v>
      </c>
      <c r="E3108" s="85">
        <v>19737.099999999999</v>
      </c>
      <c r="F3108" s="85">
        <v>20915.62</v>
      </c>
      <c r="G3108" s="85">
        <v>1178.52</v>
      </c>
    </row>
    <row r="3109" spans="1:7" x14ac:dyDescent="0.3">
      <c r="A3109" s="84">
        <v>2026</v>
      </c>
      <c r="B3109" s="84" t="s">
        <v>397</v>
      </c>
      <c r="C3109" s="84">
        <v>14</v>
      </c>
      <c r="D3109" s="84">
        <v>18</v>
      </c>
      <c r="E3109" s="85">
        <v>19737.099999999999</v>
      </c>
      <c r="F3109" s="85">
        <v>21309.16</v>
      </c>
      <c r="G3109" s="85">
        <v>1572.06</v>
      </c>
    </row>
    <row r="3110" spans="1:7" x14ac:dyDescent="0.3">
      <c r="A3110" s="84">
        <v>2026</v>
      </c>
      <c r="B3110" s="84" t="s">
        <v>397</v>
      </c>
      <c r="C3110" s="84">
        <v>14</v>
      </c>
      <c r="D3110" s="84">
        <v>19</v>
      </c>
      <c r="E3110" s="85">
        <v>19737.099999999999</v>
      </c>
      <c r="F3110" s="85">
        <v>21702.28</v>
      </c>
      <c r="G3110" s="85">
        <v>1965.18</v>
      </c>
    </row>
    <row r="3111" spans="1:7" x14ac:dyDescent="0.3">
      <c r="A3111" s="84">
        <v>2026</v>
      </c>
      <c r="B3111" s="84" t="s">
        <v>397</v>
      </c>
      <c r="C3111" s="84">
        <v>14</v>
      </c>
      <c r="D3111" s="84">
        <v>20</v>
      </c>
      <c r="E3111" s="85">
        <v>19737.099999999999</v>
      </c>
      <c r="F3111" s="85">
        <v>22095.26</v>
      </c>
      <c r="G3111" s="85">
        <v>2358.16</v>
      </c>
    </row>
    <row r="3112" spans="1:7" x14ac:dyDescent="0.3">
      <c r="A3112" s="84">
        <v>2026</v>
      </c>
      <c r="B3112" s="84" t="s">
        <v>397</v>
      </c>
      <c r="C3112" s="84">
        <v>14</v>
      </c>
      <c r="D3112" s="84">
        <v>21</v>
      </c>
      <c r="E3112" s="85">
        <v>19737.099999999999</v>
      </c>
      <c r="F3112" s="85">
        <v>22684.66</v>
      </c>
      <c r="G3112" s="85">
        <v>2947.56</v>
      </c>
    </row>
    <row r="3113" spans="1:7" x14ac:dyDescent="0.3">
      <c r="A3113" s="84">
        <v>2026</v>
      </c>
      <c r="B3113" s="84" t="s">
        <v>397</v>
      </c>
      <c r="C3113" s="84">
        <v>14</v>
      </c>
      <c r="D3113" s="84">
        <v>22</v>
      </c>
      <c r="E3113" s="85">
        <v>19737.099999999999</v>
      </c>
      <c r="F3113" s="85">
        <v>23323.34</v>
      </c>
      <c r="G3113" s="85">
        <v>3586.24</v>
      </c>
    </row>
    <row r="3114" spans="1:7" x14ac:dyDescent="0.3">
      <c r="A3114" s="84">
        <v>2026</v>
      </c>
      <c r="B3114" s="84" t="s">
        <v>397</v>
      </c>
      <c r="C3114" s="84">
        <v>14</v>
      </c>
      <c r="D3114" s="84">
        <v>23</v>
      </c>
      <c r="E3114" s="85">
        <v>19737.099999999999</v>
      </c>
      <c r="F3114" s="85">
        <v>23963.84</v>
      </c>
      <c r="G3114" s="85">
        <v>4226.74</v>
      </c>
    </row>
    <row r="3115" spans="1:7" x14ac:dyDescent="0.3">
      <c r="A3115" s="84">
        <v>2026</v>
      </c>
      <c r="B3115" s="84" t="s">
        <v>397</v>
      </c>
      <c r="C3115" s="84">
        <v>14</v>
      </c>
      <c r="D3115" s="84">
        <v>24</v>
      </c>
      <c r="E3115" s="85">
        <v>19737.099999999999</v>
      </c>
      <c r="F3115" s="85">
        <v>24603.08</v>
      </c>
      <c r="G3115" s="85">
        <v>4865.9799999999996</v>
      </c>
    </row>
    <row r="3116" spans="1:7" x14ac:dyDescent="0.3">
      <c r="A3116" s="84">
        <v>2026</v>
      </c>
      <c r="B3116" s="84" t="s">
        <v>397</v>
      </c>
      <c r="C3116" s="84">
        <v>14</v>
      </c>
      <c r="D3116" s="84">
        <v>25</v>
      </c>
      <c r="E3116" s="85">
        <v>19737.099999999999</v>
      </c>
      <c r="F3116" s="85">
        <v>25243.16</v>
      </c>
      <c r="G3116" s="85">
        <v>5506.06</v>
      </c>
    </row>
    <row r="3117" spans="1:7" x14ac:dyDescent="0.3">
      <c r="A3117" s="84">
        <v>2026</v>
      </c>
      <c r="B3117" s="84" t="s">
        <v>397</v>
      </c>
      <c r="C3117" s="84">
        <v>14</v>
      </c>
      <c r="D3117" s="84">
        <v>26</v>
      </c>
      <c r="E3117" s="85">
        <v>19737.099999999999</v>
      </c>
      <c r="F3117" s="85">
        <v>26622.44</v>
      </c>
      <c r="G3117" s="85">
        <v>6885.34</v>
      </c>
    </row>
    <row r="3118" spans="1:7" x14ac:dyDescent="0.3">
      <c r="A3118" s="84">
        <v>2026</v>
      </c>
      <c r="B3118" s="84" t="s">
        <v>397</v>
      </c>
      <c r="C3118" s="84">
        <v>14</v>
      </c>
      <c r="D3118" s="84">
        <v>27</v>
      </c>
      <c r="E3118" s="85">
        <v>19737.099999999999</v>
      </c>
      <c r="F3118" s="85">
        <v>28331.7</v>
      </c>
      <c r="G3118" s="85">
        <v>8594.6</v>
      </c>
    </row>
    <row r="3119" spans="1:7" x14ac:dyDescent="0.3">
      <c r="A3119" s="84">
        <v>2026</v>
      </c>
      <c r="B3119" s="84" t="s">
        <v>397</v>
      </c>
      <c r="C3119" s="84">
        <v>14</v>
      </c>
      <c r="D3119" s="84">
        <v>28</v>
      </c>
      <c r="E3119" s="85">
        <v>19737.099999999999</v>
      </c>
      <c r="F3119" s="85">
        <v>28972.2</v>
      </c>
      <c r="G3119" s="85">
        <v>9235.1</v>
      </c>
    </row>
    <row r="3120" spans="1:7" x14ac:dyDescent="0.3">
      <c r="A3120" s="84">
        <v>2026</v>
      </c>
      <c r="B3120" s="84" t="s">
        <v>397</v>
      </c>
      <c r="C3120" s="84">
        <v>14</v>
      </c>
      <c r="D3120" s="84">
        <v>29</v>
      </c>
      <c r="E3120" s="85">
        <v>19737.099999999999</v>
      </c>
      <c r="F3120" s="85">
        <v>29611.58</v>
      </c>
      <c r="G3120" s="85">
        <v>9874.48</v>
      </c>
    </row>
    <row r="3121" spans="1:7" x14ac:dyDescent="0.3">
      <c r="A3121" s="84">
        <v>2026</v>
      </c>
      <c r="B3121" s="84" t="s">
        <v>397</v>
      </c>
      <c r="C3121" s="84">
        <v>14</v>
      </c>
      <c r="D3121" s="84">
        <v>30</v>
      </c>
      <c r="E3121" s="85">
        <v>19737.099999999999</v>
      </c>
      <c r="F3121" s="85">
        <v>31359.9</v>
      </c>
      <c r="G3121" s="85">
        <v>11622.8</v>
      </c>
    </row>
    <row r="3122" spans="1:7" x14ac:dyDescent="0.3">
      <c r="A3122" s="84">
        <v>2026</v>
      </c>
      <c r="B3122" s="84" t="s">
        <v>397</v>
      </c>
      <c r="C3122" s="84">
        <v>15</v>
      </c>
      <c r="D3122" s="84">
        <v>1</v>
      </c>
      <c r="E3122" s="85">
        <v>20129.38</v>
      </c>
      <c r="F3122" s="85">
        <v>16002.46</v>
      </c>
      <c r="G3122" s="85">
        <v>-4126.92</v>
      </c>
    </row>
    <row r="3123" spans="1:7" x14ac:dyDescent="0.3">
      <c r="A3123" s="84">
        <v>2026</v>
      </c>
      <c r="B3123" s="84" t="s">
        <v>397</v>
      </c>
      <c r="C3123" s="84">
        <v>15</v>
      </c>
      <c r="D3123" s="84">
        <v>2</v>
      </c>
      <c r="E3123" s="85">
        <v>20129.38</v>
      </c>
      <c r="F3123" s="85">
        <v>16296.88</v>
      </c>
      <c r="G3123" s="85">
        <v>-3832.5</v>
      </c>
    </row>
    <row r="3124" spans="1:7" x14ac:dyDescent="0.3">
      <c r="A3124" s="84">
        <v>2026</v>
      </c>
      <c r="B3124" s="84" t="s">
        <v>397</v>
      </c>
      <c r="C3124" s="84">
        <v>15</v>
      </c>
      <c r="D3124" s="84">
        <v>3</v>
      </c>
      <c r="E3124" s="85">
        <v>20129.38</v>
      </c>
      <c r="F3124" s="85">
        <v>16591.86</v>
      </c>
      <c r="G3124" s="85">
        <v>-3537.52</v>
      </c>
    </row>
    <row r="3125" spans="1:7" x14ac:dyDescent="0.3">
      <c r="A3125" s="84">
        <v>2026</v>
      </c>
      <c r="B3125" s="84" t="s">
        <v>397</v>
      </c>
      <c r="C3125" s="84">
        <v>15</v>
      </c>
      <c r="D3125" s="84">
        <v>4</v>
      </c>
      <c r="E3125" s="85">
        <v>20129.38</v>
      </c>
      <c r="F3125" s="85">
        <v>16886</v>
      </c>
      <c r="G3125" s="85">
        <v>-3243.38</v>
      </c>
    </row>
    <row r="3126" spans="1:7" x14ac:dyDescent="0.3">
      <c r="A3126" s="84">
        <v>2026</v>
      </c>
      <c r="B3126" s="84" t="s">
        <v>397</v>
      </c>
      <c r="C3126" s="84">
        <v>15</v>
      </c>
      <c r="D3126" s="84">
        <v>5</v>
      </c>
      <c r="E3126" s="85">
        <v>20129.38</v>
      </c>
      <c r="F3126" s="85">
        <v>17180.7</v>
      </c>
      <c r="G3126" s="85">
        <v>-2948.68</v>
      </c>
    </row>
    <row r="3127" spans="1:7" x14ac:dyDescent="0.3">
      <c r="A3127" s="84">
        <v>2026</v>
      </c>
      <c r="B3127" s="84" t="s">
        <v>397</v>
      </c>
      <c r="C3127" s="84">
        <v>15</v>
      </c>
      <c r="D3127" s="84">
        <v>6</v>
      </c>
      <c r="E3127" s="85">
        <v>20129.38</v>
      </c>
      <c r="F3127" s="85">
        <v>17377.400000000001</v>
      </c>
      <c r="G3127" s="85">
        <v>-2751.98</v>
      </c>
    </row>
    <row r="3128" spans="1:7" x14ac:dyDescent="0.3">
      <c r="A3128" s="84">
        <v>2026</v>
      </c>
      <c r="B3128" s="84" t="s">
        <v>397</v>
      </c>
      <c r="C3128" s="84">
        <v>15</v>
      </c>
      <c r="D3128" s="84">
        <v>7</v>
      </c>
      <c r="E3128" s="85">
        <v>20129.38</v>
      </c>
      <c r="F3128" s="85">
        <v>17574.099999999999</v>
      </c>
      <c r="G3128" s="85">
        <v>-2555.2800000000002</v>
      </c>
    </row>
    <row r="3129" spans="1:7" x14ac:dyDescent="0.3">
      <c r="A3129" s="84">
        <v>2026</v>
      </c>
      <c r="B3129" s="84" t="s">
        <v>397</v>
      </c>
      <c r="C3129" s="84">
        <v>15</v>
      </c>
      <c r="D3129" s="84">
        <v>8</v>
      </c>
      <c r="E3129" s="85">
        <v>20129.38</v>
      </c>
      <c r="F3129" s="85">
        <v>17770.38</v>
      </c>
      <c r="G3129" s="85">
        <v>-2359</v>
      </c>
    </row>
    <row r="3130" spans="1:7" x14ac:dyDescent="0.3">
      <c r="A3130" s="84">
        <v>2026</v>
      </c>
      <c r="B3130" s="84" t="s">
        <v>397</v>
      </c>
      <c r="C3130" s="84">
        <v>15</v>
      </c>
      <c r="D3130" s="84">
        <v>9</v>
      </c>
      <c r="E3130" s="85">
        <v>20129.38</v>
      </c>
      <c r="F3130" s="85">
        <v>17967.5</v>
      </c>
      <c r="G3130" s="85">
        <v>-2161.88</v>
      </c>
    </row>
    <row r="3131" spans="1:7" x14ac:dyDescent="0.3">
      <c r="A3131" s="84">
        <v>2026</v>
      </c>
      <c r="B3131" s="84" t="s">
        <v>397</v>
      </c>
      <c r="C3131" s="84">
        <v>15</v>
      </c>
      <c r="D3131" s="84">
        <v>10</v>
      </c>
      <c r="E3131" s="85">
        <v>20129.38</v>
      </c>
      <c r="F3131" s="85">
        <v>18163.919999999998</v>
      </c>
      <c r="G3131" s="85">
        <v>-1965.46</v>
      </c>
    </row>
    <row r="3132" spans="1:7" x14ac:dyDescent="0.3">
      <c r="A3132" s="84">
        <v>2026</v>
      </c>
      <c r="B3132" s="84" t="s">
        <v>397</v>
      </c>
      <c r="C3132" s="84">
        <v>15</v>
      </c>
      <c r="D3132" s="84">
        <v>11</v>
      </c>
      <c r="E3132" s="85">
        <v>20129.38</v>
      </c>
      <c r="F3132" s="85">
        <v>18556.48</v>
      </c>
      <c r="G3132" s="85">
        <v>-1572.9</v>
      </c>
    </row>
    <row r="3133" spans="1:7" x14ac:dyDescent="0.3">
      <c r="A3133" s="84">
        <v>2026</v>
      </c>
      <c r="B3133" s="84" t="s">
        <v>397</v>
      </c>
      <c r="C3133" s="84">
        <v>15</v>
      </c>
      <c r="D3133" s="84">
        <v>12</v>
      </c>
      <c r="E3133" s="85">
        <v>20129.38</v>
      </c>
      <c r="F3133" s="85">
        <v>18950.02</v>
      </c>
      <c r="G3133" s="85">
        <v>-1179.3599999999999</v>
      </c>
    </row>
    <row r="3134" spans="1:7" x14ac:dyDescent="0.3">
      <c r="A3134" s="84">
        <v>2026</v>
      </c>
      <c r="B3134" s="84" t="s">
        <v>397</v>
      </c>
      <c r="C3134" s="84">
        <v>15</v>
      </c>
      <c r="D3134" s="84">
        <v>13</v>
      </c>
      <c r="E3134" s="85">
        <v>20129.38</v>
      </c>
      <c r="F3134" s="85">
        <v>19343.28</v>
      </c>
      <c r="G3134" s="85">
        <v>-786.1</v>
      </c>
    </row>
    <row r="3135" spans="1:7" x14ac:dyDescent="0.3">
      <c r="A3135" s="84">
        <v>2026</v>
      </c>
      <c r="B3135" s="84" t="s">
        <v>397</v>
      </c>
      <c r="C3135" s="84">
        <v>15</v>
      </c>
      <c r="D3135" s="84">
        <v>14</v>
      </c>
      <c r="E3135" s="85">
        <v>20129.38</v>
      </c>
      <c r="F3135" s="85">
        <v>19737.099999999999</v>
      </c>
      <c r="G3135" s="85">
        <v>-392.28</v>
      </c>
    </row>
    <row r="3136" spans="1:7" x14ac:dyDescent="0.3">
      <c r="A3136" s="84">
        <v>2026</v>
      </c>
      <c r="B3136" s="84" t="s">
        <v>397</v>
      </c>
      <c r="C3136" s="84">
        <v>15</v>
      </c>
      <c r="D3136" s="84">
        <v>15</v>
      </c>
      <c r="E3136" s="85">
        <v>20129.38</v>
      </c>
      <c r="F3136" s="85">
        <v>20129.38</v>
      </c>
      <c r="G3136" s="85">
        <v>0</v>
      </c>
    </row>
    <row r="3137" spans="1:7" x14ac:dyDescent="0.3">
      <c r="A3137" s="84">
        <v>2026</v>
      </c>
      <c r="B3137" s="84" t="s">
        <v>397</v>
      </c>
      <c r="C3137" s="84">
        <v>15</v>
      </c>
      <c r="D3137" s="84">
        <v>16</v>
      </c>
      <c r="E3137" s="85">
        <v>20129.38</v>
      </c>
      <c r="F3137" s="85">
        <v>20523.34</v>
      </c>
      <c r="G3137" s="85">
        <v>393.96</v>
      </c>
    </row>
    <row r="3138" spans="1:7" x14ac:dyDescent="0.3">
      <c r="A3138" s="84">
        <v>2026</v>
      </c>
      <c r="B3138" s="84" t="s">
        <v>397</v>
      </c>
      <c r="C3138" s="84">
        <v>15</v>
      </c>
      <c r="D3138" s="84">
        <v>17</v>
      </c>
      <c r="E3138" s="85">
        <v>20129.38</v>
      </c>
      <c r="F3138" s="85">
        <v>20915.62</v>
      </c>
      <c r="G3138" s="85">
        <v>786.24</v>
      </c>
    </row>
    <row r="3139" spans="1:7" x14ac:dyDescent="0.3">
      <c r="A3139" s="84">
        <v>2026</v>
      </c>
      <c r="B3139" s="84" t="s">
        <v>397</v>
      </c>
      <c r="C3139" s="84">
        <v>15</v>
      </c>
      <c r="D3139" s="84">
        <v>18</v>
      </c>
      <c r="E3139" s="85">
        <v>20129.38</v>
      </c>
      <c r="F3139" s="85">
        <v>21309.16</v>
      </c>
      <c r="G3139" s="85">
        <v>1179.78</v>
      </c>
    </row>
    <row r="3140" spans="1:7" x14ac:dyDescent="0.3">
      <c r="A3140" s="84">
        <v>2026</v>
      </c>
      <c r="B3140" s="84" t="s">
        <v>397</v>
      </c>
      <c r="C3140" s="84">
        <v>15</v>
      </c>
      <c r="D3140" s="84">
        <v>19</v>
      </c>
      <c r="E3140" s="85">
        <v>20129.38</v>
      </c>
      <c r="F3140" s="85">
        <v>21702.28</v>
      </c>
      <c r="G3140" s="85">
        <v>1572.9</v>
      </c>
    </row>
    <row r="3141" spans="1:7" x14ac:dyDescent="0.3">
      <c r="A3141" s="84">
        <v>2026</v>
      </c>
      <c r="B3141" s="84" t="s">
        <v>397</v>
      </c>
      <c r="C3141" s="84">
        <v>15</v>
      </c>
      <c r="D3141" s="84">
        <v>20</v>
      </c>
      <c r="E3141" s="85">
        <v>20129.38</v>
      </c>
      <c r="F3141" s="85">
        <v>22095.26</v>
      </c>
      <c r="G3141" s="85">
        <v>1965.88</v>
      </c>
    </row>
    <row r="3142" spans="1:7" x14ac:dyDescent="0.3">
      <c r="A3142" s="84">
        <v>2026</v>
      </c>
      <c r="B3142" s="84" t="s">
        <v>397</v>
      </c>
      <c r="C3142" s="84">
        <v>15</v>
      </c>
      <c r="D3142" s="84">
        <v>21</v>
      </c>
      <c r="E3142" s="85">
        <v>20129.38</v>
      </c>
      <c r="F3142" s="85">
        <v>22684.66</v>
      </c>
      <c r="G3142" s="85">
        <v>2555.2800000000002</v>
      </c>
    </row>
    <row r="3143" spans="1:7" x14ac:dyDescent="0.3">
      <c r="A3143" s="84">
        <v>2026</v>
      </c>
      <c r="B3143" s="84" t="s">
        <v>397</v>
      </c>
      <c r="C3143" s="84">
        <v>15</v>
      </c>
      <c r="D3143" s="84">
        <v>22</v>
      </c>
      <c r="E3143" s="85">
        <v>20129.38</v>
      </c>
      <c r="F3143" s="85">
        <v>23323.34</v>
      </c>
      <c r="G3143" s="85">
        <v>3193.96</v>
      </c>
    </row>
    <row r="3144" spans="1:7" x14ac:dyDescent="0.3">
      <c r="A3144" s="84">
        <v>2026</v>
      </c>
      <c r="B3144" s="84" t="s">
        <v>397</v>
      </c>
      <c r="C3144" s="84">
        <v>15</v>
      </c>
      <c r="D3144" s="84">
        <v>23</v>
      </c>
      <c r="E3144" s="85">
        <v>20129.38</v>
      </c>
      <c r="F3144" s="85">
        <v>23963.84</v>
      </c>
      <c r="G3144" s="85">
        <v>3834.46</v>
      </c>
    </row>
    <row r="3145" spans="1:7" x14ac:dyDescent="0.3">
      <c r="A3145" s="84">
        <v>2026</v>
      </c>
      <c r="B3145" s="84" t="s">
        <v>397</v>
      </c>
      <c r="C3145" s="84">
        <v>15</v>
      </c>
      <c r="D3145" s="84">
        <v>24</v>
      </c>
      <c r="E3145" s="85">
        <v>20129.38</v>
      </c>
      <c r="F3145" s="85">
        <v>24603.08</v>
      </c>
      <c r="G3145" s="85">
        <v>4473.7</v>
      </c>
    </row>
    <row r="3146" spans="1:7" x14ac:dyDescent="0.3">
      <c r="A3146" s="84">
        <v>2026</v>
      </c>
      <c r="B3146" s="84" t="s">
        <v>397</v>
      </c>
      <c r="C3146" s="84">
        <v>15</v>
      </c>
      <c r="D3146" s="84">
        <v>25</v>
      </c>
      <c r="E3146" s="85">
        <v>20129.38</v>
      </c>
      <c r="F3146" s="85">
        <v>25243.16</v>
      </c>
      <c r="G3146" s="85">
        <v>5113.78</v>
      </c>
    </row>
    <row r="3147" spans="1:7" x14ac:dyDescent="0.3">
      <c r="A3147" s="84">
        <v>2026</v>
      </c>
      <c r="B3147" s="84" t="s">
        <v>397</v>
      </c>
      <c r="C3147" s="84">
        <v>15</v>
      </c>
      <c r="D3147" s="84">
        <v>26</v>
      </c>
      <c r="E3147" s="85">
        <v>20129.38</v>
      </c>
      <c r="F3147" s="85">
        <v>26622.44</v>
      </c>
      <c r="G3147" s="85">
        <v>6493.06</v>
      </c>
    </row>
    <row r="3148" spans="1:7" x14ac:dyDescent="0.3">
      <c r="A3148" s="84">
        <v>2026</v>
      </c>
      <c r="B3148" s="84" t="s">
        <v>397</v>
      </c>
      <c r="C3148" s="84">
        <v>15</v>
      </c>
      <c r="D3148" s="84">
        <v>27</v>
      </c>
      <c r="E3148" s="85">
        <v>20129.38</v>
      </c>
      <c r="F3148" s="85">
        <v>28331.7</v>
      </c>
      <c r="G3148" s="85">
        <v>8202.32</v>
      </c>
    </row>
    <row r="3149" spans="1:7" x14ac:dyDescent="0.3">
      <c r="A3149" s="84">
        <v>2026</v>
      </c>
      <c r="B3149" s="84" t="s">
        <v>397</v>
      </c>
      <c r="C3149" s="84">
        <v>15</v>
      </c>
      <c r="D3149" s="84">
        <v>28</v>
      </c>
      <c r="E3149" s="85">
        <v>20129.38</v>
      </c>
      <c r="F3149" s="85">
        <v>28972.2</v>
      </c>
      <c r="G3149" s="85">
        <v>8842.82</v>
      </c>
    </row>
    <row r="3150" spans="1:7" x14ac:dyDescent="0.3">
      <c r="A3150" s="84">
        <v>2026</v>
      </c>
      <c r="B3150" s="84" t="s">
        <v>397</v>
      </c>
      <c r="C3150" s="84">
        <v>15</v>
      </c>
      <c r="D3150" s="84">
        <v>29</v>
      </c>
      <c r="E3150" s="85">
        <v>20129.38</v>
      </c>
      <c r="F3150" s="85">
        <v>29611.58</v>
      </c>
      <c r="G3150" s="85">
        <v>9482.2000000000007</v>
      </c>
    </row>
    <row r="3151" spans="1:7" x14ac:dyDescent="0.3">
      <c r="A3151" s="84">
        <v>2026</v>
      </c>
      <c r="B3151" s="84" t="s">
        <v>397</v>
      </c>
      <c r="C3151" s="84">
        <v>15</v>
      </c>
      <c r="D3151" s="84">
        <v>30</v>
      </c>
      <c r="E3151" s="85">
        <v>20129.38</v>
      </c>
      <c r="F3151" s="85">
        <v>31359.9</v>
      </c>
      <c r="G3151" s="85">
        <v>11230.52</v>
      </c>
    </row>
    <row r="3152" spans="1:7" x14ac:dyDescent="0.3">
      <c r="A3152" s="84">
        <v>2026</v>
      </c>
      <c r="B3152" s="84" t="s">
        <v>397</v>
      </c>
      <c r="C3152" s="84">
        <v>16</v>
      </c>
      <c r="D3152" s="84">
        <v>1</v>
      </c>
      <c r="E3152" s="85">
        <v>20523.34</v>
      </c>
      <c r="F3152" s="85">
        <v>16002.46</v>
      </c>
      <c r="G3152" s="85">
        <v>-4520.88</v>
      </c>
    </row>
    <row r="3153" spans="1:7" x14ac:dyDescent="0.3">
      <c r="A3153" s="84">
        <v>2026</v>
      </c>
      <c r="B3153" s="84" t="s">
        <v>397</v>
      </c>
      <c r="C3153" s="84">
        <v>16</v>
      </c>
      <c r="D3153" s="84">
        <v>2</v>
      </c>
      <c r="E3153" s="85">
        <v>20523.34</v>
      </c>
      <c r="F3153" s="85">
        <v>16296.88</v>
      </c>
      <c r="G3153" s="85">
        <v>-4226.46</v>
      </c>
    </row>
    <row r="3154" spans="1:7" x14ac:dyDescent="0.3">
      <c r="A3154" s="84">
        <v>2026</v>
      </c>
      <c r="B3154" s="84" t="s">
        <v>397</v>
      </c>
      <c r="C3154" s="84">
        <v>16</v>
      </c>
      <c r="D3154" s="84">
        <v>3</v>
      </c>
      <c r="E3154" s="85">
        <v>20523.34</v>
      </c>
      <c r="F3154" s="85">
        <v>16591.86</v>
      </c>
      <c r="G3154" s="85">
        <v>-3931.48</v>
      </c>
    </row>
    <row r="3155" spans="1:7" x14ac:dyDescent="0.3">
      <c r="A3155" s="84">
        <v>2026</v>
      </c>
      <c r="B3155" s="84" t="s">
        <v>397</v>
      </c>
      <c r="C3155" s="84">
        <v>16</v>
      </c>
      <c r="D3155" s="84">
        <v>4</v>
      </c>
      <c r="E3155" s="85">
        <v>20523.34</v>
      </c>
      <c r="F3155" s="85">
        <v>16886</v>
      </c>
      <c r="G3155" s="85">
        <v>-3637.34</v>
      </c>
    </row>
    <row r="3156" spans="1:7" x14ac:dyDescent="0.3">
      <c r="A3156" s="84">
        <v>2026</v>
      </c>
      <c r="B3156" s="84" t="s">
        <v>397</v>
      </c>
      <c r="C3156" s="84">
        <v>16</v>
      </c>
      <c r="D3156" s="84">
        <v>5</v>
      </c>
      <c r="E3156" s="85">
        <v>20523.34</v>
      </c>
      <c r="F3156" s="85">
        <v>17180.7</v>
      </c>
      <c r="G3156" s="85">
        <v>-3342.64</v>
      </c>
    </row>
    <row r="3157" spans="1:7" x14ac:dyDescent="0.3">
      <c r="A3157" s="84">
        <v>2026</v>
      </c>
      <c r="B3157" s="84" t="s">
        <v>397</v>
      </c>
      <c r="C3157" s="84">
        <v>16</v>
      </c>
      <c r="D3157" s="84">
        <v>6</v>
      </c>
      <c r="E3157" s="85">
        <v>20523.34</v>
      </c>
      <c r="F3157" s="85">
        <v>17377.400000000001</v>
      </c>
      <c r="G3157" s="85">
        <v>-3145.94</v>
      </c>
    </row>
    <row r="3158" spans="1:7" x14ac:dyDescent="0.3">
      <c r="A3158" s="84">
        <v>2026</v>
      </c>
      <c r="B3158" s="84" t="s">
        <v>397</v>
      </c>
      <c r="C3158" s="84">
        <v>16</v>
      </c>
      <c r="D3158" s="84">
        <v>7</v>
      </c>
      <c r="E3158" s="85">
        <v>20523.34</v>
      </c>
      <c r="F3158" s="85">
        <v>17574.099999999999</v>
      </c>
      <c r="G3158" s="85">
        <v>-2949.24</v>
      </c>
    </row>
    <row r="3159" spans="1:7" x14ac:dyDescent="0.3">
      <c r="A3159" s="84">
        <v>2026</v>
      </c>
      <c r="B3159" s="84" t="s">
        <v>397</v>
      </c>
      <c r="C3159" s="84">
        <v>16</v>
      </c>
      <c r="D3159" s="84">
        <v>8</v>
      </c>
      <c r="E3159" s="85">
        <v>20523.34</v>
      </c>
      <c r="F3159" s="85">
        <v>17770.38</v>
      </c>
      <c r="G3159" s="85">
        <v>-2752.96</v>
      </c>
    </row>
    <row r="3160" spans="1:7" x14ac:dyDescent="0.3">
      <c r="A3160" s="84">
        <v>2026</v>
      </c>
      <c r="B3160" s="84" t="s">
        <v>397</v>
      </c>
      <c r="C3160" s="84">
        <v>16</v>
      </c>
      <c r="D3160" s="84">
        <v>9</v>
      </c>
      <c r="E3160" s="85">
        <v>20523.34</v>
      </c>
      <c r="F3160" s="85">
        <v>17967.5</v>
      </c>
      <c r="G3160" s="85">
        <v>-2555.84</v>
      </c>
    </row>
    <row r="3161" spans="1:7" x14ac:dyDescent="0.3">
      <c r="A3161" s="84">
        <v>2026</v>
      </c>
      <c r="B3161" s="84" t="s">
        <v>397</v>
      </c>
      <c r="C3161" s="84">
        <v>16</v>
      </c>
      <c r="D3161" s="84">
        <v>10</v>
      </c>
      <c r="E3161" s="85">
        <v>20523.34</v>
      </c>
      <c r="F3161" s="85">
        <v>18163.919999999998</v>
      </c>
      <c r="G3161" s="85">
        <v>-2359.42</v>
      </c>
    </row>
    <row r="3162" spans="1:7" x14ac:dyDescent="0.3">
      <c r="A3162" s="84">
        <v>2026</v>
      </c>
      <c r="B3162" s="84" t="s">
        <v>397</v>
      </c>
      <c r="C3162" s="84">
        <v>16</v>
      </c>
      <c r="D3162" s="84">
        <v>11</v>
      </c>
      <c r="E3162" s="85">
        <v>20523.34</v>
      </c>
      <c r="F3162" s="85">
        <v>18556.48</v>
      </c>
      <c r="G3162" s="85">
        <v>-1966.86</v>
      </c>
    </row>
    <row r="3163" spans="1:7" x14ac:dyDescent="0.3">
      <c r="A3163" s="84">
        <v>2026</v>
      </c>
      <c r="B3163" s="84" t="s">
        <v>397</v>
      </c>
      <c r="C3163" s="84">
        <v>16</v>
      </c>
      <c r="D3163" s="84">
        <v>12</v>
      </c>
      <c r="E3163" s="85">
        <v>20523.34</v>
      </c>
      <c r="F3163" s="85">
        <v>18950.02</v>
      </c>
      <c r="G3163" s="85">
        <v>-1573.32</v>
      </c>
    </row>
    <row r="3164" spans="1:7" x14ac:dyDescent="0.3">
      <c r="A3164" s="84">
        <v>2026</v>
      </c>
      <c r="B3164" s="84" t="s">
        <v>397</v>
      </c>
      <c r="C3164" s="84">
        <v>16</v>
      </c>
      <c r="D3164" s="84">
        <v>13</v>
      </c>
      <c r="E3164" s="85">
        <v>20523.34</v>
      </c>
      <c r="F3164" s="85">
        <v>19343.28</v>
      </c>
      <c r="G3164" s="85">
        <v>-1180.06</v>
      </c>
    </row>
    <row r="3165" spans="1:7" x14ac:dyDescent="0.3">
      <c r="A3165" s="84">
        <v>2026</v>
      </c>
      <c r="B3165" s="84" t="s">
        <v>397</v>
      </c>
      <c r="C3165" s="84">
        <v>16</v>
      </c>
      <c r="D3165" s="84">
        <v>14</v>
      </c>
      <c r="E3165" s="85">
        <v>20523.34</v>
      </c>
      <c r="F3165" s="85">
        <v>19737.099999999999</v>
      </c>
      <c r="G3165" s="85">
        <v>-786.24</v>
      </c>
    </row>
    <row r="3166" spans="1:7" x14ac:dyDescent="0.3">
      <c r="A3166" s="84">
        <v>2026</v>
      </c>
      <c r="B3166" s="84" t="s">
        <v>397</v>
      </c>
      <c r="C3166" s="84">
        <v>16</v>
      </c>
      <c r="D3166" s="84">
        <v>15</v>
      </c>
      <c r="E3166" s="85">
        <v>20523.34</v>
      </c>
      <c r="F3166" s="85">
        <v>20129.38</v>
      </c>
      <c r="G3166" s="85">
        <v>-393.96</v>
      </c>
    </row>
    <row r="3167" spans="1:7" x14ac:dyDescent="0.3">
      <c r="A3167" s="84">
        <v>2026</v>
      </c>
      <c r="B3167" s="84" t="s">
        <v>397</v>
      </c>
      <c r="C3167" s="84">
        <v>16</v>
      </c>
      <c r="D3167" s="84">
        <v>16</v>
      </c>
      <c r="E3167" s="85">
        <v>20523.34</v>
      </c>
      <c r="F3167" s="85">
        <v>20523.34</v>
      </c>
      <c r="G3167" s="85">
        <v>0</v>
      </c>
    </row>
    <row r="3168" spans="1:7" x14ac:dyDescent="0.3">
      <c r="A3168" s="84">
        <v>2026</v>
      </c>
      <c r="B3168" s="84" t="s">
        <v>397</v>
      </c>
      <c r="C3168" s="84">
        <v>16</v>
      </c>
      <c r="D3168" s="84">
        <v>17</v>
      </c>
      <c r="E3168" s="85">
        <v>20523.34</v>
      </c>
      <c r="F3168" s="85">
        <v>20915.62</v>
      </c>
      <c r="G3168" s="85">
        <v>392.28</v>
      </c>
    </row>
    <row r="3169" spans="1:7" x14ac:dyDescent="0.3">
      <c r="A3169" s="84">
        <v>2026</v>
      </c>
      <c r="B3169" s="84" t="s">
        <v>397</v>
      </c>
      <c r="C3169" s="84">
        <v>16</v>
      </c>
      <c r="D3169" s="84">
        <v>18</v>
      </c>
      <c r="E3169" s="85">
        <v>20523.34</v>
      </c>
      <c r="F3169" s="85">
        <v>21309.16</v>
      </c>
      <c r="G3169" s="85">
        <v>785.82</v>
      </c>
    </row>
    <row r="3170" spans="1:7" x14ac:dyDescent="0.3">
      <c r="A3170" s="84">
        <v>2026</v>
      </c>
      <c r="B3170" s="84" t="s">
        <v>397</v>
      </c>
      <c r="C3170" s="84">
        <v>16</v>
      </c>
      <c r="D3170" s="84">
        <v>19</v>
      </c>
      <c r="E3170" s="85">
        <v>20523.34</v>
      </c>
      <c r="F3170" s="85">
        <v>21702.28</v>
      </c>
      <c r="G3170" s="85">
        <v>1178.94</v>
      </c>
    </row>
    <row r="3171" spans="1:7" x14ac:dyDescent="0.3">
      <c r="A3171" s="84">
        <v>2026</v>
      </c>
      <c r="B3171" s="84" t="s">
        <v>397</v>
      </c>
      <c r="C3171" s="84">
        <v>16</v>
      </c>
      <c r="D3171" s="84">
        <v>20</v>
      </c>
      <c r="E3171" s="85">
        <v>20523.34</v>
      </c>
      <c r="F3171" s="85">
        <v>22095.26</v>
      </c>
      <c r="G3171" s="85">
        <v>1571.92</v>
      </c>
    </row>
    <row r="3172" spans="1:7" x14ac:dyDescent="0.3">
      <c r="A3172" s="84">
        <v>2026</v>
      </c>
      <c r="B3172" s="84" t="s">
        <v>397</v>
      </c>
      <c r="C3172" s="84">
        <v>16</v>
      </c>
      <c r="D3172" s="84">
        <v>21</v>
      </c>
      <c r="E3172" s="85">
        <v>20523.34</v>
      </c>
      <c r="F3172" s="85">
        <v>22684.66</v>
      </c>
      <c r="G3172" s="85">
        <v>2161.3200000000002</v>
      </c>
    </row>
    <row r="3173" spans="1:7" x14ac:dyDescent="0.3">
      <c r="A3173" s="84">
        <v>2026</v>
      </c>
      <c r="B3173" s="84" t="s">
        <v>397</v>
      </c>
      <c r="C3173" s="84">
        <v>16</v>
      </c>
      <c r="D3173" s="84">
        <v>22</v>
      </c>
      <c r="E3173" s="85">
        <v>20523.34</v>
      </c>
      <c r="F3173" s="85">
        <v>23323.34</v>
      </c>
      <c r="G3173" s="85">
        <v>2800</v>
      </c>
    </row>
    <row r="3174" spans="1:7" x14ac:dyDescent="0.3">
      <c r="A3174" s="84">
        <v>2026</v>
      </c>
      <c r="B3174" s="84" t="s">
        <v>397</v>
      </c>
      <c r="C3174" s="84">
        <v>16</v>
      </c>
      <c r="D3174" s="84">
        <v>23</v>
      </c>
      <c r="E3174" s="85">
        <v>20523.34</v>
      </c>
      <c r="F3174" s="85">
        <v>23963.84</v>
      </c>
      <c r="G3174" s="85">
        <v>3440.5</v>
      </c>
    </row>
    <row r="3175" spans="1:7" x14ac:dyDescent="0.3">
      <c r="A3175" s="84">
        <v>2026</v>
      </c>
      <c r="B3175" s="84" t="s">
        <v>397</v>
      </c>
      <c r="C3175" s="84">
        <v>16</v>
      </c>
      <c r="D3175" s="84">
        <v>24</v>
      </c>
      <c r="E3175" s="85">
        <v>20523.34</v>
      </c>
      <c r="F3175" s="85">
        <v>24603.08</v>
      </c>
      <c r="G3175" s="85">
        <v>4079.74</v>
      </c>
    </row>
    <row r="3176" spans="1:7" x14ac:dyDescent="0.3">
      <c r="A3176" s="84">
        <v>2026</v>
      </c>
      <c r="B3176" s="84" t="s">
        <v>397</v>
      </c>
      <c r="C3176" s="84">
        <v>16</v>
      </c>
      <c r="D3176" s="84">
        <v>25</v>
      </c>
      <c r="E3176" s="85">
        <v>20523.34</v>
      </c>
      <c r="F3176" s="85">
        <v>25243.16</v>
      </c>
      <c r="G3176" s="85">
        <v>4719.82</v>
      </c>
    </row>
    <row r="3177" spans="1:7" x14ac:dyDescent="0.3">
      <c r="A3177" s="84">
        <v>2026</v>
      </c>
      <c r="B3177" s="84" t="s">
        <v>397</v>
      </c>
      <c r="C3177" s="84">
        <v>16</v>
      </c>
      <c r="D3177" s="84">
        <v>26</v>
      </c>
      <c r="E3177" s="85">
        <v>20523.34</v>
      </c>
      <c r="F3177" s="85">
        <v>26622.44</v>
      </c>
      <c r="G3177" s="85">
        <v>6099.1</v>
      </c>
    </row>
    <row r="3178" spans="1:7" x14ac:dyDescent="0.3">
      <c r="A3178" s="84">
        <v>2026</v>
      </c>
      <c r="B3178" s="84" t="s">
        <v>397</v>
      </c>
      <c r="C3178" s="84">
        <v>16</v>
      </c>
      <c r="D3178" s="84">
        <v>27</v>
      </c>
      <c r="E3178" s="85">
        <v>20523.34</v>
      </c>
      <c r="F3178" s="85">
        <v>28331.7</v>
      </c>
      <c r="G3178" s="85">
        <v>7808.36</v>
      </c>
    </row>
    <row r="3179" spans="1:7" x14ac:dyDescent="0.3">
      <c r="A3179" s="84">
        <v>2026</v>
      </c>
      <c r="B3179" s="84" t="s">
        <v>397</v>
      </c>
      <c r="C3179" s="84">
        <v>16</v>
      </c>
      <c r="D3179" s="84">
        <v>28</v>
      </c>
      <c r="E3179" s="85">
        <v>20523.34</v>
      </c>
      <c r="F3179" s="85">
        <v>28972.2</v>
      </c>
      <c r="G3179" s="85">
        <v>8448.86</v>
      </c>
    </row>
    <row r="3180" spans="1:7" x14ac:dyDescent="0.3">
      <c r="A3180" s="84">
        <v>2026</v>
      </c>
      <c r="B3180" s="84" t="s">
        <v>397</v>
      </c>
      <c r="C3180" s="84">
        <v>16</v>
      </c>
      <c r="D3180" s="84">
        <v>29</v>
      </c>
      <c r="E3180" s="85">
        <v>20523.34</v>
      </c>
      <c r="F3180" s="85">
        <v>29611.58</v>
      </c>
      <c r="G3180" s="85">
        <v>9088.24</v>
      </c>
    </row>
    <row r="3181" spans="1:7" x14ac:dyDescent="0.3">
      <c r="A3181" s="84">
        <v>2026</v>
      </c>
      <c r="B3181" s="84" t="s">
        <v>397</v>
      </c>
      <c r="C3181" s="84">
        <v>16</v>
      </c>
      <c r="D3181" s="84">
        <v>30</v>
      </c>
      <c r="E3181" s="85">
        <v>20523.34</v>
      </c>
      <c r="F3181" s="85">
        <v>31359.9</v>
      </c>
      <c r="G3181" s="85">
        <v>10836.56</v>
      </c>
    </row>
    <row r="3182" spans="1:7" x14ac:dyDescent="0.3">
      <c r="A3182" s="84">
        <v>2026</v>
      </c>
      <c r="B3182" s="84" t="s">
        <v>397</v>
      </c>
      <c r="C3182" s="84">
        <v>17</v>
      </c>
      <c r="D3182" s="84">
        <v>1</v>
      </c>
      <c r="E3182" s="85">
        <v>20915.62</v>
      </c>
      <c r="F3182" s="85">
        <v>16002.46</v>
      </c>
      <c r="G3182" s="85">
        <v>-4913.16</v>
      </c>
    </row>
    <row r="3183" spans="1:7" x14ac:dyDescent="0.3">
      <c r="A3183" s="84">
        <v>2026</v>
      </c>
      <c r="B3183" s="84" t="s">
        <v>397</v>
      </c>
      <c r="C3183" s="84">
        <v>17</v>
      </c>
      <c r="D3183" s="84">
        <v>2</v>
      </c>
      <c r="E3183" s="85">
        <v>20915.62</v>
      </c>
      <c r="F3183" s="85">
        <v>16296.88</v>
      </c>
      <c r="G3183" s="85">
        <v>-4618.74</v>
      </c>
    </row>
    <row r="3184" spans="1:7" x14ac:dyDescent="0.3">
      <c r="A3184" s="84">
        <v>2026</v>
      </c>
      <c r="B3184" s="84" t="s">
        <v>397</v>
      </c>
      <c r="C3184" s="84">
        <v>17</v>
      </c>
      <c r="D3184" s="84">
        <v>3</v>
      </c>
      <c r="E3184" s="85">
        <v>20915.62</v>
      </c>
      <c r="F3184" s="85">
        <v>16591.86</v>
      </c>
      <c r="G3184" s="85">
        <v>-4323.76</v>
      </c>
    </row>
    <row r="3185" spans="1:7" x14ac:dyDescent="0.3">
      <c r="A3185" s="84">
        <v>2026</v>
      </c>
      <c r="B3185" s="84" t="s">
        <v>397</v>
      </c>
      <c r="C3185" s="84">
        <v>17</v>
      </c>
      <c r="D3185" s="84">
        <v>4</v>
      </c>
      <c r="E3185" s="85">
        <v>20915.62</v>
      </c>
      <c r="F3185" s="85">
        <v>16886</v>
      </c>
      <c r="G3185" s="85">
        <v>-4029.62</v>
      </c>
    </row>
    <row r="3186" spans="1:7" x14ac:dyDescent="0.3">
      <c r="A3186" s="84">
        <v>2026</v>
      </c>
      <c r="B3186" s="84" t="s">
        <v>397</v>
      </c>
      <c r="C3186" s="84">
        <v>17</v>
      </c>
      <c r="D3186" s="84">
        <v>5</v>
      </c>
      <c r="E3186" s="85">
        <v>20915.62</v>
      </c>
      <c r="F3186" s="85">
        <v>17180.7</v>
      </c>
      <c r="G3186" s="85">
        <v>-3734.92</v>
      </c>
    </row>
    <row r="3187" spans="1:7" x14ac:dyDescent="0.3">
      <c r="A3187" s="84">
        <v>2026</v>
      </c>
      <c r="B3187" s="84" t="s">
        <v>397</v>
      </c>
      <c r="C3187" s="84">
        <v>17</v>
      </c>
      <c r="D3187" s="84">
        <v>6</v>
      </c>
      <c r="E3187" s="85">
        <v>20915.62</v>
      </c>
      <c r="F3187" s="85">
        <v>17377.400000000001</v>
      </c>
      <c r="G3187" s="85">
        <v>-3538.22</v>
      </c>
    </row>
    <row r="3188" spans="1:7" x14ac:dyDescent="0.3">
      <c r="A3188" s="84">
        <v>2026</v>
      </c>
      <c r="B3188" s="84" t="s">
        <v>397</v>
      </c>
      <c r="C3188" s="84">
        <v>17</v>
      </c>
      <c r="D3188" s="84">
        <v>7</v>
      </c>
      <c r="E3188" s="85">
        <v>20915.62</v>
      </c>
      <c r="F3188" s="85">
        <v>17574.099999999999</v>
      </c>
      <c r="G3188" s="85">
        <v>-3341.52</v>
      </c>
    </row>
    <row r="3189" spans="1:7" x14ac:dyDescent="0.3">
      <c r="A3189" s="84">
        <v>2026</v>
      </c>
      <c r="B3189" s="84" t="s">
        <v>397</v>
      </c>
      <c r="C3189" s="84">
        <v>17</v>
      </c>
      <c r="D3189" s="84">
        <v>8</v>
      </c>
      <c r="E3189" s="85">
        <v>20915.62</v>
      </c>
      <c r="F3189" s="85">
        <v>17770.38</v>
      </c>
      <c r="G3189" s="85">
        <v>-3145.24</v>
      </c>
    </row>
    <row r="3190" spans="1:7" x14ac:dyDescent="0.3">
      <c r="A3190" s="84">
        <v>2026</v>
      </c>
      <c r="B3190" s="84" t="s">
        <v>397</v>
      </c>
      <c r="C3190" s="84">
        <v>17</v>
      </c>
      <c r="D3190" s="84">
        <v>9</v>
      </c>
      <c r="E3190" s="85">
        <v>20915.62</v>
      </c>
      <c r="F3190" s="85">
        <v>17967.5</v>
      </c>
      <c r="G3190" s="85">
        <v>-2948.12</v>
      </c>
    </row>
    <row r="3191" spans="1:7" x14ac:dyDescent="0.3">
      <c r="A3191" s="84">
        <v>2026</v>
      </c>
      <c r="B3191" s="84" t="s">
        <v>397</v>
      </c>
      <c r="C3191" s="84">
        <v>17</v>
      </c>
      <c r="D3191" s="84">
        <v>10</v>
      </c>
      <c r="E3191" s="85">
        <v>20915.62</v>
      </c>
      <c r="F3191" s="85">
        <v>18163.919999999998</v>
      </c>
      <c r="G3191" s="85">
        <v>-2751.7</v>
      </c>
    </row>
    <row r="3192" spans="1:7" x14ac:dyDescent="0.3">
      <c r="A3192" s="84">
        <v>2026</v>
      </c>
      <c r="B3192" s="84" t="s">
        <v>397</v>
      </c>
      <c r="C3192" s="84">
        <v>17</v>
      </c>
      <c r="D3192" s="84">
        <v>11</v>
      </c>
      <c r="E3192" s="85">
        <v>20915.62</v>
      </c>
      <c r="F3192" s="85">
        <v>18556.48</v>
      </c>
      <c r="G3192" s="85">
        <v>-2359.14</v>
      </c>
    </row>
    <row r="3193" spans="1:7" x14ac:dyDescent="0.3">
      <c r="A3193" s="84">
        <v>2026</v>
      </c>
      <c r="B3193" s="84" t="s">
        <v>397</v>
      </c>
      <c r="C3193" s="84">
        <v>17</v>
      </c>
      <c r="D3193" s="84">
        <v>12</v>
      </c>
      <c r="E3193" s="85">
        <v>20915.62</v>
      </c>
      <c r="F3193" s="85">
        <v>18950.02</v>
      </c>
      <c r="G3193" s="85">
        <v>-1965.6</v>
      </c>
    </row>
    <row r="3194" spans="1:7" x14ac:dyDescent="0.3">
      <c r="A3194" s="84">
        <v>2026</v>
      </c>
      <c r="B3194" s="84" t="s">
        <v>397</v>
      </c>
      <c r="C3194" s="84">
        <v>17</v>
      </c>
      <c r="D3194" s="84">
        <v>13</v>
      </c>
      <c r="E3194" s="85">
        <v>20915.62</v>
      </c>
      <c r="F3194" s="85">
        <v>19343.28</v>
      </c>
      <c r="G3194" s="85">
        <v>-1572.34</v>
      </c>
    </row>
    <row r="3195" spans="1:7" x14ac:dyDescent="0.3">
      <c r="A3195" s="84">
        <v>2026</v>
      </c>
      <c r="B3195" s="84" t="s">
        <v>397</v>
      </c>
      <c r="C3195" s="84">
        <v>17</v>
      </c>
      <c r="D3195" s="84">
        <v>14</v>
      </c>
      <c r="E3195" s="85">
        <v>20915.62</v>
      </c>
      <c r="F3195" s="85">
        <v>19737.099999999999</v>
      </c>
      <c r="G3195" s="85">
        <v>-1178.52</v>
      </c>
    </row>
    <row r="3196" spans="1:7" x14ac:dyDescent="0.3">
      <c r="A3196" s="84">
        <v>2026</v>
      </c>
      <c r="B3196" s="84" t="s">
        <v>397</v>
      </c>
      <c r="C3196" s="84">
        <v>17</v>
      </c>
      <c r="D3196" s="84">
        <v>15</v>
      </c>
      <c r="E3196" s="85">
        <v>20915.62</v>
      </c>
      <c r="F3196" s="85">
        <v>20129.38</v>
      </c>
      <c r="G3196" s="85">
        <v>-786.24</v>
      </c>
    </row>
    <row r="3197" spans="1:7" x14ac:dyDescent="0.3">
      <c r="A3197" s="84">
        <v>2026</v>
      </c>
      <c r="B3197" s="84" t="s">
        <v>397</v>
      </c>
      <c r="C3197" s="84">
        <v>17</v>
      </c>
      <c r="D3197" s="84">
        <v>16</v>
      </c>
      <c r="E3197" s="85">
        <v>20915.62</v>
      </c>
      <c r="F3197" s="85">
        <v>20523.34</v>
      </c>
      <c r="G3197" s="85">
        <v>-392.28</v>
      </c>
    </row>
    <row r="3198" spans="1:7" x14ac:dyDescent="0.3">
      <c r="A3198" s="84">
        <v>2026</v>
      </c>
      <c r="B3198" s="84" t="s">
        <v>397</v>
      </c>
      <c r="C3198" s="84">
        <v>17</v>
      </c>
      <c r="D3198" s="84">
        <v>17</v>
      </c>
      <c r="E3198" s="85">
        <v>20915.62</v>
      </c>
      <c r="F3198" s="85">
        <v>20915.62</v>
      </c>
      <c r="G3198" s="85">
        <v>0</v>
      </c>
    </row>
    <row r="3199" spans="1:7" x14ac:dyDescent="0.3">
      <c r="A3199" s="84">
        <v>2026</v>
      </c>
      <c r="B3199" s="84" t="s">
        <v>397</v>
      </c>
      <c r="C3199" s="84">
        <v>17</v>
      </c>
      <c r="D3199" s="84">
        <v>18</v>
      </c>
      <c r="E3199" s="85">
        <v>20915.62</v>
      </c>
      <c r="F3199" s="85">
        <v>21309.16</v>
      </c>
      <c r="G3199" s="85">
        <v>393.54</v>
      </c>
    </row>
    <row r="3200" spans="1:7" x14ac:dyDescent="0.3">
      <c r="A3200" s="84">
        <v>2026</v>
      </c>
      <c r="B3200" s="84" t="s">
        <v>397</v>
      </c>
      <c r="C3200" s="84">
        <v>17</v>
      </c>
      <c r="D3200" s="84">
        <v>19</v>
      </c>
      <c r="E3200" s="85">
        <v>20915.62</v>
      </c>
      <c r="F3200" s="85">
        <v>21702.28</v>
      </c>
      <c r="G3200" s="85">
        <v>786.66</v>
      </c>
    </row>
    <row r="3201" spans="1:7" x14ac:dyDescent="0.3">
      <c r="A3201" s="84">
        <v>2026</v>
      </c>
      <c r="B3201" s="84" t="s">
        <v>397</v>
      </c>
      <c r="C3201" s="84">
        <v>17</v>
      </c>
      <c r="D3201" s="84">
        <v>20</v>
      </c>
      <c r="E3201" s="85">
        <v>20915.62</v>
      </c>
      <c r="F3201" s="85">
        <v>22095.26</v>
      </c>
      <c r="G3201" s="85">
        <v>1179.6400000000001</v>
      </c>
    </row>
    <row r="3202" spans="1:7" x14ac:dyDescent="0.3">
      <c r="A3202" s="84">
        <v>2026</v>
      </c>
      <c r="B3202" s="84" t="s">
        <v>397</v>
      </c>
      <c r="C3202" s="84">
        <v>17</v>
      </c>
      <c r="D3202" s="84">
        <v>21</v>
      </c>
      <c r="E3202" s="85">
        <v>20915.62</v>
      </c>
      <c r="F3202" s="85">
        <v>22684.66</v>
      </c>
      <c r="G3202" s="85">
        <v>1769.04</v>
      </c>
    </row>
    <row r="3203" spans="1:7" x14ac:dyDescent="0.3">
      <c r="A3203" s="84">
        <v>2026</v>
      </c>
      <c r="B3203" s="84" t="s">
        <v>397</v>
      </c>
      <c r="C3203" s="84">
        <v>17</v>
      </c>
      <c r="D3203" s="84">
        <v>22</v>
      </c>
      <c r="E3203" s="85">
        <v>20915.62</v>
      </c>
      <c r="F3203" s="85">
        <v>23323.34</v>
      </c>
      <c r="G3203" s="85">
        <v>2407.7199999999998</v>
      </c>
    </row>
    <row r="3204" spans="1:7" x14ac:dyDescent="0.3">
      <c r="A3204" s="84">
        <v>2026</v>
      </c>
      <c r="B3204" s="84" t="s">
        <v>397</v>
      </c>
      <c r="C3204" s="84">
        <v>17</v>
      </c>
      <c r="D3204" s="84">
        <v>23</v>
      </c>
      <c r="E3204" s="85">
        <v>20915.62</v>
      </c>
      <c r="F3204" s="85">
        <v>23963.84</v>
      </c>
      <c r="G3204" s="85">
        <v>3048.22</v>
      </c>
    </row>
    <row r="3205" spans="1:7" x14ac:dyDescent="0.3">
      <c r="A3205" s="84">
        <v>2026</v>
      </c>
      <c r="B3205" s="84" t="s">
        <v>397</v>
      </c>
      <c r="C3205" s="84">
        <v>17</v>
      </c>
      <c r="D3205" s="84">
        <v>24</v>
      </c>
      <c r="E3205" s="85">
        <v>20915.62</v>
      </c>
      <c r="F3205" s="85">
        <v>24603.08</v>
      </c>
      <c r="G3205" s="85">
        <v>3687.46</v>
      </c>
    </row>
    <row r="3206" spans="1:7" x14ac:dyDescent="0.3">
      <c r="A3206" s="84">
        <v>2026</v>
      </c>
      <c r="B3206" s="84" t="s">
        <v>397</v>
      </c>
      <c r="C3206" s="84">
        <v>17</v>
      </c>
      <c r="D3206" s="84">
        <v>25</v>
      </c>
      <c r="E3206" s="85">
        <v>20915.62</v>
      </c>
      <c r="F3206" s="85">
        <v>25243.16</v>
      </c>
      <c r="G3206" s="85">
        <v>4327.54</v>
      </c>
    </row>
    <row r="3207" spans="1:7" x14ac:dyDescent="0.3">
      <c r="A3207" s="84">
        <v>2026</v>
      </c>
      <c r="B3207" s="84" t="s">
        <v>397</v>
      </c>
      <c r="C3207" s="84">
        <v>17</v>
      </c>
      <c r="D3207" s="84">
        <v>26</v>
      </c>
      <c r="E3207" s="85">
        <v>20915.62</v>
      </c>
      <c r="F3207" s="85">
        <v>26622.44</v>
      </c>
      <c r="G3207" s="85">
        <v>5706.82</v>
      </c>
    </row>
    <row r="3208" spans="1:7" x14ac:dyDescent="0.3">
      <c r="A3208" s="84">
        <v>2026</v>
      </c>
      <c r="B3208" s="84" t="s">
        <v>397</v>
      </c>
      <c r="C3208" s="84">
        <v>17</v>
      </c>
      <c r="D3208" s="84">
        <v>27</v>
      </c>
      <c r="E3208" s="85">
        <v>20915.62</v>
      </c>
      <c r="F3208" s="85">
        <v>28331.7</v>
      </c>
      <c r="G3208" s="85">
        <v>7416.08</v>
      </c>
    </row>
    <row r="3209" spans="1:7" x14ac:dyDescent="0.3">
      <c r="A3209" s="84">
        <v>2026</v>
      </c>
      <c r="B3209" s="84" t="s">
        <v>397</v>
      </c>
      <c r="C3209" s="84">
        <v>17</v>
      </c>
      <c r="D3209" s="84">
        <v>28</v>
      </c>
      <c r="E3209" s="85">
        <v>20915.62</v>
      </c>
      <c r="F3209" s="85">
        <v>28972.2</v>
      </c>
      <c r="G3209" s="85">
        <v>8056.58</v>
      </c>
    </row>
    <row r="3210" spans="1:7" x14ac:dyDescent="0.3">
      <c r="A3210" s="84">
        <v>2026</v>
      </c>
      <c r="B3210" s="84" t="s">
        <v>397</v>
      </c>
      <c r="C3210" s="84">
        <v>17</v>
      </c>
      <c r="D3210" s="84">
        <v>29</v>
      </c>
      <c r="E3210" s="85">
        <v>20915.62</v>
      </c>
      <c r="F3210" s="85">
        <v>29611.58</v>
      </c>
      <c r="G3210" s="85">
        <v>8695.9599999999991</v>
      </c>
    </row>
    <row r="3211" spans="1:7" x14ac:dyDescent="0.3">
      <c r="A3211" s="84">
        <v>2026</v>
      </c>
      <c r="B3211" s="84" t="s">
        <v>397</v>
      </c>
      <c r="C3211" s="84">
        <v>17</v>
      </c>
      <c r="D3211" s="84">
        <v>30</v>
      </c>
      <c r="E3211" s="85">
        <v>20915.62</v>
      </c>
      <c r="F3211" s="85">
        <v>31359.9</v>
      </c>
      <c r="G3211" s="85">
        <v>10444.280000000001</v>
      </c>
    </row>
    <row r="3212" spans="1:7" x14ac:dyDescent="0.3">
      <c r="A3212" s="84">
        <v>2026</v>
      </c>
      <c r="B3212" s="84" t="s">
        <v>397</v>
      </c>
      <c r="C3212" s="84">
        <v>18</v>
      </c>
      <c r="D3212" s="84">
        <v>1</v>
      </c>
      <c r="E3212" s="85">
        <v>21309.16</v>
      </c>
      <c r="F3212" s="85">
        <v>16002.46</v>
      </c>
      <c r="G3212" s="85">
        <v>-5306.7</v>
      </c>
    </row>
    <row r="3213" spans="1:7" x14ac:dyDescent="0.3">
      <c r="A3213" s="84">
        <v>2026</v>
      </c>
      <c r="B3213" s="84" t="s">
        <v>397</v>
      </c>
      <c r="C3213" s="84">
        <v>18</v>
      </c>
      <c r="D3213" s="84">
        <v>2</v>
      </c>
      <c r="E3213" s="85">
        <v>21309.16</v>
      </c>
      <c r="F3213" s="85">
        <v>16296.88</v>
      </c>
      <c r="G3213" s="85">
        <v>-5012.28</v>
      </c>
    </row>
    <row r="3214" spans="1:7" x14ac:dyDescent="0.3">
      <c r="A3214" s="84">
        <v>2026</v>
      </c>
      <c r="B3214" s="84" t="s">
        <v>397</v>
      </c>
      <c r="C3214" s="84">
        <v>18</v>
      </c>
      <c r="D3214" s="84">
        <v>3</v>
      </c>
      <c r="E3214" s="85">
        <v>21309.16</v>
      </c>
      <c r="F3214" s="85">
        <v>16591.86</v>
      </c>
      <c r="G3214" s="85">
        <v>-4717.3</v>
      </c>
    </row>
    <row r="3215" spans="1:7" x14ac:dyDescent="0.3">
      <c r="A3215" s="84">
        <v>2026</v>
      </c>
      <c r="B3215" s="84" t="s">
        <v>397</v>
      </c>
      <c r="C3215" s="84">
        <v>18</v>
      </c>
      <c r="D3215" s="84">
        <v>4</v>
      </c>
      <c r="E3215" s="85">
        <v>21309.16</v>
      </c>
      <c r="F3215" s="85">
        <v>16886</v>
      </c>
      <c r="G3215" s="85">
        <v>-4423.16</v>
      </c>
    </row>
    <row r="3216" spans="1:7" x14ac:dyDescent="0.3">
      <c r="A3216" s="84">
        <v>2026</v>
      </c>
      <c r="B3216" s="84" t="s">
        <v>397</v>
      </c>
      <c r="C3216" s="84">
        <v>18</v>
      </c>
      <c r="D3216" s="84">
        <v>5</v>
      </c>
      <c r="E3216" s="85">
        <v>21309.16</v>
      </c>
      <c r="F3216" s="85">
        <v>17180.7</v>
      </c>
      <c r="G3216" s="85">
        <v>-4128.46</v>
      </c>
    </row>
    <row r="3217" spans="1:7" x14ac:dyDescent="0.3">
      <c r="A3217" s="84">
        <v>2026</v>
      </c>
      <c r="B3217" s="84" t="s">
        <v>397</v>
      </c>
      <c r="C3217" s="84">
        <v>18</v>
      </c>
      <c r="D3217" s="84">
        <v>6</v>
      </c>
      <c r="E3217" s="85">
        <v>21309.16</v>
      </c>
      <c r="F3217" s="85">
        <v>17377.400000000001</v>
      </c>
      <c r="G3217" s="85">
        <v>-3931.76</v>
      </c>
    </row>
    <row r="3218" spans="1:7" x14ac:dyDescent="0.3">
      <c r="A3218" s="84">
        <v>2026</v>
      </c>
      <c r="B3218" s="84" t="s">
        <v>397</v>
      </c>
      <c r="C3218" s="84">
        <v>18</v>
      </c>
      <c r="D3218" s="84">
        <v>7</v>
      </c>
      <c r="E3218" s="85">
        <v>21309.16</v>
      </c>
      <c r="F3218" s="85">
        <v>17574.099999999999</v>
      </c>
      <c r="G3218" s="85">
        <v>-3735.06</v>
      </c>
    </row>
    <row r="3219" spans="1:7" x14ac:dyDescent="0.3">
      <c r="A3219" s="84">
        <v>2026</v>
      </c>
      <c r="B3219" s="84" t="s">
        <v>397</v>
      </c>
      <c r="C3219" s="84">
        <v>18</v>
      </c>
      <c r="D3219" s="84">
        <v>8</v>
      </c>
      <c r="E3219" s="85">
        <v>21309.16</v>
      </c>
      <c r="F3219" s="85">
        <v>17770.38</v>
      </c>
      <c r="G3219" s="85">
        <v>-3538.78</v>
      </c>
    </row>
    <row r="3220" spans="1:7" x14ac:dyDescent="0.3">
      <c r="A3220" s="84">
        <v>2026</v>
      </c>
      <c r="B3220" s="84" t="s">
        <v>397</v>
      </c>
      <c r="C3220" s="84">
        <v>18</v>
      </c>
      <c r="D3220" s="84">
        <v>9</v>
      </c>
      <c r="E3220" s="85">
        <v>21309.16</v>
      </c>
      <c r="F3220" s="85">
        <v>17967.5</v>
      </c>
      <c r="G3220" s="85">
        <v>-3341.66</v>
      </c>
    </row>
    <row r="3221" spans="1:7" x14ac:dyDescent="0.3">
      <c r="A3221" s="84">
        <v>2026</v>
      </c>
      <c r="B3221" s="84" t="s">
        <v>397</v>
      </c>
      <c r="C3221" s="84">
        <v>18</v>
      </c>
      <c r="D3221" s="84">
        <v>10</v>
      </c>
      <c r="E3221" s="85">
        <v>21309.16</v>
      </c>
      <c r="F3221" s="85">
        <v>18163.919999999998</v>
      </c>
      <c r="G3221" s="85">
        <v>-3145.24</v>
      </c>
    </row>
    <row r="3222" spans="1:7" x14ac:dyDescent="0.3">
      <c r="A3222" s="84">
        <v>2026</v>
      </c>
      <c r="B3222" s="84" t="s">
        <v>397</v>
      </c>
      <c r="C3222" s="84">
        <v>18</v>
      </c>
      <c r="D3222" s="84">
        <v>11</v>
      </c>
      <c r="E3222" s="85">
        <v>21309.16</v>
      </c>
      <c r="F3222" s="85">
        <v>18556.48</v>
      </c>
      <c r="G3222" s="85">
        <v>-2752.68</v>
      </c>
    </row>
    <row r="3223" spans="1:7" x14ac:dyDescent="0.3">
      <c r="A3223" s="84">
        <v>2026</v>
      </c>
      <c r="B3223" s="84" t="s">
        <v>397</v>
      </c>
      <c r="C3223" s="84">
        <v>18</v>
      </c>
      <c r="D3223" s="84">
        <v>12</v>
      </c>
      <c r="E3223" s="85">
        <v>21309.16</v>
      </c>
      <c r="F3223" s="85">
        <v>18950.02</v>
      </c>
      <c r="G3223" s="85">
        <v>-2359.14</v>
      </c>
    </row>
    <row r="3224" spans="1:7" x14ac:dyDescent="0.3">
      <c r="A3224" s="84">
        <v>2026</v>
      </c>
      <c r="B3224" s="84" t="s">
        <v>397</v>
      </c>
      <c r="C3224" s="84">
        <v>18</v>
      </c>
      <c r="D3224" s="84">
        <v>13</v>
      </c>
      <c r="E3224" s="85">
        <v>21309.16</v>
      </c>
      <c r="F3224" s="85">
        <v>19343.28</v>
      </c>
      <c r="G3224" s="85">
        <v>-1965.88</v>
      </c>
    </row>
    <row r="3225" spans="1:7" x14ac:dyDescent="0.3">
      <c r="A3225" s="84">
        <v>2026</v>
      </c>
      <c r="B3225" s="84" t="s">
        <v>397</v>
      </c>
      <c r="C3225" s="84">
        <v>18</v>
      </c>
      <c r="D3225" s="84">
        <v>14</v>
      </c>
      <c r="E3225" s="85">
        <v>21309.16</v>
      </c>
      <c r="F3225" s="85">
        <v>19737.099999999999</v>
      </c>
      <c r="G3225" s="85">
        <v>-1572.06</v>
      </c>
    </row>
    <row r="3226" spans="1:7" x14ac:dyDescent="0.3">
      <c r="A3226" s="84">
        <v>2026</v>
      </c>
      <c r="B3226" s="84" t="s">
        <v>397</v>
      </c>
      <c r="C3226" s="84">
        <v>18</v>
      </c>
      <c r="D3226" s="84">
        <v>15</v>
      </c>
      <c r="E3226" s="85">
        <v>21309.16</v>
      </c>
      <c r="F3226" s="85">
        <v>20129.38</v>
      </c>
      <c r="G3226" s="85">
        <v>-1179.78</v>
      </c>
    </row>
    <row r="3227" spans="1:7" x14ac:dyDescent="0.3">
      <c r="A3227" s="84">
        <v>2026</v>
      </c>
      <c r="B3227" s="84" t="s">
        <v>397</v>
      </c>
      <c r="C3227" s="84">
        <v>18</v>
      </c>
      <c r="D3227" s="84">
        <v>16</v>
      </c>
      <c r="E3227" s="85">
        <v>21309.16</v>
      </c>
      <c r="F3227" s="85">
        <v>20523.34</v>
      </c>
      <c r="G3227" s="85">
        <v>-785.82</v>
      </c>
    </row>
    <row r="3228" spans="1:7" x14ac:dyDescent="0.3">
      <c r="A3228" s="84">
        <v>2026</v>
      </c>
      <c r="B3228" s="84" t="s">
        <v>397</v>
      </c>
      <c r="C3228" s="84">
        <v>18</v>
      </c>
      <c r="D3228" s="84">
        <v>17</v>
      </c>
      <c r="E3228" s="85">
        <v>21309.16</v>
      </c>
      <c r="F3228" s="85">
        <v>20915.62</v>
      </c>
      <c r="G3228" s="85">
        <v>-393.54</v>
      </c>
    </row>
    <row r="3229" spans="1:7" x14ac:dyDescent="0.3">
      <c r="A3229" s="84">
        <v>2026</v>
      </c>
      <c r="B3229" s="84" t="s">
        <v>397</v>
      </c>
      <c r="C3229" s="84">
        <v>18</v>
      </c>
      <c r="D3229" s="84">
        <v>18</v>
      </c>
      <c r="E3229" s="85">
        <v>21309.16</v>
      </c>
      <c r="F3229" s="85">
        <v>21309.16</v>
      </c>
      <c r="G3229" s="85">
        <v>0</v>
      </c>
    </row>
    <row r="3230" spans="1:7" x14ac:dyDescent="0.3">
      <c r="A3230" s="84">
        <v>2026</v>
      </c>
      <c r="B3230" s="84" t="s">
        <v>397</v>
      </c>
      <c r="C3230" s="84">
        <v>18</v>
      </c>
      <c r="D3230" s="84">
        <v>19</v>
      </c>
      <c r="E3230" s="85">
        <v>21309.16</v>
      </c>
      <c r="F3230" s="85">
        <v>21702.28</v>
      </c>
      <c r="G3230" s="85">
        <v>393.12</v>
      </c>
    </row>
    <row r="3231" spans="1:7" x14ac:dyDescent="0.3">
      <c r="A3231" s="84">
        <v>2026</v>
      </c>
      <c r="B3231" s="84" t="s">
        <v>397</v>
      </c>
      <c r="C3231" s="84">
        <v>18</v>
      </c>
      <c r="D3231" s="84">
        <v>20</v>
      </c>
      <c r="E3231" s="85">
        <v>21309.16</v>
      </c>
      <c r="F3231" s="85">
        <v>22095.26</v>
      </c>
      <c r="G3231" s="85">
        <v>786.1</v>
      </c>
    </row>
    <row r="3232" spans="1:7" x14ac:dyDescent="0.3">
      <c r="A3232" s="84">
        <v>2026</v>
      </c>
      <c r="B3232" s="84" t="s">
        <v>397</v>
      </c>
      <c r="C3232" s="84">
        <v>18</v>
      </c>
      <c r="D3232" s="84">
        <v>21</v>
      </c>
      <c r="E3232" s="85">
        <v>21309.16</v>
      </c>
      <c r="F3232" s="85">
        <v>22684.66</v>
      </c>
      <c r="G3232" s="85">
        <v>1375.5</v>
      </c>
    </row>
    <row r="3233" spans="1:7" x14ac:dyDescent="0.3">
      <c r="A3233" s="84">
        <v>2026</v>
      </c>
      <c r="B3233" s="84" t="s">
        <v>397</v>
      </c>
      <c r="C3233" s="84">
        <v>18</v>
      </c>
      <c r="D3233" s="84">
        <v>22</v>
      </c>
      <c r="E3233" s="85">
        <v>21309.16</v>
      </c>
      <c r="F3233" s="85">
        <v>23323.34</v>
      </c>
      <c r="G3233" s="85">
        <v>2014.18</v>
      </c>
    </row>
    <row r="3234" spans="1:7" x14ac:dyDescent="0.3">
      <c r="A3234" s="84">
        <v>2026</v>
      </c>
      <c r="B3234" s="84" t="s">
        <v>397</v>
      </c>
      <c r="C3234" s="84">
        <v>18</v>
      </c>
      <c r="D3234" s="84">
        <v>23</v>
      </c>
      <c r="E3234" s="85">
        <v>21309.16</v>
      </c>
      <c r="F3234" s="85">
        <v>23963.84</v>
      </c>
      <c r="G3234" s="85">
        <v>2654.68</v>
      </c>
    </row>
    <row r="3235" spans="1:7" x14ac:dyDescent="0.3">
      <c r="A3235" s="84">
        <v>2026</v>
      </c>
      <c r="B3235" s="84" t="s">
        <v>397</v>
      </c>
      <c r="C3235" s="84">
        <v>18</v>
      </c>
      <c r="D3235" s="84">
        <v>24</v>
      </c>
      <c r="E3235" s="85">
        <v>21309.16</v>
      </c>
      <c r="F3235" s="85">
        <v>24603.08</v>
      </c>
      <c r="G3235" s="85">
        <v>3293.92</v>
      </c>
    </row>
    <row r="3236" spans="1:7" x14ac:dyDescent="0.3">
      <c r="A3236" s="84">
        <v>2026</v>
      </c>
      <c r="B3236" s="84" t="s">
        <v>397</v>
      </c>
      <c r="C3236" s="84">
        <v>18</v>
      </c>
      <c r="D3236" s="84">
        <v>25</v>
      </c>
      <c r="E3236" s="85">
        <v>21309.16</v>
      </c>
      <c r="F3236" s="85">
        <v>25243.16</v>
      </c>
      <c r="G3236" s="85">
        <v>3934</v>
      </c>
    </row>
    <row r="3237" spans="1:7" x14ac:dyDescent="0.3">
      <c r="A3237" s="84">
        <v>2026</v>
      </c>
      <c r="B3237" s="84" t="s">
        <v>397</v>
      </c>
      <c r="C3237" s="84">
        <v>18</v>
      </c>
      <c r="D3237" s="84">
        <v>26</v>
      </c>
      <c r="E3237" s="85">
        <v>21309.16</v>
      </c>
      <c r="F3237" s="85">
        <v>26622.44</v>
      </c>
      <c r="G3237" s="85">
        <v>5313.28</v>
      </c>
    </row>
    <row r="3238" spans="1:7" x14ac:dyDescent="0.3">
      <c r="A3238" s="84">
        <v>2026</v>
      </c>
      <c r="B3238" s="84" t="s">
        <v>397</v>
      </c>
      <c r="C3238" s="84">
        <v>18</v>
      </c>
      <c r="D3238" s="84">
        <v>27</v>
      </c>
      <c r="E3238" s="85">
        <v>21309.16</v>
      </c>
      <c r="F3238" s="85">
        <v>28331.7</v>
      </c>
      <c r="G3238" s="85">
        <v>7022.54</v>
      </c>
    </row>
    <row r="3239" spans="1:7" x14ac:dyDescent="0.3">
      <c r="A3239" s="84">
        <v>2026</v>
      </c>
      <c r="B3239" s="84" t="s">
        <v>397</v>
      </c>
      <c r="C3239" s="84">
        <v>18</v>
      </c>
      <c r="D3239" s="84">
        <v>28</v>
      </c>
      <c r="E3239" s="85">
        <v>21309.16</v>
      </c>
      <c r="F3239" s="85">
        <v>28972.2</v>
      </c>
      <c r="G3239" s="85">
        <v>7663.04</v>
      </c>
    </row>
    <row r="3240" spans="1:7" x14ac:dyDescent="0.3">
      <c r="A3240" s="84">
        <v>2026</v>
      </c>
      <c r="B3240" s="84" t="s">
        <v>397</v>
      </c>
      <c r="C3240" s="84">
        <v>18</v>
      </c>
      <c r="D3240" s="84">
        <v>29</v>
      </c>
      <c r="E3240" s="85">
        <v>21309.16</v>
      </c>
      <c r="F3240" s="85">
        <v>29611.58</v>
      </c>
      <c r="G3240" s="85">
        <v>8302.42</v>
      </c>
    </row>
    <row r="3241" spans="1:7" x14ac:dyDescent="0.3">
      <c r="A3241" s="84">
        <v>2026</v>
      </c>
      <c r="B3241" s="84" t="s">
        <v>397</v>
      </c>
      <c r="C3241" s="84">
        <v>18</v>
      </c>
      <c r="D3241" s="84">
        <v>30</v>
      </c>
      <c r="E3241" s="85">
        <v>21309.16</v>
      </c>
      <c r="F3241" s="85">
        <v>31359.9</v>
      </c>
      <c r="G3241" s="85">
        <v>10050.74</v>
      </c>
    </row>
    <row r="3242" spans="1:7" x14ac:dyDescent="0.3">
      <c r="A3242" s="84">
        <v>2026</v>
      </c>
      <c r="B3242" s="84" t="s">
        <v>397</v>
      </c>
      <c r="C3242" s="84">
        <v>19</v>
      </c>
      <c r="D3242" s="84">
        <v>1</v>
      </c>
      <c r="E3242" s="85">
        <v>21702.28</v>
      </c>
      <c r="F3242" s="85">
        <v>16002.46</v>
      </c>
      <c r="G3242" s="85">
        <v>-5699.82</v>
      </c>
    </row>
    <row r="3243" spans="1:7" x14ac:dyDescent="0.3">
      <c r="A3243" s="84">
        <v>2026</v>
      </c>
      <c r="B3243" s="84" t="s">
        <v>397</v>
      </c>
      <c r="C3243" s="84">
        <v>19</v>
      </c>
      <c r="D3243" s="84">
        <v>2</v>
      </c>
      <c r="E3243" s="85">
        <v>21702.28</v>
      </c>
      <c r="F3243" s="85">
        <v>16296.88</v>
      </c>
      <c r="G3243" s="85">
        <v>-5405.4</v>
      </c>
    </row>
    <row r="3244" spans="1:7" x14ac:dyDescent="0.3">
      <c r="A3244" s="84">
        <v>2026</v>
      </c>
      <c r="B3244" s="84" t="s">
        <v>397</v>
      </c>
      <c r="C3244" s="84">
        <v>19</v>
      </c>
      <c r="D3244" s="84">
        <v>3</v>
      </c>
      <c r="E3244" s="85">
        <v>21702.28</v>
      </c>
      <c r="F3244" s="85">
        <v>16591.86</v>
      </c>
      <c r="G3244" s="85">
        <v>-5110.42</v>
      </c>
    </row>
    <row r="3245" spans="1:7" x14ac:dyDescent="0.3">
      <c r="A3245" s="84">
        <v>2026</v>
      </c>
      <c r="B3245" s="84" t="s">
        <v>397</v>
      </c>
      <c r="C3245" s="84">
        <v>19</v>
      </c>
      <c r="D3245" s="84">
        <v>4</v>
      </c>
      <c r="E3245" s="85">
        <v>21702.28</v>
      </c>
      <c r="F3245" s="85">
        <v>16886</v>
      </c>
      <c r="G3245" s="85">
        <v>-4816.28</v>
      </c>
    </row>
    <row r="3246" spans="1:7" x14ac:dyDescent="0.3">
      <c r="A3246" s="84">
        <v>2026</v>
      </c>
      <c r="B3246" s="84" t="s">
        <v>397</v>
      </c>
      <c r="C3246" s="84">
        <v>19</v>
      </c>
      <c r="D3246" s="84">
        <v>5</v>
      </c>
      <c r="E3246" s="85">
        <v>21702.28</v>
      </c>
      <c r="F3246" s="85">
        <v>17180.7</v>
      </c>
      <c r="G3246" s="85">
        <v>-4521.58</v>
      </c>
    </row>
    <row r="3247" spans="1:7" x14ac:dyDescent="0.3">
      <c r="A3247" s="84">
        <v>2026</v>
      </c>
      <c r="B3247" s="84" t="s">
        <v>397</v>
      </c>
      <c r="C3247" s="84">
        <v>19</v>
      </c>
      <c r="D3247" s="84">
        <v>6</v>
      </c>
      <c r="E3247" s="85">
        <v>21702.28</v>
      </c>
      <c r="F3247" s="85">
        <v>17377.400000000001</v>
      </c>
      <c r="G3247" s="85">
        <v>-4324.88</v>
      </c>
    </row>
    <row r="3248" spans="1:7" x14ac:dyDescent="0.3">
      <c r="A3248" s="84">
        <v>2026</v>
      </c>
      <c r="B3248" s="84" t="s">
        <v>397</v>
      </c>
      <c r="C3248" s="84">
        <v>19</v>
      </c>
      <c r="D3248" s="84">
        <v>7</v>
      </c>
      <c r="E3248" s="85">
        <v>21702.28</v>
      </c>
      <c r="F3248" s="85">
        <v>17574.099999999999</v>
      </c>
      <c r="G3248" s="85">
        <v>-4128.18</v>
      </c>
    </row>
    <row r="3249" spans="1:7" x14ac:dyDescent="0.3">
      <c r="A3249" s="84">
        <v>2026</v>
      </c>
      <c r="B3249" s="84" t="s">
        <v>397</v>
      </c>
      <c r="C3249" s="84">
        <v>19</v>
      </c>
      <c r="D3249" s="84">
        <v>8</v>
      </c>
      <c r="E3249" s="85">
        <v>21702.28</v>
      </c>
      <c r="F3249" s="85">
        <v>17770.38</v>
      </c>
      <c r="G3249" s="85">
        <v>-3931.9</v>
      </c>
    </row>
    <row r="3250" spans="1:7" x14ac:dyDescent="0.3">
      <c r="A3250" s="84">
        <v>2026</v>
      </c>
      <c r="B3250" s="84" t="s">
        <v>397</v>
      </c>
      <c r="C3250" s="84">
        <v>19</v>
      </c>
      <c r="D3250" s="84">
        <v>9</v>
      </c>
      <c r="E3250" s="85">
        <v>21702.28</v>
      </c>
      <c r="F3250" s="85">
        <v>17967.5</v>
      </c>
      <c r="G3250" s="85">
        <v>-3734.78</v>
      </c>
    </row>
    <row r="3251" spans="1:7" x14ac:dyDescent="0.3">
      <c r="A3251" s="84">
        <v>2026</v>
      </c>
      <c r="B3251" s="84" t="s">
        <v>397</v>
      </c>
      <c r="C3251" s="84">
        <v>19</v>
      </c>
      <c r="D3251" s="84">
        <v>10</v>
      </c>
      <c r="E3251" s="85">
        <v>21702.28</v>
      </c>
      <c r="F3251" s="85">
        <v>18163.919999999998</v>
      </c>
      <c r="G3251" s="85">
        <v>-3538.36</v>
      </c>
    </row>
    <row r="3252" spans="1:7" x14ac:dyDescent="0.3">
      <c r="A3252" s="84">
        <v>2026</v>
      </c>
      <c r="B3252" s="84" t="s">
        <v>397</v>
      </c>
      <c r="C3252" s="84">
        <v>19</v>
      </c>
      <c r="D3252" s="84">
        <v>11</v>
      </c>
      <c r="E3252" s="85">
        <v>21702.28</v>
      </c>
      <c r="F3252" s="85">
        <v>18556.48</v>
      </c>
      <c r="G3252" s="85">
        <v>-3145.8</v>
      </c>
    </row>
    <row r="3253" spans="1:7" x14ac:dyDescent="0.3">
      <c r="A3253" s="84">
        <v>2026</v>
      </c>
      <c r="B3253" s="84" t="s">
        <v>397</v>
      </c>
      <c r="C3253" s="84">
        <v>19</v>
      </c>
      <c r="D3253" s="84">
        <v>12</v>
      </c>
      <c r="E3253" s="85">
        <v>21702.28</v>
      </c>
      <c r="F3253" s="85">
        <v>18950.02</v>
      </c>
      <c r="G3253" s="85">
        <v>-2752.26</v>
      </c>
    </row>
    <row r="3254" spans="1:7" x14ac:dyDescent="0.3">
      <c r="A3254" s="84">
        <v>2026</v>
      </c>
      <c r="B3254" s="84" t="s">
        <v>397</v>
      </c>
      <c r="C3254" s="84">
        <v>19</v>
      </c>
      <c r="D3254" s="84">
        <v>13</v>
      </c>
      <c r="E3254" s="85">
        <v>21702.28</v>
      </c>
      <c r="F3254" s="85">
        <v>19343.28</v>
      </c>
      <c r="G3254" s="85">
        <v>-2359</v>
      </c>
    </row>
    <row r="3255" spans="1:7" x14ac:dyDescent="0.3">
      <c r="A3255" s="84">
        <v>2026</v>
      </c>
      <c r="B3255" s="84" t="s">
        <v>397</v>
      </c>
      <c r="C3255" s="84">
        <v>19</v>
      </c>
      <c r="D3255" s="84">
        <v>14</v>
      </c>
      <c r="E3255" s="85">
        <v>21702.28</v>
      </c>
      <c r="F3255" s="85">
        <v>19737.099999999999</v>
      </c>
      <c r="G3255" s="85">
        <v>-1965.18</v>
      </c>
    </row>
    <row r="3256" spans="1:7" x14ac:dyDescent="0.3">
      <c r="A3256" s="84">
        <v>2026</v>
      </c>
      <c r="B3256" s="84" t="s">
        <v>397</v>
      </c>
      <c r="C3256" s="84">
        <v>19</v>
      </c>
      <c r="D3256" s="84">
        <v>15</v>
      </c>
      <c r="E3256" s="85">
        <v>21702.28</v>
      </c>
      <c r="F3256" s="85">
        <v>20129.38</v>
      </c>
      <c r="G3256" s="85">
        <v>-1572.9</v>
      </c>
    </row>
    <row r="3257" spans="1:7" x14ac:dyDescent="0.3">
      <c r="A3257" s="84">
        <v>2026</v>
      </c>
      <c r="B3257" s="84" t="s">
        <v>397</v>
      </c>
      <c r="C3257" s="84">
        <v>19</v>
      </c>
      <c r="D3257" s="84">
        <v>16</v>
      </c>
      <c r="E3257" s="85">
        <v>21702.28</v>
      </c>
      <c r="F3257" s="85">
        <v>20523.34</v>
      </c>
      <c r="G3257" s="85">
        <v>-1178.94</v>
      </c>
    </row>
    <row r="3258" spans="1:7" x14ac:dyDescent="0.3">
      <c r="A3258" s="84">
        <v>2026</v>
      </c>
      <c r="B3258" s="84" t="s">
        <v>397</v>
      </c>
      <c r="C3258" s="84">
        <v>19</v>
      </c>
      <c r="D3258" s="84">
        <v>17</v>
      </c>
      <c r="E3258" s="85">
        <v>21702.28</v>
      </c>
      <c r="F3258" s="85">
        <v>20915.62</v>
      </c>
      <c r="G3258" s="85">
        <v>-786.66</v>
      </c>
    </row>
    <row r="3259" spans="1:7" x14ac:dyDescent="0.3">
      <c r="A3259" s="84">
        <v>2026</v>
      </c>
      <c r="B3259" s="84" t="s">
        <v>397</v>
      </c>
      <c r="C3259" s="84">
        <v>19</v>
      </c>
      <c r="D3259" s="84">
        <v>18</v>
      </c>
      <c r="E3259" s="85">
        <v>21702.28</v>
      </c>
      <c r="F3259" s="85">
        <v>21309.16</v>
      </c>
      <c r="G3259" s="85">
        <v>-393.12</v>
      </c>
    </row>
    <row r="3260" spans="1:7" x14ac:dyDescent="0.3">
      <c r="A3260" s="84">
        <v>2026</v>
      </c>
      <c r="B3260" s="84" t="s">
        <v>397</v>
      </c>
      <c r="C3260" s="84">
        <v>19</v>
      </c>
      <c r="D3260" s="84">
        <v>19</v>
      </c>
      <c r="E3260" s="85">
        <v>21702.28</v>
      </c>
      <c r="F3260" s="85">
        <v>21702.28</v>
      </c>
      <c r="G3260" s="85">
        <v>0</v>
      </c>
    </row>
    <row r="3261" spans="1:7" x14ac:dyDescent="0.3">
      <c r="A3261" s="84">
        <v>2026</v>
      </c>
      <c r="B3261" s="84" t="s">
        <v>397</v>
      </c>
      <c r="C3261" s="84">
        <v>19</v>
      </c>
      <c r="D3261" s="84">
        <v>20</v>
      </c>
      <c r="E3261" s="85">
        <v>21702.28</v>
      </c>
      <c r="F3261" s="85">
        <v>22095.26</v>
      </c>
      <c r="G3261" s="85">
        <v>392.98</v>
      </c>
    </row>
    <row r="3262" spans="1:7" x14ac:dyDescent="0.3">
      <c r="A3262" s="84">
        <v>2026</v>
      </c>
      <c r="B3262" s="84" t="s">
        <v>397</v>
      </c>
      <c r="C3262" s="84">
        <v>19</v>
      </c>
      <c r="D3262" s="84">
        <v>21</v>
      </c>
      <c r="E3262" s="85">
        <v>21702.28</v>
      </c>
      <c r="F3262" s="85">
        <v>22684.66</v>
      </c>
      <c r="G3262" s="85">
        <v>982.38</v>
      </c>
    </row>
    <row r="3263" spans="1:7" x14ac:dyDescent="0.3">
      <c r="A3263" s="84">
        <v>2026</v>
      </c>
      <c r="B3263" s="84" t="s">
        <v>397</v>
      </c>
      <c r="C3263" s="84">
        <v>19</v>
      </c>
      <c r="D3263" s="84">
        <v>22</v>
      </c>
      <c r="E3263" s="85">
        <v>21702.28</v>
      </c>
      <c r="F3263" s="85">
        <v>23323.34</v>
      </c>
      <c r="G3263" s="85">
        <v>1621.06</v>
      </c>
    </row>
    <row r="3264" spans="1:7" x14ac:dyDescent="0.3">
      <c r="A3264" s="84">
        <v>2026</v>
      </c>
      <c r="B3264" s="84" t="s">
        <v>397</v>
      </c>
      <c r="C3264" s="84">
        <v>19</v>
      </c>
      <c r="D3264" s="84">
        <v>23</v>
      </c>
      <c r="E3264" s="85">
        <v>21702.28</v>
      </c>
      <c r="F3264" s="85">
        <v>23963.84</v>
      </c>
      <c r="G3264" s="85">
        <v>2261.56</v>
      </c>
    </row>
    <row r="3265" spans="1:7" x14ac:dyDescent="0.3">
      <c r="A3265" s="84">
        <v>2026</v>
      </c>
      <c r="B3265" s="84" t="s">
        <v>397</v>
      </c>
      <c r="C3265" s="84">
        <v>19</v>
      </c>
      <c r="D3265" s="84">
        <v>24</v>
      </c>
      <c r="E3265" s="85">
        <v>21702.28</v>
      </c>
      <c r="F3265" s="85">
        <v>24603.08</v>
      </c>
      <c r="G3265" s="85">
        <v>2900.8</v>
      </c>
    </row>
    <row r="3266" spans="1:7" x14ac:dyDescent="0.3">
      <c r="A3266" s="84">
        <v>2026</v>
      </c>
      <c r="B3266" s="84" t="s">
        <v>397</v>
      </c>
      <c r="C3266" s="84">
        <v>19</v>
      </c>
      <c r="D3266" s="84">
        <v>25</v>
      </c>
      <c r="E3266" s="85">
        <v>21702.28</v>
      </c>
      <c r="F3266" s="85">
        <v>25243.16</v>
      </c>
      <c r="G3266" s="85">
        <v>3540.88</v>
      </c>
    </row>
    <row r="3267" spans="1:7" x14ac:dyDescent="0.3">
      <c r="A3267" s="84">
        <v>2026</v>
      </c>
      <c r="B3267" s="84" t="s">
        <v>397</v>
      </c>
      <c r="C3267" s="84">
        <v>19</v>
      </c>
      <c r="D3267" s="84">
        <v>26</v>
      </c>
      <c r="E3267" s="85">
        <v>21702.28</v>
      </c>
      <c r="F3267" s="85">
        <v>26622.44</v>
      </c>
      <c r="G3267" s="85">
        <v>4920.16</v>
      </c>
    </row>
    <row r="3268" spans="1:7" x14ac:dyDescent="0.3">
      <c r="A3268" s="84">
        <v>2026</v>
      </c>
      <c r="B3268" s="84" t="s">
        <v>397</v>
      </c>
      <c r="C3268" s="84">
        <v>19</v>
      </c>
      <c r="D3268" s="84">
        <v>27</v>
      </c>
      <c r="E3268" s="85">
        <v>21702.28</v>
      </c>
      <c r="F3268" s="85">
        <v>28331.7</v>
      </c>
      <c r="G3268" s="85">
        <v>6629.42</v>
      </c>
    </row>
    <row r="3269" spans="1:7" x14ac:dyDescent="0.3">
      <c r="A3269" s="84">
        <v>2026</v>
      </c>
      <c r="B3269" s="84" t="s">
        <v>397</v>
      </c>
      <c r="C3269" s="84">
        <v>19</v>
      </c>
      <c r="D3269" s="84">
        <v>28</v>
      </c>
      <c r="E3269" s="85">
        <v>21702.28</v>
      </c>
      <c r="F3269" s="85">
        <v>28972.2</v>
      </c>
      <c r="G3269" s="85">
        <v>7269.92</v>
      </c>
    </row>
    <row r="3270" spans="1:7" x14ac:dyDescent="0.3">
      <c r="A3270" s="84">
        <v>2026</v>
      </c>
      <c r="B3270" s="84" t="s">
        <v>397</v>
      </c>
      <c r="C3270" s="84">
        <v>19</v>
      </c>
      <c r="D3270" s="84">
        <v>29</v>
      </c>
      <c r="E3270" s="85">
        <v>21702.28</v>
      </c>
      <c r="F3270" s="85">
        <v>29611.58</v>
      </c>
      <c r="G3270" s="85">
        <v>7909.3</v>
      </c>
    </row>
    <row r="3271" spans="1:7" x14ac:dyDescent="0.3">
      <c r="A3271" s="84">
        <v>2026</v>
      </c>
      <c r="B3271" s="84" t="s">
        <v>397</v>
      </c>
      <c r="C3271" s="84">
        <v>19</v>
      </c>
      <c r="D3271" s="84">
        <v>30</v>
      </c>
      <c r="E3271" s="85">
        <v>21702.28</v>
      </c>
      <c r="F3271" s="85">
        <v>31359.9</v>
      </c>
      <c r="G3271" s="85">
        <v>9657.6200000000008</v>
      </c>
    </row>
    <row r="3272" spans="1:7" x14ac:dyDescent="0.3">
      <c r="A3272" s="84">
        <v>2026</v>
      </c>
      <c r="B3272" s="84" t="s">
        <v>397</v>
      </c>
      <c r="C3272" s="84">
        <v>20</v>
      </c>
      <c r="D3272" s="84">
        <v>1</v>
      </c>
      <c r="E3272" s="85">
        <v>22095.26</v>
      </c>
      <c r="F3272" s="85">
        <v>16002.46</v>
      </c>
      <c r="G3272" s="85">
        <v>-6092.8</v>
      </c>
    </row>
    <row r="3273" spans="1:7" x14ac:dyDescent="0.3">
      <c r="A3273" s="84">
        <v>2026</v>
      </c>
      <c r="B3273" s="84" t="s">
        <v>397</v>
      </c>
      <c r="C3273" s="84">
        <v>20</v>
      </c>
      <c r="D3273" s="84">
        <v>2</v>
      </c>
      <c r="E3273" s="85">
        <v>22095.26</v>
      </c>
      <c r="F3273" s="85">
        <v>16296.88</v>
      </c>
      <c r="G3273" s="85">
        <v>-5798.38</v>
      </c>
    </row>
    <row r="3274" spans="1:7" x14ac:dyDescent="0.3">
      <c r="A3274" s="84">
        <v>2026</v>
      </c>
      <c r="B3274" s="84" t="s">
        <v>397</v>
      </c>
      <c r="C3274" s="84">
        <v>20</v>
      </c>
      <c r="D3274" s="84">
        <v>3</v>
      </c>
      <c r="E3274" s="85">
        <v>22095.26</v>
      </c>
      <c r="F3274" s="85">
        <v>16591.86</v>
      </c>
      <c r="G3274" s="85">
        <v>-5503.4</v>
      </c>
    </row>
    <row r="3275" spans="1:7" x14ac:dyDescent="0.3">
      <c r="A3275" s="84">
        <v>2026</v>
      </c>
      <c r="B3275" s="84" t="s">
        <v>397</v>
      </c>
      <c r="C3275" s="84">
        <v>20</v>
      </c>
      <c r="D3275" s="84">
        <v>4</v>
      </c>
      <c r="E3275" s="85">
        <v>22095.26</v>
      </c>
      <c r="F3275" s="85">
        <v>16886</v>
      </c>
      <c r="G3275" s="85">
        <v>-5209.26</v>
      </c>
    </row>
    <row r="3276" spans="1:7" x14ac:dyDescent="0.3">
      <c r="A3276" s="84">
        <v>2026</v>
      </c>
      <c r="B3276" s="84" t="s">
        <v>397</v>
      </c>
      <c r="C3276" s="84">
        <v>20</v>
      </c>
      <c r="D3276" s="84">
        <v>5</v>
      </c>
      <c r="E3276" s="85">
        <v>22095.26</v>
      </c>
      <c r="F3276" s="85">
        <v>17180.7</v>
      </c>
      <c r="G3276" s="85">
        <v>-4914.5600000000004</v>
      </c>
    </row>
    <row r="3277" spans="1:7" x14ac:dyDescent="0.3">
      <c r="A3277" s="84">
        <v>2026</v>
      </c>
      <c r="B3277" s="84" t="s">
        <v>397</v>
      </c>
      <c r="C3277" s="84">
        <v>20</v>
      </c>
      <c r="D3277" s="84">
        <v>6</v>
      </c>
      <c r="E3277" s="85">
        <v>22095.26</v>
      </c>
      <c r="F3277" s="85">
        <v>17377.400000000001</v>
      </c>
      <c r="G3277" s="85">
        <v>-4717.8599999999997</v>
      </c>
    </row>
    <row r="3278" spans="1:7" x14ac:dyDescent="0.3">
      <c r="A3278" s="84">
        <v>2026</v>
      </c>
      <c r="B3278" s="84" t="s">
        <v>397</v>
      </c>
      <c r="C3278" s="84">
        <v>20</v>
      </c>
      <c r="D3278" s="84">
        <v>7</v>
      </c>
      <c r="E3278" s="85">
        <v>22095.26</v>
      </c>
      <c r="F3278" s="85">
        <v>17574.099999999999</v>
      </c>
      <c r="G3278" s="85">
        <v>-4521.16</v>
      </c>
    </row>
    <row r="3279" spans="1:7" x14ac:dyDescent="0.3">
      <c r="A3279" s="84">
        <v>2026</v>
      </c>
      <c r="B3279" s="84" t="s">
        <v>397</v>
      </c>
      <c r="C3279" s="84">
        <v>20</v>
      </c>
      <c r="D3279" s="84">
        <v>8</v>
      </c>
      <c r="E3279" s="85">
        <v>22095.26</v>
      </c>
      <c r="F3279" s="85">
        <v>17770.38</v>
      </c>
      <c r="G3279" s="85">
        <v>-4324.88</v>
      </c>
    </row>
    <row r="3280" spans="1:7" x14ac:dyDescent="0.3">
      <c r="A3280" s="84">
        <v>2026</v>
      </c>
      <c r="B3280" s="84" t="s">
        <v>397</v>
      </c>
      <c r="C3280" s="84">
        <v>20</v>
      </c>
      <c r="D3280" s="84">
        <v>9</v>
      </c>
      <c r="E3280" s="85">
        <v>22095.26</v>
      </c>
      <c r="F3280" s="85">
        <v>17967.5</v>
      </c>
      <c r="G3280" s="85">
        <v>-4127.76</v>
      </c>
    </row>
    <row r="3281" spans="1:7" x14ac:dyDescent="0.3">
      <c r="A3281" s="84">
        <v>2026</v>
      </c>
      <c r="B3281" s="84" t="s">
        <v>397</v>
      </c>
      <c r="C3281" s="84">
        <v>20</v>
      </c>
      <c r="D3281" s="84">
        <v>10</v>
      </c>
      <c r="E3281" s="85">
        <v>22095.26</v>
      </c>
      <c r="F3281" s="85">
        <v>18163.919999999998</v>
      </c>
      <c r="G3281" s="85">
        <v>-3931.34</v>
      </c>
    </row>
    <row r="3282" spans="1:7" x14ac:dyDescent="0.3">
      <c r="A3282" s="84">
        <v>2026</v>
      </c>
      <c r="B3282" s="84" t="s">
        <v>397</v>
      </c>
      <c r="C3282" s="84">
        <v>20</v>
      </c>
      <c r="D3282" s="84">
        <v>11</v>
      </c>
      <c r="E3282" s="85">
        <v>22095.26</v>
      </c>
      <c r="F3282" s="85">
        <v>18556.48</v>
      </c>
      <c r="G3282" s="85">
        <v>-3538.78</v>
      </c>
    </row>
    <row r="3283" spans="1:7" x14ac:dyDescent="0.3">
      <c r="A3283" s="84">
        <v>2026</v>
      </c>
      <c r="B3283" s="84" t="s">
        <v>397</v>
      </c>
      <c r="C3283" s="84">
        <v>20</v>
      </c>
      <c r="D3283" s="84">
        <v>12</v>
      </c>
      <c r="E3283" s="85">
        <v>22095.26</v>
      </c>
      <c r="F3283" s="85">
        <v>18950.02</v>
      </c>
      <c r="G3283" s="85">
        <v>-3145.24</v>
      </c>
    </row>
    <row r="3284" spans="1:7" x14ac:dyDescent="0.3">
      <c r="A3284" s="84">
        <v>2026</v>
      </c>
      <c r="B3284" s="84" t="s">
        <v>397</v>
      </c>
      <c r="C3284" s="84">
        <v>20</v>
      </c>
      <c r="D3284" s="84">
        <v>13</v>
      </c>
      <c r="E3284" s="85">
        <v>22095.26</v>
      </c>
      <c r="F3284" s="85">
        <v>19343.28</v>
      </c>
      <c r="G3284" s="85">
        <v>-2751.98</v>
      </c>
    </row>
    <row r="3285" spans="1:7" x14ac:dyDescent="0.3">
      <c r="A3285" s="84">
        <v>2026</v>
      </c>
      <c r="B3285" s="84" t="s">
        <v>397</v>
      </c>
      <c r="C3285" s="84">
        <v>20</v>
      </c>
      <c r="D3285" s="84">
        <v>14</v>
      </c>
      <c r="E3285" s="85">
        <v>22095.26</v>
      </c>
      <c r="F3285" s="85">
        <v>19737.099999999999</v>
      </c>
      <c r="G3285" s="85">
        <v>-2358.16</v>
      </c>
    </row>
    <row r="3286" spans="1:7" x14ac:dyDescent="0.3">
      <c r="A3286" s="84">
        <v>2026</v>
      </c>
      <c r="B3286" s="84" t="s">
        <v>397</v>
      </c>
      <c r="C3286" s="84">
        <v>20</v>
      </c>
      <c r="D3286" s="84">
        <v>15</v>
      </c>
      <c r="E3286" s="85">
        <v>22095.26</v>
      </c>
      <c r="F3286" s="85">
        <v>20129.38</v>
      </c>
      <c r="G3286" s="85">
        <v>-1965.88</v>
      </c>
    </row>
    <row r="3287" spans="1:7" x14ac:dyDescent="0.3">
      <c r="A3287" s="84">
        <v>2026</v>
      </c>
      <c r="B3287" s="84" t="s">
        <v>397</v>
      </c>
      <c r="C3287" s="84">
        <v>20</v>
      </c>
      <c r="D3287" s="84">
        <v>16</v>
      </c>
      <c r="E3287" s="85">
        <v>22095.26</v>
      </c>
      <c r="F3287" s="85">
        <v>20523.34</v>
      </c>
      <c r="G3287" s="85">
        <v>-1571.92</v>
      </c>
    </row>
    <row r="3288" spans="1:7" x14ac:dyDescent="0.3">
      <c r="A3288" s="84">
        <v>2026</v>
      </c>
      <c r="B3288" s="84" t="s">
        <v>397</v>
      </c>
      <c r="C3288" s="84">
        <v>20</v>
      </c>
      <c r="D3288" s="84">
        <v>17</v>
      </c>
      <c r="E3288" s="85">
        <v>22095.26</v>
      </c>
      <c r="F3288" s="85">
        <v>20915.62</v>
      </c>
      <c r="G3288" s="85">
        <v>-1179.6400000000001</v>
      </c>
    </row>
    <row r="3289" spans="1:7" x14ac:dyDescent="0.3">
      <c r="A3289" s="84">
        <v>2026</v>
      </c>
      <c r="B3289" s="84" t="s">
        <v>397</v>
      </c>
      <c r="C3289" s="84">
        <v>20</v>
      </c>
      <c r="D3289" s="84">
        <v>18</v>
      </c>
      <c r="E3289" s="85">
        <v>22095.26</v>
      </c>
      <c r="F3289" s="85">
        <v>21309.16</v>
      </c>
      <c r="G3289" s="85">
        <v>-786.1</v>
      </c>
    </row>
    <row r="3290" spans="1:7" x14ac:dyDescent="0.3">
      <c r="A3290" s="84">
        <v>2026</v>
      </c>
      <c r="B3290" s="84" t="s">
        <v>397</v>
      </c>
      <c r="C3290" s="84">
        <v>20</v>
      </c>
      <c r="D3290" s="84">
        <v>19</v>
      </c>
      <c r="E3290" s="85">
        <v>22095.26</v>
      </c>
      <c r="F3290" s="85">
        <v>21702.28</v>
      </c>
      <c r="G3290" s="85">
        <v>-392.98</v>
      </c>
    </row>
    <row r="3291" spans="1:7" x14ac:dyDescent="0.3">
      <c r="A3291" s="84">
        <v>2026</v>
      </c>
      <c r="B3291" s="84" t="s">
        <v>397</v>
      </c>
      <c r="C3291" s="84">
        <v>20</v>
      </c>
      <c r="D3291" s="84">
        <v>20</v>
      </c>
      <c r="E3291" s="85">
        <v>22095.26</v>
      </c>
      <c r="F3291" s="85">
        <v>22095.26</v>
      </c>
      <c r="G3291" s="85">
        <v>0</v>
      </c>
    </row>
    <row r="3292" spans="1:7" x14ac:dyDescent="0.3">
      <c r="A3292" s="84">
        <v>2026</v>
      </c>
      <c r="B3292" s="84" t="s">
        <v>397</v>
      </c>
      <c r="C3292" s="84">
        <v>20</v>
      </c>
      <c r="D3292" s="84">
        <v>21</v>
      </c>
      <c r="E3292" s="85">
        <v>22095.26</v>
      </c>
      <c r="F3292" s="85">
        <v>22684.66</v>
      </c>
      <c r="G3292" s="85">
        <v>589.4</v>
      </c>
    </row>
    <row r="3293" spans="1:7" x14ac:dyDescent="0.3">
      <c r="A3293" s="84">
        <v>2026</v>
      </c>
      <c r="B3293" s="84" t="s">
        <v>397</v>
      </c>
      <c r="C3293" s="84">
        <v>20</v>
      </c>
      <c r="D3293" s="84">
        <v>22</v>
      </c>
      <c r="E3293" s="85">
        <v>22095.26</v>
      </c>
      <c r="F3293" s="85">
        <v>23323.34</v>
      </c>
      <c r="G3293" s="85">
        <v>1228.08</v>
      </c>
    </row>
    <row r="3294" spans="1:7" x14ac:dyDescent="0.3">
      <c r="A3294" s="84">
        <v>2026</v>
      </c>
      <c r="B3294" s="84" t="s">
        <v>397</v>
      </c>
      <c r="C3294" s="84">
        <v>20</v>
      </c>
      <c r="D3294" s="84">
        <v>23</v>
      </c>
      <c r="E3294" s="85">
        <v>22095.26</v>
      </c>
      <c r="F3294" s="85">
        <v>23963.84</v>
      </c>
      <c r="G3294" s="85">
        <v>1868.58</v>
      </c>
    </row>
    <row r="3295" spans="1:7" x14ac:dyDescent="0.3">
      <c r="A3295" s="84">
        <v>2026</v>
      </c>
      <c r="B3295" s="84" t="s">
        <v>397</v>
      </c>
      <c r="C3295" s="84">
        <v>20</v>
      </c>
      <c r="D3295" s="84">
        <v>24</v>
      </c>
      <c r="E3295" s="85">
        <v>22095.26</v>
      </c>
      <c r="F3295" s="85">
        <v>24603.08</v>
      </c>
      <c r="G3295" s="85">
        <v>2507.8200000000002</v>
      </c>
    </row>
    <row r="3296" spans="1:7" x14ac:dyDescent="0.3">
      <c r="A3296" s="84">
        <v>2026</v>
      </c>
      <c r="B3296" s="84" t="s">
        <v>397</v>
      </c>
      <c r="C3296" s="84">
        <v>20</v>
      </c>
      <c r="D3296" s="84">
        <v>25</v>
      </c>
      <c r="E3296" s="85">
        <v>22095.26</v>
      </c>
      <c r="F3296" s="85">
        <v>25243.16</v>
      </c>
      <c r="G3296" s="85">
        <v>3147.9</v>
      </c>
    </row>
    <row r="3297" spans="1:7" x14ac:dyDescent="0.3">
      <c r="A3297" s="84">
        <v>2026</v>
      </c>
      <c r="B3297" s="84" t="s">
        <v>397</v>
      </c>
      <c r="C3297" s="84">
        <v>20</v>
      </c>
      <c r="D3297" s="84">
        <v>26</v>
      </c>
      <c r="E3297" s="85">
        <v>22095.26</v>
      </c>
      <c r="F3297" s="85">
        <v>26622.44</v>
      </c>
      <c r="G3297" s="85">
        <v>4527.18</v>
      </c>
    </row>
    <row r="3298" spans="1:7" x14ac:dyDescent="0.3">
      <c r="A3298" s="84">
        <v>2026</v>
      </c>
      <c r="B3298" s="84" t="s">
        <v>397</v>
      </c>
      <c r="C3298" s="84">
        <v>20</v>
      </c>
      <c r="D3298" s="84">
        <v>27</v>
      </c>
      <c r="E3298" s="85">
        <v>22095.26</v>
      </c>
      <c r="F3298" s="85">
        <v>28331.7</v>
      </c>
      <c r="G3298" s="85">
        <v>6236.44</v>
      </c>
    </row>
    <row r="3299" spans="1:7" x14ac:dyDescent="0.3">
      <c r="A3299" s="84">
        <v>2026</v>
      </c>
      <c r="B3299" s="84" t="s">
        <v>397</v>
      </c>
      <c r="C3299" s="84">
        <v>20</v>
      </c>
      <c r="D3299" s="84">
        <v>28</v>
      </c>
      <c r="E3299" s="85">
        <v>22095.26</v>
      </c>
      <c r="F3299" s="85">
        <v>28972.2</v>
      </c>
      <c r="G3299" s="85">
        <v>6876.94</v>
      </c>
    </row>
    <row r="3300" spans="1:7" x14ac:dyDescent="0.3">
      <c r="A3300" s="84">
        <v>2026</v>
      </c>
      <c r="B3300" s="84" t="s">
        <v>397</v>
      </c>
      <c r="C3300" s="84">
        <v>20</v>
      </c>
      <c r="D3300" s="84">
        <v>29</v>
      </c>
      <c r="E3300" s="85">
        <v>22095.26</v>
      </c>
      <c r="F3300" s="85">
        <v>29611.58</v>
      </c>
      <c r="G3300" s="85">
        <v>7516.32</v>
      </c>
    </row>
    <row r="3301" spans="1:7" x14ac:dyDescent="0.3">
      <c r="A3301" s="84">
        <v>2026</v>
      </c>
      <c r="B3301" s="84" t="s">
        <v>397</v>
      </c>
      <c r="C3301" s="84">
        <v>20</v>
      </c>
      <c r="D3301" s="84">
        <v>30</v>
      </c>
      <c r="E3301" s="85">
        <v>22095.26</v>
      </c>
      <c r="F3301" s="85">
        <v>31359.9</v>
      </c>
      <c r="G3301" s="85">
        <v>9264.64</v>
      </c>
    </row>
    <row r="3302" spans="1:7" x14ac:dyDescent="0.3">
      <c r="A3302" s="84">
        <v>2026</v>
      </c>
      <c r="B3302" s="84" t="s">
        <v>397</v>
      </c>
      <c r="C3302" s="84">
        <v>21</v>
      </c>
      <c r="D3302" s="84">
        <v>1</v>
      </c>
      <c r="E3302" s="85">
        <v>22684.66</v>
      </c>
      <c r="F3302" s="85">
        <v>16002.46</v>
      </c>
      <c r="G3302" s="85">
        <v>-6682.2</v>
      </c>
    </row>
    <row r="3303" spans="1:7" x14ac:dyDescent="0.3">
      <c r="A3303" s="84">
        <v>2026</v>
      </c>
      <c r="B3303" s="84" t="s">
        <v>397</v>
      </c>
      <c r="C3303" s="84">
        <v>21</v>
      </c>
      <c r="D3303" s="84">
        <v>2</v>
      </c>
      <c r="E3303" s="85">
        <v>22684.66</v>
      </c>
      <c r="F3303" s="85">
        <v>16296.88</v>
      </c>
      <c r="G3303" s="85">
        <v>-6387.78</v>
      </c>
    </row>
    <row r="3304" spans="1:7" x14ac:dyDescent="0.3">
      <c r="A3304" s="84">
        <v>2026</v>
      </c>
      <c r="B3304" s="84" t="s">
        <v>397</v>
      </c>
      <c r="C3304" s="84">
        <v>21</v>
      </c>
      <c r="D3304" s="84">
        <v>3</v>
      </c>
      <c r="E3304" s="85">
        <v>22684.66</v>
      </c>
      <c r="F3304" s="85">
        <v>16591.86</v>
      </c>
      <c r="G3304" s="85">
        <v>-6092.8</v>
      </c>
    </row>
    <row r="3305" spans="1:7" x14ac:dyDescent="0.3">
      <c r="A3305" s="84">
        <v>2026</v>
      </c>
      <c r="B3305" s="84" t="s">
        <v>397</v>
      </c>
      <c r="C3305" s="84">
        <v>21</v>
      </c>
      <c r="D3305" s="84">
        <v>4</v>
      </c>
      <c r="E3305" s="85">
        <v>22684.66</v>
      </c>
      <c r="F3305" s="85">
        <v>16886</v>
      </c>
      <c r="G3305" s="85">
        <v>-5798.66</v>
      </c>
    </row>
    <row r="3306" spans="1:7" x14ac:dyDescent="0.3">
      <c r="A3306" s="84">
        <v>2026</v>
      </c>
      <c r="B3306" s="84" t="s">
        <v>397</v>
      </c>
      <c r="C3306" s="84">
        <v>21</v>
      </c>
      <c r="D3306" s="84">
        <v>5</v>
      </c>
      <c r="E3306" s="85">
        <v>22684.66</v>
      </c>
      <c r="F3306" s="85">
        <v>17180.7</v>
      </c>
      <c r="G3306" s="85">
        <v>-5503.96</v>
      </c>
    </row>
    <row r="3307" spans="1:7" x14ac:dyDescent="0.3">
      <c r="A3307" s="84">
        <v>2026</v>
      </c>
      <c r="B3307" s="84" t="s">
        <v>397</v>
      </c>
      <c r="C3307" s="84">
        <v>21</v>
      </c>
      <c r="D3307" s="84">
        <v>6</v>
      </c>
      <c r="E3307" s="85">
        <v>22684.66</v>
      </c>
      <c r="F3307" s="85">
        <v>17377.400000000001</v>
      </c>
      <c r="G3307" s="85">
        <v>-5307.26</v>
      </c>
    </row>
    <row r="3308" spans="1:7" x14ac:dyDescent="0.3">
      <c r="A3308" s="84">
        <v>2026</v>
      </c>
      <c r="B3308" s="84" t="s">
        <v>397</v>
      </c>
      <c r="C3308" s="84">
        <v>21</v>
      </c>
      <c r="D3308" s="84">
        <v>7</v>
      </c>
      <c r="E3308" s="85">
        <v>22684.66</v>
      </c>
      <c r="F3308" s="85">
        <v>17574.099999999999</v>
      </c>
      <c r="G3308" s="85">
        <v>-5110.5600000000004</v>
      </c>
    </row>
    <row r="3309" spans="1:7" x14ac:dyDescent="0.3">
      <c r="A3309" s="84">
        <v>2026</v>
      </c>
      <c r="B3309" s="84" t="s">
        <v>397</v>
      </c>
      <c r="C3309" s="84">
        <v>21</v>
      </c>
      <c r="D3309" s="84">
        <v>8</v>
      </c>
      <c r="E3309" s="85">
        <v>22684.66</v>
      </c>
      <c r="F3309" s="85">
        <v>17770.38</v>
      </c>
      <c r="G3309" s="85">
        <v>-4914.28</v>
      </c>
    </row>
    <row r="3310" spans="1:7" x14ac:dyDescent="0.3">
      <c r="A3310" s="84">
        <v>2026</v>
      </c>
      <c r="B3310" s="84" t="s">
        <v>397</v>
      </c>
      <c r="C3310" s="84">
        <v>21</v>
      </c>
      <c r="D3310" s="84">
        <v>9</v>
      </c>
      <c r="E3310" s="85">
        <v>22684.66</v>
      </c>
      <c r="F3310" s="85">
        <v>17967.5</v>
      </c>
      <c r="G3310" s="85">
        <v>-4717.16</v>
      </c>
    </row>
    <row r="3311" spans="1:7" x14ac:dyDescent="0.3">
      <c r="A3311" s="84">
        <v>2026</v>
      </c>
      <c r="B3311" s="84" t="s">
        <v>397</v>
      </c>
      <c r="C3311" s="84">
        <v>21</v>
      </c>
      <c r="D3311" s="84">
        <v>10</v>
      </c>
      <c r="E3311" s="85">
        <v>22684.66</v>
      </c>
      <c r="F3311" s="85">
        <v>18163.919999999998</v>
      </c>
      <c r="G3311" s="85">
        <v>-4520.74</v>
      </c>
    </row>
    <row r="3312" spans="1:7" x14ac:dyDescent="0.3">
      <c r="A3312" s="84">
        <v>2026</v>
      </c>
      <c r="B3312" s="84" t="s">
        <v>397</v>
      </c>
      <c r="C3312" s="84">
        <v>21</v>
      </c>
      <c r="D3312" s="84">
        <v>11</v>
      </c>
      <c r="E3312" s="85">
        <v>22684.66</v>
      </c>
      <c r="F3312" s="85">
        <v>18556.48</v>
      </c>
      <c r="G3312" s="85">
        <v>-4128.18</v>
      </c>
    </row>
    <row r="3313" spans="1:7" x14ac:dyDescent="0.3">
      <c r="A3313" s="84">
        <v>2026</v>
      </c>
      <c r="B3313" s="84" t="s">
        <v>397</v>
      </c>
      <c r="C3313" s="84">
        <v>21</v>
      </c>
      <c r="D3313" s="84">
        <v>12</v>
      </c>
      <c r="E3313" s="85">
        <v>22684.66</v>
      </c>
      <c r="F3313" s="85">
        <v>18950.02</v>
      </c>
      <c r="G3313" s="85">
        <v>-3734.64</v>
      </c>
    </row>
    <row r="3314" spans="1:7" x14ac:dyDescent="0.3">
      <c r="A3314" s="84">
        <v>2026</v>
      </c>
      <c r="B3314" s="84" t="s">
        <v>397</v>
      </c>
      <c r="C3314" s="84">
        <v>21</v>
      </c>
      <c r="D3314" s="84">
        <v>13</v>
      </c>
      <c r="E3314" s="85">
        <v>22684.66</v>
      </c>
      <c r="F3314" s="85">
        <v>19343.28</v>
      </c>
      <c r="G3314" s="85">
        <v>-3341.38</v>
      </c>
    </row>
    <row r="3315" spans="1:7" x14ac:dyDescent="0.3">
      <c r="A3315" s="84">
        <v>2026</v>
      </c>
      <c r="B3315" s="84" t="s">
        <v>397</v>
      </c>
      <c r="C3315" s="84">
        <v>21</v>
      </c>
      <c r="D3315" s="84">
        <v>14</v>
      </c>
      <c r="E3315" s="85">
        <v>22684.66</v>
      </c>
      <c r="F3315" s="85">
        <v>19737.099999999999</v>
      </c>
      <c r="G3315" s="85">
        <v>-2947.56</v>
      </c>
    </row>
    <row r="3316" spans="1:7" x14ac:dyDescent="0.3">
      <c r="A3316" s="84">
        <v>2026</v>
      </c>
      <c r="B3316" s="84" t="s">
        <v>397</v>
      </c>
      <c r="C3316" s="84">
        <v>21</v>
      </c>
      <c r="D3316" s="84">
        <v>15</v>
      </c>
      <c r="E3316" s="85">
        <v>22684.66</v>
      </c>
      <c r="F3316" s="85">
        <v>20129.38</v>
      </c>
      <c r="G3316" s="85">
        <v>-2555.2800000000002</v>
      </c>
    </row>
    <row r="3317" spans="1:7" x14ac:dyDescent="0.3">
      <c r="A3317" s="84">
        <v>2026</v>
      </c>
      <c r="B3317" s="84" t="s">
        <v>397</v>
      </c>
      <c r="C3317" s="84">
        <v>21</v>
      </c>
      <c r="D3317" s="84">
        <v>16</v>
      </c>
      <c r="E3317" s="85">
        <v>22684.66</v>
      </c>
      <c r="F3317" s="85">
        <v>20523.34</v>
      </c>
      <c r="G3317" s="85">
        <v>-2161.3200000000002</v>
      </c>
    </row>
    <row r="3318" spans="1:7" x14ac:dyDescent="0.3">
      <c r="A3318" s="84">
        <v>2026</v>
      </c>
      <c r="B3318" s="84" t="s">
        <v>397</v>
      </c>
      <c r="C3318" s="84">
        <v>21</v>
      </c>
      <c r="D3318" s="84">
        <v>17</v>
      </c>
      <c r="E3318" s="85">
        <v>22684.66</v>
      </c>
      <c r="F3318" s="85">
        <v>20915.62</v>
      </c>
      <c r="G3318" s="85">
        <v>-1769.04</v>
      </c>
    </row>
    <row r="3319" spans="1:7" x14ac:dyDescent="0.3">
      <c r="A3319" s="84">
        <v>2026</v>
      </c>
      <c r="B3319" s="84" t="s">
        <v>397</v>
      </c>
      <c r="C3319" s="84">
        <v>21</v>
      </c>
      <c r="D3319" s="84">
        <v>18</v>
      </c>
      <c r="E3319" s="85">
        <v>22684.66</v>
      </c>
      <c r="F3319" s="85">
        <v>21309.16</v>
      </c>
      <c r="G3319" s="85">
        <v>-1375.5</v>
      </c>
    </row>
    <row r="3320" spans="1:7" x14ac:dyDescent="0.3">
      <c r="A3320" s="84">
        <v>2026</v>
      </c>
      <c r="B3320" s="84" t="s">
        <v>397</v>
      </c>
      <c r="C3320" s="84">
        <v>21</v>
      </c>
      <c r="D3320" s="84">
        <v>19</v>
      </c>
      <c r="E3320" s="85">
        <v>22684.66</v>
      </c>
      <c r="F3320" s="85">
        <v>21702.28</v>
      </c>
      <c r="G3320" s="85">
        <v>-982.38</v>
      </c>
    </row>
    <row r="3321" spans="1:7" x14ac:dyDescent="0.3">
      <c r="A3321" s="84">
        <v>2026</v>
      </c>
      <c r="B3321" s="84" t="s">
        <v>397</v>
      </c>
      <c r="C3321" s="84">
        <v>21</v>
      </c>
      <c r="D3321" s="84">
        <v>20</v>
      </c>
      <c r="E3321" s="85">
        <v>22684.66</v>
      </c>
      <c r="F3321" s="85">
        <v>22095.26</v>
      </c>
      <c r="G3321" s="85">
        <v>-589.4</v>
      </c>
    </row>
    <row r="3322" spans="1:7" x14ac:dyDescent="0.3">
      <c r="A3322" s="84">
        <v>2026</v>
      </c>
      <c r="B3322" s="84" t="s">
        <v>397</v>
      </c>
      <c r="C3322" s="84">
        <v>21</v>
      </c>
      <c r="D3322" s="84">
        <v>21</v>
      </c>
      <c r="E3322" s="85">
        <v>22684.66</v>
      </c>
      <c r="F3322" s="85">
        <v>22684.66</v>
      </c>
      <c r="G3322" s="85">
        <v>0</v>
      </c>
    </row>
    <row r="3323" spans="1:7" x14ac:dyDescent="0.3">
      <c r="A3323" s="84">
        <v>2026</v>
      </c>
      <c r="B3323" s="84" t="s">
        <v>397</v>
      </c>
      <c r="C3323" s="84">
        <v>21</v>
      </c>
      <c r="D3323" s="84">
        <v>22</v>
      </c>
      <c r="E3323" s="85">
        <v>22684.66</v>
      </c>
      <c r="F3323" s="85">
        <v>23323.34</v>
      </c>
      <c r="G3323" s="85">
        <v>638.67999999999995</v>
      </c>
    </row>
    <row r="3324" spans="1:7" x14ac:dyDescent="0.3">
      <c r="A3324" s="84">
        <v>2026</v>
      </c>
      <c r="B3324" s="84" t="s">
        <v>397</v>
      </c>
      <c r="C3324" s="84">
        <v>21</v>
      </c>
      <c r="D3324" s="84">
        <v>23</v>
      </c>
      <c r="E3324" s="85">
        <v>22684.66</v>
      </c>
      <c r="F3324" s="85">
        <v>23963.84</v>
      </c>
      <c r="G3324" s="85">
        <v>1279.18</v>
      </c>
    </row>
    <row r="3325" spans="1:7" x14ac:dyDescent="0.3">
      <c r="A3325" s="84">
        <v>2026</v>
      </c>
      <c r="B3325" s="84" t="s">
        <v>397</v>
      </c>
      <c r="C3325" s="84">
        <v>21</v>
      </c>
      <c r="D3325" s="84">
        <v>24</v>
      </c>
      <c r="E3325" s="85">
        <v>22684.66</v>
      </c>
      <c r="F3325" s="85">
        <v>24603.08</v>
      </c>
      <c r="G3325" s="85">
        <v>1918.42</v>
      </c>
    </row>
    <row r="3326" spans="1:7" x14ac:dyDescent="0.3">
      <c r="A3326" s="84">
        <v>2026</v>
      </c>
      <c r="B3326" s="84" t="s">
        <v>397</v>
      </c>
      <c r="C3326" s="84">
        <v>21</v>
      </c>
      <c r="D3326" s="84">
        <v>25</v>
      </c>
      <c r="E3326" s="85">
        <v>22684.66</v>
      </c>
      <c r="F3326" s="85">
        <v>25243.16</v>
      </c>
      <c r="G3326" s="85">
        <v>2558.5</v>
      </c>
    </row>
    <row r="3327" spans="1:7" x14ac:dyDescent="0.3">
      <c r="A3327" s="84">
        <v>2026</v>
      </c>
      <c r="B3327" s="84" t="s">
        <v>397</v>
      </c>
      <c r="C3327" s="84">
        <v>21</v>
      </c>
      <c r="D3327" s="84">
        <v>26</v>
      </c>
      <c r="E3327" s="85">
        <v>22684.66</v>
      </c>
      <c r="F3327" s="85">
        <v>26622.44</v>
      </c>
      <c r="G3327" s="85">
        <v>3937.78</v>
      </c>
    </row>
    <row r="3328" spans="1:7" x14ac:dyDescent="0.3">
      <c r="A3328" s="84">
        <v>2026</v>
      </c>
      <c r="B3328" s="84" t="s">
        <v>397</v>
      </c>
      <c r="C3328" s="84">
        <v>21</v>
      </c>
      <c r="D3328" s="84">
        <v>27</v>
      </c>
      <c r="E3328" s="85">
        <v>22684.66</v>
      </c>
      <c r="F3328" s="85">
        <v>28331.7</v>
      </c>
      <c r="G3328" s="85">
        <v>5647.04</v>
      </c>
    </row>
    <row r="3329" spans="1:7" x14ac:dyDescent="0.3">
      <c r="A3329" s="84">
        <v>2026</v>
      </c>
      <c r="B3329" s="84" t="s">
        <v>397</v>
      </c>
      <c r="C3329" s="84">
        <v>21</v>
      </c>
      <c r="D3329" s="84">
        <v>28</v>
      </c>
      <c r="E3329" s="85">
        <v>22684.66</v>
      </c>
      <c r="F3329" s="85">
        <v>28972.2</v>
      </c>
      <c r="G3329" s="85">
        <v>6287.54</v>
      </c>
    </row>
    <row r="3330" spans="1:7" x14ac:dyDescent="0.3">
      <c r="A3330" s="84">
        <v>2026</v>
      </c>
      <c r="B3330" s="84" t="s">
        <v>397</v>
      </c>
      <c r="C3330" s="84">
        <v>21</v>
      </c>
      <c r="D3330" s="84">
        <v>29</v>
      </c>
      <c r="E3330" s="85">
        <v>22684.66</v>
      </c>
      <c r="F3330" s="85">
        <v>29611.58</v>
      </c>
      <c r="G3330" s="85">
        <v>6926.92</v>
      </c>
    </row>
    <row r="3331" spans="1:7" x14ac:dyDescent="0.3">
      <c r="A3331" s="84">
        <v>2026</v>
      </c>
      <c r="B3331" s="84" t="s">
        <v>397</v>
      </c>
      <c r="C3331" s="84">
        <v>21</v>
      </c>
      <c r="D3331" s="84">
        <v>30</v>
      </c>
      <c r="E3331" s="85">
        <v>22684.66</v>
      </c>
      <c r="F3331" s="85">
        <v>31359.9</v>
      </c>
      <c r="G3331" s="85">
        <v>8675.24</v>
      </c>
    </row>
    <row r="3332" spans="1:7" x14ac:dyDescent="0.3">
      <c r="A3332" s="84">
        <v>2026</v>
      </c>
      <c r="B3332" s="84" t="s">
        <v>397</v>
      </c>
      <c r="C3332" s="84">
        <v>22</v>
      </c>
      <c r="D3332" s="84">
        <v>1</v>
      </c>
      <c r="E3332" s="85">
        <v>23323.34</v>
      </c>
      <c r="F3332" s="85">
        <v>16002.46</v>
      </c>
      <c r="G3332" s="85">
        <v>-7320.88</v>
      </c>
    </row>
    <row r="3333" spans="1:7" x14ac:dyDescent="0.3">
      <c r="A3333" s="84">
        <v>2026</v>
      </c>
      <c r="B3333" s="84" t="s">
        <v>397</v>
      </c>
      <c r="C3333" s="84">
        <v>22</v>
      </c>
      <c r="D3333" s="84">
        <v>2</v>
      </c>
      <c r="E3333" s="85">
        <v>23323.34</v>
      </c>
      <c r="F3333" s="85">
        <v>16296.88</v>
      </c>
      <c r="G3333" s="85">
        <v>-7026.46</v>
      </c>
    </row>
    <row r="3334" spans="1:7" x14ac:dyDescent="0.3">
      <c r="A3334" s="84">
        <v>2026</v>
      </c>
      <c r="B3334" s="84" t="s">
        <v>397</v>
      </c>
      <c r="C3334" s="84">
        <v>22</v>
      </c>
      <c r="D3334" s="84">
        <v>3</v>
      </c>
      <c r="E3334" s="85">
        <v>23323.34</v>
      </c>
      <c r="F3334" s="85">
        <v>16591.86</v>
      </c>
      <c r="G3334" s="85">
        <v>-6731.48</v>
      </c>
    </row>
    <row r="3335" spans="1:7" x14ac:dyDescent="0.3">
      <c r="A3335" s="84">
        <v>2026</v>
      </c>
      <c r="B3335" s="84" t="s">
        <v>397</v>
      </c>
      <c r="C3335" s="84">
        <v>22</v>
      </c>
      <c r="D3335" s="84">
        <v>4</v>
      </c>
      <c r="E3335" s="85">
        <v>23323.34</v>
      </c>
      <c r="F3335" s="85">
        <v>16886</v>
      </c>
      <c r="G3335" s="85">
        <v>-6437.34</v>
      </c>
    </row>
    <row r="3336" spans="1:7" x14ac:dyDescent="0.3">
      <c r="A3336" s="84">
        <v>2026</v>
      </c>
      <c r="B3336" s="84" t="s">
        <v>397</v>
      </c>
      <c r="C3336" s="84">
        <v>22</v>
      </c>
      <c r="D3336" s="84">
        <v>5</v>
      </c>
      <c r="E3336" s="85">
        <v>23323.34</v>
      </c>
      <c r="F3336" s="85">
        <v>17180.7</v>
      </c>
      <c r="G3336" s="85">
        <v>-6142.64</v>
      </c>
    </row>
    <row r="3337" spans="1:7" x14ac:dyDescent="0.3">
      <c r="A3337" s="84">
        <v>2026</v>
      </c>
      <c r="B3337" s="84" t="s">
        <v>397</v>
      </c>
      <c r="C3337" s="84">
        <v>22</v>
      </c>
      <c r="D3337" s="84">
        <v>6</v>
      </c>
      <c r="E3337" s="85">
        <v>23323.34</v>
      </c>
      <c r="F3337" s="85">
        <v>17377.400000000001</v>
      </c>
      <c r="G3337" s="85">
        <v>-5945.94</v>
      </c>
    </row>
    <row r="3338" spans="1:7" x14ac:dyDescent="0.3">
      <c r="A3338" s="84">
        <v>2026</v>
      </c>
      <c r="B3338" s="84" t="s">
        <v>397</v>
      </c>
      <c r="C3338" s="84">
        <v>22</v>
      </c>
      <c r="D3338" s="84">
        <v>7</v>
      </c>
      <c r="E3338" s="85">
        <v>23323.34</v>
      </c>
      <c r="F3338" s="85">
        <v>17574.099999999999</v>
      </c>
      <c r="G3338" s="85">
        <v>-5749.24</v>
      </c>
    </row>
    <row r="3339" spans="1:7" x14ac:dyDescent="0.3">
      <c r="A3339" s="84">
        <v>2026</v>
      </c>
      <c r="B3339" s="84" t="s">
        <v>397</v>
      </c>
      <c r="C3339" s="84">
        <v>22</v>
      </c>
      <c r="D3339" s="84">
        <v>8</v>
      </c>
      <c r="E3339" s="85">
        <v>23323.34</v>
      </c>
      <c r="F3339" s="85">
        <v>17770.38</v>
      </c>
      <c r="G3339" s="85">
        <v>-5552.96</v>
      </c>
    </row>
    <row r="3340" spans="1:7" x14ac:dyDescent="0.3">
      <c r="A3340" s="84">
        <v>2026</v>
      </c>
      <c r="B3340" s="84" t="s">
        <v>397</v>
      </c>
      <c r="C3340" s="84">
        <v>22</v>
      </c>
      <c r="D3340" s="84">
        <v>9</v>
      </c>
      <c r="E3340" s="85">
        <v>23323.34</v>
      </c>
      <c r="F3340" s="85">
        <v>17967.5</v>
      </c>
      <c r="G3340" s="85">
        <v>-5355.84</v>
      </c>
    </row>
    <row r="3341" spans="1:7" x14ac:dyDescent="0.3">
      <c r="A3341" s="84">
        <v>2026</v>
      </c>
      <c r="B3341" s="84" t="s">
        <v>397</v>
      </c>
      <c r="C3341" s="84">
        <v>22</v>
      </c>
      <c r="D3341" s="84">
        <v>10</v>
      </c>
      <c r="E3341" s="85">
        <v>23323.34</v>
      </c>
      <c r="F3341" s="85">
        <v>18163.919999999998</v>
      </c>
      <c r="G3341" s="85">
        <v>-5159.42</v>
      </c>
    </row>
    <row r="3342" spans="1:7" x14ac:dyDescent="0.3">
      <c r="A3342" s="84">
        <v>2026</v>
      </c>
      <c r="B3342" s="84" t="s">
        <v>397</v>
      </c>
      <c r="C3342" s="84">
        <v>22</v>
      </c>
      <c r="D3342" s="84">
        <v>11</v>
      </c>
      <c r="E3342" s="85">
        <v>23323.34</v>
      </c>
      <c r="F3342" s="85">
        <v>18556.48</v>
      </c>
      <c r="G3342" s="85">
        <v>-4766.8599999999997</v>
      </c>
    </row>
    <row r="3343" spans="1:7" x14ac:dyDescent="0.3">
      <c r="A3343" s="84">
        <v>2026</v>
      </c>
      <c r="B3343" s="84" t="s">
        <v>397</v>
      </c>
      <c r="C3343" s="84">
        <v>22</v>
      </c>
      <c r="D3343" s="84">
        <v>12</v>
      </c>
      <c r="E3343" s="85">
        <v>23323.34</v>
      </c>
      <c r="F3343" s="85">
        <v>18950.02</v>
      </c>
      <c r="G3343" s="85">
        <v>-4373.32</v>
      </c>
    </row>
    <row r="3344" spans="1:7" x14ac:dyDescent="0.3">
      <c r="A3344" s="84">
        <v>2026</v>
      </c>
      <c r="B3344" s="84" t="s">
        <v>397</v>
      </c>
      <c r="C3344" s="84">
        <v>22</v>
      </c>
      <c r="D3344" s="84">
        <v>13</v>
      </c>
      <c r="E3344" s="85">
        <v>23323.34</v>
      </c>
      <c r="F3344" s="85">
        <v>19343.28</v>
      </c>
      <c r="G3344" s="85">
        <v>-3980.06</v>
      </c>
    </row>
    <row r="3345" spans="1:7" x14ac:dyDescent="0.3">
      <c r="A3345" s="84">
        <v>2026</v>
      </c>
      <c r="B3345" s="84" t="s">
        <v>397</v>
      </c>
      <c r="C3345" s="84">
        <v>22</v>
      </c>
      <c r="D3345" s="84">
        <v>14</v>
      </c>
      <c r="E3345" s="85">
        <v>23323.34</v>
      </c>
      <c r="F3345" s="85">
        <v>19737.099999999999</v>
      </c>
      <c r="G3345" s="85">
        <v>-3586.24</v>
      </c>
    </row>
    <row r="3346" spans="1:7" x14ac:dyDescent="0.3">
      <c r="A3346" s="84">
        <v>2026</v>
      </c>
      <c r="B3346" s="84" t="s">
        <v>397</v>
      </c>
      <c r="C3346" s="84">
        <v>22</v>
      </c>
      <c r="D3346" s="84">
        <v>15</v>
      </c>
      <c r="E3346" s="85">
        <v>23323.34</v>
      </c>
      <c r="F3346" s="85">
        <v>20129.38</v>
      </c>
      <c r="G3346" s="85">
        <v>-3193.96</v>
      </c>
    </row>
    <row r="3347" spans="1:7" x14ac:dyDescent="0.3">
      <c r="A3347" s="84">
        <v>2026</v>
      </c>
      <c r="B3347" s="84" t="s">
        <v>397</v>
      </c>
      <c r="C3347" s="84">
        <v>22</v>
      </c>
      <c r="D3347" s="84">
        <v>16</v>
      </c>
      <c r="E3347" s="85">
        <v>23323.34</v>
      </c>
      <c r="F3347" s="85">
        <v>20523.34</v>
      </c>
      <c r="G3347" s="85">
        <v>-2800</v>
      </c>
    </row>
    <row r="3348" spans="1:7" x14ac:dyDescent="0.3">
      <c r="A3348" s="84">
        <v>2026</v>
      </c>
      <c r="B3348" s="84" t="s">
        <v>397</v>
      </c>
      <c r="C3348" s="84">
        <v>22</v>
      </c>
      <c r="D3348" s="84">
        <v>17</v>
      </c>
      <c r="E3348" s="85">
        <v>23323.34</v>
      </c>
      <c r="F3348" s="85">
        <v>20915.62</v>
      </c>
      <c r="G3348" s="85">
        <v>-2407.7199999999998</v>
      </c>
    </row>
    <row r="3349" spans="1:7" x14ac:dyDescent="0.3">
      <c r="A3349" s="84">
        <v>2026</v>
      </c>
      <c r="B3349" s="84" t="s">
        <v>397</v>
      </c>
      <c r="C3349" s="84">
        <v>22</v>
      </c>
      <c r="D3349" s="84">
        <v>18</v>
      </c>
      <c r="E3349" s="85">
        <v>23323.34</v>
      </c>
      <c r="F3349" s="85">
        <v>21309.16</v>
      </c>
      <c r="G3349" s="85">
        <v>-2014.18</v>
      </c>
    </row>
    <row r="3350" spans="1:7" x14ac:dyDescent="0.3">
      <c r="A3350" s="84">
        <v>2026</v>
      </c>
      <c r="B3350" s="84" t="s">
        <v>397</v>
      </c>
      <c r="C3350" s="84">
        <v>22</v>
      </c>
      <c r="D3350" s="84">
        <v>19</v>
      </c>
      <c r="E3350" s="85">
        <v>23323.34</v>
      </c>
      <c r="F3350" s="85">
        <v>21702.28</v>
      </c>
      <c r="G3350" s="85">
        <v>-1621.06</v>
      </c>
    </row>
    <row r="3351" spans="1:7" x14ac:dyDescent="0.3">
      <c r="A3351" s="84">
        <v>2026</v>
      </c>
      <c r="B3351" s="84" t="s">
        <v>397</v>
      </c>
      <c r="C3351" s="84">
        <v>22</v>
      </c>
      <c r="D3351" s="84">
        <v>20</v>
      </c>
      <c r="E3351" s="85">
        <v>23323.34</v>
      </c>
      <c r="F3351" s="85">
        <v>22095.26</v>
      </c>
      <c r="G3351" s="85">
        <v>-1228.08</v>
      </c>
    </row>
    <row r="3352" spans="1:7" x14ac:dyDescent="0.3">
      <c r="A3352" s="84">
        <v>2026</v>
      </c>
      <c r="B3352" s="84" t="s">
        <v>397</v>
      </c>
      <c r="C3352" s="84">
        <v>22</v>
      </c>
      <c r="D3352" s="84">
        <v>21</v>
      </c>
      <c r="E3352" s="85">
        <v>23323.34</v>
      </c>
      <c r="F3352" s="85">
        <v>22684.66</v>
      </c>
      <c r="G3352" s="85">
        <v>-638.67999999999995</v>
      </c>
    </row>
    <row r="3353" spans="1:7" x14ac:dyDescent="0.3">
      <c r="A3353" s="84">
        <v>2026</v>
      </c>
      <c r="B3353" s="84" t="s">
        <v>397</v>
      </c>
      <c r="C3353" s="84">
        <v>22</v>
      </c>
      <c r="D3353" s="84">
        <v>22</v>
      </c>
      <c r="E3353" s="85">
        <v>23323.34</v>
      </c>
      <c r="F3353" s="85">
        <v>23323.34</v>
      </c>
      <c r="G3353" s="85">
        <v>0</v>
      </c>
    </row>
    <row r="3354" spans="1:7" x14ac:dyDescent="0.3">
      <c r="A3354" s="84">
        <v>2026</v>
      </c>
      <c r="B3354" s="84" t="s">
        <v>397</v>
      </c>
      <c r="C3354" s="84">
        <v>22</v>
      </c>
      <c r="D3354" s="84">
        <v>23</v>
      </c>
      <c r="E3354" s="85">
        <v>23323.34</v>
      </c>
      <c r="F3354" s="85">
        <v>23963.84</v>
      </c>
      <c r="G3354" s="85">
        <v>640.5</v>
      </c>
    </row>
    <row r="3355" spans="1:7" x14ac:dyDescent="0.3">
      <c r="A3355" s="84">
        <v>2026</v>
      </c>
      <c r="B3355" s="84" t="s">
        <v>397</v>
      </c>
      <c r="C3355" s="84">
        <v>22</v>
      </c>
      <c r="D3355" s="84">
        <v>24</v>
      </c>
      <c r="E3355" s="85">
        <v>23323.34</v>
      </c>
      <c r="F3355" s="85">
        <v>24603.08</v>
      </c>
      <c r="G3355" s="85">
        <v>1279.74</v>
      </c>
    </row>
    <row r="3356" spans="1:7" x14ac:dyDescent="0.3">
      <c r="A3356" s="84">
        <v>2026</v>
      </c>
      <c r="B3356" s="84" t="s">
        <v>397</v>
      </c>
      <c r="C3356" s="84">
        <v>22</v>
      </c>
      <c r="D3356" s="84">
        <v>25</v>
      </c>
      <c r="E3356" s="85">
        <v>23323.34</v>
      </c>
      <c r="F3356" s="85">
        <v>25243.16</v>
      </c>
      <c r="G3356" s="85">
        <v>1919.82</v>
      </c>
    </row>
    <row r="3357" spans="1:7" x14ac:dyDescent="0.3">
      <c r="A3357" s="84">
        <v>2026</v>
      </c>
      <c r="B3357" s="84" t="s">
        <v>397</v>
      </c>
      <c r="C3357" s="84">
        <v>22</v>
      </c>
      <c r="D3357" s="84">
        <v>26</v>
      </c>
      <c r="E3357" s="85">
        <v>23323.34</v>
      </c>
      <c r="F3357" s="85">
        <v>26622.44</v>
      </c>
      <c r="G3357" s="85">
        <v>3299.1</v>
      </c>
    </row>
    <row r="3358" spans="1:7" x14ac:dyDescent="0.3">
      <c r="A3358" s="84">
        <v>2026</v>
      </c>
      <c r="B3358" s="84" t="s">
        <v>397</v>
      </c>
      <c r="C3358" s="84">
        <v>22</v>
      </c>
      <c r="D3358" s="84">
        <v>27</v>
      </c>
      <c r="E3358" s="85">
        <v>23323.34</v>
      </c>
      <c r="F3358" s="85">
        <v>28331.7</v>
      </c>
      <c r="G3358" s="85">
        <v>5008.3599999999997</v>
      </c>
    </row>
    <row r="3359" spans="1:7" x14ac:dyDescent="0.3">
      <c r="A3359" s="84">
        <v>2026</v>
      </c>
      <c r="B3359" s="84" t="s">
        <v>397</v>
      </c>
      <c r="C3359" s="84">
        <v>22</v>
      </c>
      <c r="D3359" s="84">
        <v>28</v>
      </c>
      <c r="E3359" s="85">
        <v>23323.34</v>
      </c>
      <c r="F3359" s="85">
        <v>28972.2</v>
      </c>
      <c r="G3359" s="85">
        <v>5648.86</v>
      </c>
    </row>
    <row r="3360" spans="1:7" x14ac:dyDescent="0.3">
      <c r="A3360" s="84">
        <v>2026</v>
      </c>
      <c r="B3360" s="84" t="s">
        <v>397</v>
      </c>
      <c r="C3360" s="84">
        <v>22</v>
      </c>
      <c r="D3360" s="84">
        <v>29</v>
      </c>
      <c r="E3360" s="85">
        <v>23323.34</v>
      </c>
      <c r="F3360" s="85">
        <v>29611.58</v>
      </c>
      <c r="G3360" s="85">
        <v>6288.24</v>
      </c>
    </row>
    <row r="3361" spans="1:7" x14ac:dyDescent="0.3">
      <c r="A3361" s="84">
        <v>2026</v>
      </c>
      <c r="B3361" s="84" t="s">
        <v>397</v>
      </c>
      <c r="C3361" s="84">
        <v>22</v>
      </c>
      <c r="D3361" s="84">
        <v>30</v>
      </c>
      <c r="E3361" s="85">
        <v>23323.34</v>
      </c>
      <c r="F3361" s="85">
        <v>31359.9</v>
      </c>
      <c r="G3361" s="85">
        <v>8036.56</v>
      </c>
    </row>
    <row r="3362" spans="1:7" x14ac:dyDescent="0.3">
      <c r="A3362" s="84">
        <v>2026</v>
      </c>
      <c r="B3362" s="84" t="s">
        <v>397</v>
      </c>
      <c r="C3362" s="84">
        <v>23</v>
      </c>
      <c r="D3362" s="84">
        <v>1</v>
      </c>
      <c r="E3362" s="85">
        <v>23963.84</v>
      </c>
      <c r="F3362" s="85">
        <v>16002.46</v>
      </c>
      <c r="G3362" s="85">
        <v>-7961.38</v>
      </c>
    </row>
    <row r="3363" spans="1:7" x14ac:dyDescent="0.3">
      <c r="A3363" s="84">
        <v>2026</v>
      </c>
      <c r="B3363" s="84" t="s">
        <v>397</v>
      </c>
      <c r="C3363" s="84">
        <v>23</v>
      </c>
      <c r="D3363" s="84">
        <v>2</v>
      </c>
      <c r="E3363" s="85">
        <v>23963.84</v>
      </c>
      <c r="F3363" s="85">
        <v>16296.88</v>
      </c>
      <c r="G3363" s="85">
        <v>-7666.96</v>
      </c>
    </row>
    <row r="3364" spans="1:7" x14ac:dyDescent="0.3">
      <c r="A3364" s="84">
        <v>2026</v>
      </c>
      <c r="B3364" s="84" t="s">
        <v>397</v>
      </c>
      <c r="C3364" s="84">
        <v>23</v>
      </c>
      <c r="D3364" s="84">
        <v>3</v>
      </c>
      <c r="E3364" s="85">
        <v>23963.84</v>
      </c>
      <c r="F3364" s="85">
        <v>16591.86</v>
      </c>
      <c r="G3364" s="85">
        <v>-7371.98</v>
      </c>
    </row>
    <row r="3365" spans="1:7" x14ac:dyDescent="0.3">
      <c r="A3365" s="84">
        <v>2026</v>
      </c>
      <c r="B3365" s="84" t="s">
        <v>397</v>
      </c>
      <c r="C3365" s="84">
        <v>23</v>
      </c>
      <c r="D3365" s="84">
        <v>4</v>
      </c>
      <c r="E3365" s="85">
        <v>23963.84</v>
      </c>
      <c r="F3365" s="85">
        <v>16886</v>
      </c>
      <c r="G3365" s="85">
        <v>-7077.84</v>
      </c>
    </row>
    <row r="3366" spans="1:7" x14ac:dyDescent="0.3">
      <c r="A3366" s="84">
        <v>2026</v>
      </c>
      <c r="B3366" s="84" t="s">
        <v>397</v>
      </c>
      <c r="C3366" s="84">
        <v>23</v>
      </c>
      <c r="D3366" s="84">
        <v>5</v>
      </c>
      <c r="E3366" s="85">
        <v>23963.84</v>
      </c>
      <c r="F3366" s="85">
        <v>17180.7</v>
      </c>
      <c r="G3366" s="85">
        <v>-6783.14</v>
      </c>
    </row>
    <row r="3367" spans="1:7" x14ac:dyDescent="0.3">
      <c r="A3367" s="84">
        <v>2026</v>
      </c>
      <c r="B3367" s="84" t="s">
        <v>397</v>
      </c>
      <c r="C3367" s="84">
        <v>23</v>
      </c>
      <c r="D3367" s="84">
        <v>6</v>
      </c>
      <c r="E3367" s="85">
        <v>23963.84</v>
      </c>
      <c r="F3367" s="85">
        <v>17377.400000000001</v>
      </c>
      <c r="G3367" s="85">
        <v>-6586.44</v>
      </c>
    </row>
    <row r="3368" spans="1:7" x14ac:dyDescent="0.3">
      <c r="A3368" s="84">
        <v>2026</v>
      </c>
      <c r="B3368" s="84" t="s">
        <v>397</v>
      </c>
      <c r="C3368" s="84">
        <v>23</v>
      </c>
      <c r="D3368" s="84">
        <v>7</v>
      </c>
      <c r="E3368" s="85">
        <v>23963.84</v>
      </c>
      <c r="F3368" s="85">
        <v>17574.099999999999</v>
      </c>
      <c r="G3368" s="85">
        <v>-6389.74</v>
      </c>
    </row>
    <row r="3369" spans="1:7" x14ac:dyDescent="0.3">
      <c r="A3369" s="84">
        <v>2026</v>
      </c>
      <c r="B3369" s="84" t="s">
        <v>397</v>
      </c>
      <c r="C3369" s="84">
        <v>23</v>
      </c>
      <c r="D3369" s="84">
        <v>8</v>
      </c>
      <c r="E3369" s="85">
        <v>23963.84</v>
      </c>
      <c r="F3369" s="85">
        <v>17770.38</v>
      </c>
      <c r="G3369" s="85">
        <v>-6193.46</v>
      </c>
    </row>
    <row r="3370" spans="1:7" x14ac:dyDescent="0.3">
      <c r="A3370" s="84">
        <v>2026</v>
      </c>
      <c r="B3370" s="84" t="s">
        <v>397</v>
      </c>
      <c r="C3370" s="84">
        <v>23</v>
      </c>
      <c r="D3370" s="84">
        <v>9</v>
      </c>
      <c r="E3370" s="85">
        <v>23963.84</v>
      </c>
      <c r="F3370" s="85">
        <v>17967.5</v>
      </c>
      <c r="G3370" s="85">
        <v>-5996.34</v>
      </c>
    </row>
    <row r="3371" spans="1:7" x14ac:dyDescent="0.3">
      <c r="A3371" s="84">
        <v>2026</v>
      </c>
      <c r="B3371" s="84" t="s">
        <v>397</v>
      </c>
      <c r="C3371" s="84">
        <v>23</v>
      </c>
      <c r="D3371" s="84">
        <v>10</v>
      </c>
      <c r="E3371" s="85">
        <v>23963.84</v>
      </c>
      <c r="F3371" s="85">
        <v>18163.919999999998</v>
      </c>
      <c r="G3371" s="85">
        <v>-5799.92</v>
      </c>
    </row>
    <row r="3372" spans="1:7" x14ac:dyDescent="0.3">
      <c r="A3372" s="84">
        <v>2026</v>
      </c>
      <c r="B3372" s="84" t="s">
        <v>397</v>
      </c>
      <c r="C3372" s="84">
        <v>23</v>
      </c>
      <c r="D3372" s="84">
        <v>11</v>
      </c>
      <c r="E3372" s="85">
        <v>23963.84</v>
      </c>
      <c r="F3372" s="85">
        <v>18556.48</v>
      </c>
      <c r="G3372" s="85">
        <v>-5407.36</v>
      </c>
    </row>
    <row r="3373" spans="1:7" x14ac:dyDescent="0.3">
      <c r="A3373" s="84">
        <v>2026</v>
      </c>
      <c r="B3373" s="84" t="s">
        <v>397</v>
      </c>
      <c r="C3373" s="84">
        <v>23</v>
      </c>
      <c r="D3373" s="84">
        <v>12</v>
      </c>
      <c r="E3373" s="85">
        <v>23963.84</v>
      </c>
      <c r="F3373" s="85">
        <v>18950.02</v>
      </c>
      <c r="G3373" s="85">
        <v>-5013.82</v>
      </c>
    </row>
    <row r="3374" spans="1:7" x14ac:dyDescent="0.3">
      <c r="A3374" s="84">
        <v>2026</v>
      </c>
      <c r="B3374" s="84" t="s">
        <v>397</v>
      </c>
      <c r="C3374" s="84">
        <v>23</v>
      </c>
      <c r="D3374" s="84">
        <v>13</v>
      </c>
      <c r="E3374" s="85">
        <v>23963.84</v>
      </c>
      <c r="F3374" s="85">
        <v>19343.28</v>
      </c>
      <c r="G3374" s="85">
        <v>-4620.5600000000004</v>
      </c>
    </row>
    <row r="3375" spans="1:7" x14ac:dyDescent="0.3">
      <c r="A3375" s="84">
        <v>2026</v>
      </c>
      <c r="B3375" s="84" t="s">
        <v>397</v>
      </c>
      <c r="C3375" s="84">
        <v>23</v>
      </c>
      <c r="D3375" s="84">
        <v>14</v>
      </c>
      <c r="E3375" s="85">
        <v>23963.84</v>
      </c>
      <c r="F3375" s="85">
        <v>19737.099999999999</v>
      </c>
      <c r="G3375" s="85">
        <v>-4226.74</v>
      </c>
    </row>
    <row r="3376" spans="1:7" x14ac:dyDescent="0.3">
      <c r="A3376" s="84">
        <v>2026</v>
      </c>
      <c r="B3376" s="84" t="s">
        <v>397</v>
      </c>
      <c r="C3376" s="84">
        <v>23</v>
      </c>
      <c r="D3376" s="84">
        <v>15</v>
      </c>
      <c r="E3376" s="85">
        <v>23963.84</v>
      </c>
      <c r="F3376" s="85">
        <v>20129.38</v>
      </c>
      <c r="G3376" s="85">
        <v>-3834.46</v>
      </c>
    </row>
    <row r="3377" spans="1:7" x14ac:dyDescent="0.3">
      <c r="A3377" s="84">
        <v>2026</v>
      </c>
      <c r="B3377" s="84" t="s">
        <v>397</v>
      </c>
      <c r="C3377" s="84">
        <v>23</v>
      </c>
      <c r="D3377" s="84">
        <v>16</v>
      </c>
      <c r="E3377" s="85">
        <v>23963.84</v>
      </c>
      <c r="F3377" s="85">
        <v>20523.34</v>
      </c>
      <c r="G3377" s="85">
        <v>-3440.5</v>
      </c>
    </row>
    <row r="3378" spans="1:7" x14ac:dyDescent="0.3">
      <c r="A3378" s="84">
        <v>2026</v>
      </c>
      <c r="B3378" s="84" t="s">
        <v>397</v>
      </c>
      <c r="C3378" s="84">
        <v>23</v>
      </c>
      <c r="D3378" s="84">
        <v>17</v>
      </c>
      <c r="E3378" s="85">
        <v>23963.84</v>
      </c>
      <c r="F3378" s="85">
        <v>20915.62</v>
      </c>
      <c r="G3378" s="85">
        <v>-3048.22</v>
      </c>
    </row>
    <row r="3379" spans="1:7" x14ac:dyDescent="0.3">
      <c r="A3379" s="84">
        <v>2026</v>
      </c>
      <c r="B3379" s="84" t="s">
        <v>397</v>
      </c>
      <c r="C3379" s="84">
        <v>23</v>
      </c>
      <c r="D3379" s="84">
        <v>18</v>
      </c>
      <c r="E3379" s="85">
        <v>23963.84</v>
      </c>
      <c r="F3379" s="85">
        <v>21309.16</v>
      </c>
      <c r="G3379" s="85">
        <v>-2654.68</v>
      </c>
    </row>
    <row r="3380" spans="1:7" x14ac:dyDescent="0.3">
      <c r="A3380" s="84">
        <v>2026</v>
      </c>
      <c r="B3380" s="84" t="s">
        <v>397</v>
      </c>
      <c r="C3380" s="84">
        <v>23</v>
      </c>
      <c r="D3380" s="84">
        <v>19</v>
      </c>
      <c r="E3380" s="85">
        <v>23963.84</v>
      </c>
      <c r="F3380" s="85">
        <v>21702.28</v>
      </c>
      <c r="G3380" s="85">
        <v>-2261.56</v>
      </c>
    </row>
    <row r="3381" spans="1:7" x14ac:dyDescent="0.3">
      <c r="A3381" s="84">
        <v>2026</v>
      </c>
      <c r="B3381" s="84" t="s">
        <v>397</v>
      </c>
      <c r="C3381" s="84">
        <v>23</v>
      </c>
      <c r="D3381" s="84">
        <v>20</v>
      </c>
      <c r="E3381" s="85">
        <v>23963.84</v>
      </c>
      <c r="F3381" s="85">
        <v>22095.26</v>
      </c>
      <c r="G3381" s="85">
        <v>-1868.58</v>
      </c>
    </row>
    <row r="3382" spans="1:7" x14ac:dyDescent="0.3">
      <c r="A3382" s="84">
        <v>2026</v>
      </c>
      <c r="B3382" s="84" t="s">
        <v>397</v>
      </c>
      <c r="C3382" s="84">
        <v>23</v>
      </c>
      <c r="D3382" s="84">
        <v>21</v>
      </c>
      <c r="E3382" s="85">
        <v>23963.84</v>
      </c>
      <c r="F3382" s="85">
        <v>22684.66</v>
      </c>
      <c r="G3382" s="85">
        <v>-1279.18</v>
      </c>
    </row>
    <row r="3383" spans="1:7" x14ac:dyDescent="0.3">
      <c r="A3383" s="84">
        <v>2026</v>
      </c>
      <c r="B3383" s="84" t="s">
        <v>397</v>
      </c>
      <c r="C3383" s="84">
        <v>23</v>
      </c>
      <c r="D3383" s="84">
        <v>22</v>
      </c>
      <c r="E3383" s="85">
        <v>23963.84</v>
      </c>
      <c r="F3383" s="85">
        <v>23323.34</v>
      </c>
      <c r="G3383" s="85">
        <v>-640.5</v>
      </c>
    </row>
    <row r="3384" spans="1:7" x14ac:dyDescent="0.3">
      <c r="A3384" s="84">
        <v>2026</v>
      </c>
      <c r="B3384" s="84" t="s">
        <v>397</v>
      </c>
      <c r="C3384" s="84">
        <v>23</v>
      </c>
      <c r="D3384" s="84">
        <v>23</v>
      </c>
      <c r="E3384" s="85">
        <v>23963.84</v>
      </c>
      <c r="F3384" s="85">
        <v>23963.84</v>
      </c>
      <c r="G3384" s="85">
        <v>0</v>
      </c>
    </row>
    <row r="3385" spans="1:7" x14ac:dyDescent="0.3">
      <c r="A3385" s="84">
        <v>2026</v>
      </c>
      <c r="B3385" s="84" t="s">
        <v>397</v>
      </c>
      <c r="C3385" s="84">
        <v>23</v>
      </c>
      <c r="D3385" s="84">
        <v>24</v>
      </c>
      <c r="E3385" s="85">
        <v>23963.84</v>
      </c>
      <c r="F3385" s="85">
        <v>24603.08</v>
      </c>
      <c r="G3385" s="85">
        <v>639.24</v>
      </c>
    </row>
    <row r="3386" spans="1:7" x14ac:dyDescent="0.3">
      <c r="A3386" s="84">
        <v>2026</v>
      </c>
      <c r="B3386" s="84" t="s">
        <v>397</v>
      </c>
      <c r="C3386" s="84">
        <v>23</v>
      </c>
      <c r="D3386" s="84">
        <v>25</v>
      </c>
      <c r="E3386" s="85">
        <v>23963.84</v>
      </c>
      <c r="F3386" s="85">
        <v>25243.16</v>
      </c>
      <c r="G3386" s="85">
        <v>1279.32</v>
      </c>
    </row>
    <row r="3387" spans="1:7" x14ac:dyDescent="0.3">
      <c r="A3387" s="84">
        <v>2026</v>
      </c>
      <c r="B3387" s="84" t="s">
        <v>397</v>
      </c>
      <c r="C3387" s="84">
        <v>23</v>
      </c>
      <c r="D3387" s="84">
        <v>26</v>
      </c>
      <c r="E3387" s="85">
        <v>23963.84</v>
      </c>
      <c r="F3387" s="85">
        <v>26622.44</v>
      </c>
      <c r="G3387" s="85">
        <v>2658.6</v>
      </c>
    </row>
    <row r="3388" spans="1:7" x14ac:dyDescent="0.3">
      <c r="A3388" s="84">
        <v>2026</v>
      </c>
      <c r="B3388" s="84" t="s">
        <v>397</v>
      </c>
      <c r="C3388" s="84">
        <v>23</v>
      </c>
      <c r="D3388" s="84">
        <v>27</v>
      </c>
      <c r="E3388" s="85">
        <v>23963.84</v>
      </c>
      <c r="F3388" s="85">
        <v>28331.7</v>
      </c>
      <c r="G3388" s="85">
        <v>4367.8599999999997</v>
      </c>
    </row>
    <row r="3389" spans="1:7" x14ac:dyDescent="0.3">
      <c r="A3389" s="84">
        <v>2026</v>
      </c>
      <c r="B3389" s="84" t="s">
        <v>397</v>
      </c>
      <c r="C3389" s="84">
        <v>23</v>
      </c>
      <c r="D3389" s="84">
        <v>28</v>
      </c>
      <c r="E3389" s="85">
        <v>23963.84</v>
      </c>
      <c r="F3389" s="85">
        <v>28972.2</v>
      </c>
      <c r="G3389" s="85">
        <v>5008.3599999999997</v>
      </c>
    </row>
    <row r="3390" spans="1:7" x14ac:dyDescent="0.3">
      <c r="A3390" s="84">
        <v>2026</v>
      </c>
      <c r="B3390" s="84" t="s">
        <v>397</v>
      </c>
      <c r="C3390" s="84">
        <v>23</v>
      </c>
      <c r="D3390" s="84">
        <v>29</v>
      </c>
      <c r="E3390" s="85">
        <v>23963.84</v>
      </c>
      <c r="F3390" s="85">
        <v>29611.58</v>
      </c>
      <c r="G3390" s="85">
        <v>5647.74</v>
      </c>
    </row>
    <row r="3391" spans="1:7" x14ac:dyDescent="0.3">
      <c r="A3391" s="84">
        <v>2026</v>
      </c>
      <c r="B3391" s="84" t="s">
        <v>397</v>
      </c>
      <c r="C3391" s="84">
        <v>23</v>
      </c>
      <c r="D3391" s="84">
        <v>30</v>
      </c>
      <c r="E3391" s="85">
        <v>23963.84</v>
      </c>
      <c r="F3391" s="85">
        <v>31359.9</v>
      </c>
      <c r="G3391" s="85">
        <v>7396.06</v>
      </c>
    </row>
    <row r="3392" spans="1:7" x14ac:dyDescent="0.3">
      <c r="A3392" s="84">
        <v>2026</v>
      </c>
      <c r="B3392" s="84" t="s">
        <v>397</v>
      </c>
      <c r="C3392" s="84">
        <v>24</v>
      </c>
      <c r="D3392" s="84">
        <v>1</v>
      </c>
      <c r="E3392" s="85">
        <v>24603.08</v>
      </c>
      <c r="F3392" s="85">
        <v>16002.46</v>
      </c>
      <c r="G3392" s="85">
        <v>-8600.6200000000008</v>
      </c>
    </row>
    <row r="3393" spans="1:7" x14ac:dyDescent="0.3">
      <c r="A3393" s="84">
        <v>2026</v>
      </c>
      <c r="B3393" s="84" t="s">
        <v>397</v>
      </c>
      <c r="C3393" s="84">
        <v>24</v>
      </c>
      <c r="D3393" s="84">
        <v>2</v>
      </c>
      <c r="E3393" s="85">
        <v>24603.08</v>
      </c>
      <c r="F3393" s="85">
        <v>16296.88</v>
      </c>
      <c r="G3393" s="85">
        <v>-8306.2000000000007</v>
      </c>
    </row>
    <row r="3394" spans="1:7" x14ac:dyDescent="0.3">
      <c r="A3394" s="84">
        <v>2026</v>
      </c>
      <c r="B3394" s="84" t="s">
        <v>397</v>
      </c>
      <c r="C3394" s="84">
        <v>24</v>
      </c>
      <c r="D3394" s="84">
        <v>3</v>
      </c>
      <c r="E3394" s="85">
        <v>24603.08</v>
      </c>
      <c r="F3394" s="85">
        <v>16591.86</v>
      </c>
      <c r="G3394" s="85">
        <v>-8011.22</v>
      </c>
    </row>
    <row r="3395" spans="1:7" x14ac:dyDescent="0.3">
      <c r="A3395" s="84">
        <v>2026</v>
      </c>
      <c r="B3395" s="84" t="s">
        <v>397</v>
      </c>
      <c r="C3395" s="84">
        <v>24</v>
      </c>
      <c r="D3395" s="84">
        <v>4</v>
      </c>
      <c r="E3395" s="85">
        <v>24603.08</v>
      </c>
      <c r="F3395" s="85">
        <v>16886</v>
      </c>
      <c r="G3395" s="85">
        <v>-7717.08</v>
      </c>
    </row>
    <row r="3396" spans="1:7" x14ac:dyDescent="0.3">
      <c r="A3396" s="84">
        <v>2026</v>
      </c>
      <c r="B3396" s="84" t="s">
        <v>397</v>
      </c>
      <c r="C3396" s="84">
        <v>24</v>
      </c>
      <c r="D3396" s="84">
        <v>5</v>
      </c>
      <c r="E3396" s="85">
        <v>24603.08</v>
      </c>
      <c r="F3396" s="85">
        <v>17180.7</v>
      </c>
      <c r="G3396" s="85">
        <v>-7422.38</v>
      </c>
    </row>
    <row r="3397" spans="1:7" x14ac:dyDescent="0.3">
      <c r="A3397" s="84">
        <v>2026</v>
      </c>
      <c r="B3397" s="84" t="s">
        <v>397</v>
      </c>
      <c r="C3397" s="84">
        <v>24</v>
      </c>
      <c r="D3397" s="84">
        <v>6</v>
      </c>
      <c r="E3397" s="85">
        <v>24603.08</v>
      </c>
      <c r="F3397" s="85">
        <v>17377.400000000001</v>
      </c>
      <c r="G3397" s="85">
        <v>-7225.68</v>
      </c>
    </row>
    <row r="3398" spans="1:7" x14ac:dyDescent="0.3">
      <c r="A3398" s="84">
        <v>2026</v>
      </c>
      <c r="B3398" s="84" t="s">
        <v>397</v>
      </c>
      <c r="C3398" s="84">
        <v>24</v>
      </c>
      <c r="D3398" s="84">
        <v>7</v>
      </c>
      <c r="E3398" s="85">
        <v>24603.08</v>
      </c>
      <c r="F3398" s="85">
        <v>17574.099999999999</v>
      </c>
      <c r="G3398" s="85">
        <v>-7028.98</v>
      </c>
    </row>
    <row r="3399" spans="1:7" x14ac:dyDescent="0.3">
      <c r="A3399" s="84">
        <v>2026</v>
      </c>
      <c r="B3399" s="84" t="s">
        <v>397</v>
      </c>
      <c r="C3399" s="84">
        <v>24</v>
      </c>
      <c r="D3399" s="84">
        <v>8</v>
      </c>
      <c r="E3399" s="85">
        <v>24603.08</v>
      </c>
      <c r="F3399" s="85">
        <v>17770.38</v>
      </c>
      <c r="G3399" s="85">
        <v>-6832.7</v>
      </c>
    </row>
    <row r="3400" spans="1:7" x14ac:dyDescent="0.3">
      <c r="A3400" s="84">
        <v>2026</v>
      </c>
      <c r="B3400" s="84" t="s">
        <v>397</v>
      </c>
      <c r="C3400" s="84">
        <v>24</v>
      </c>
      <c r="D3400" s="84">
        <v>9</v>
      </c>
      <c r="E3400" s="85">
        <v>24603.08</v>
      </c>
      <c r="F3400" s="85">
        <v>17967.5</v>
      </c>
      <c r="G3400" s="85">
        <v>-6635.58</v>
      </c>
    </row>
    <row r="3401" spans="1:7" x14ac:dyDescent="0.3">
      <c r="A3401" s="84">
        <v>2026</v>
      </c>
      <c r="B3401" s="84" t="s">
        <v>397</v>
      </c>
      <c r="C3401" s="84">
        <v>24</v>
      </c>
      <c r="D3401" s="84">
        <v>10</v>
      </c>
      <c r="E3401" s="85">
        <v>24603.08</v>
      </c>
      <c r="F3401" s="85">
        <v>18163.919999999998</v>
      </c>
      <c r="G3401" s="85">
        <v>-6439.16</v>
      </c>
    </row>
    <row r="3402" spans="1:7" x14ac:dyDescent="0.3">
      <c r="A3402" s="84">
        <v>2026</v>
      </c>
      <c r="B3402" s="84" t="s">
        <v>397</v>
      </c>
      <c r="C3402" s="84">
        <v>24</v>
      </c>
      <c r="D3402" s="84">
        <v>11</v>
      </c>
      <c r="E3402" s="85">
        <v>24603.08</v>
      </c>
      <c r="F3402" s="85">
        <v>18556.48</v>
      </c>
      <c r="G3402" s="85">
        <v>-6046.6</v>
      </c>
    </row>
    <row r="3403" spans="1:7" x14ac:dyDescent="0.3">
      <c r="A3403" s="84">
        <v>2026</v>
      </c>
      <c r="B3403" s="84" t="s">
        <v>397</v>
      </c>
      <c r="C3403" s="84">
        <v>24</v>
      </c>
      <c r="D3403" s="84">
        <v>12</v>
      </c>
      <c r="E3403" s="85">
        <v>24603.08</v>
      </c>
      <c r="F3403" s="85">
        <v>18950.02</v>
      </c>
      <c r="G3403" s="85">
        <v>-5653.06</v>
      </c>
    </row>
    <row r="3404" spans="1:7" x14ac:dyDescent="0.3">
      <c r="A3404" s="84">
        <v>2026</v>
      </c>
      <c r="B3404" s="84" t="s">
        <v>397</v>
      </c>
      <c r="C3404" s="84">
        <v>24</v>
      </c>
      <c r="D3404" s="84">
        <v>13</v>
      </c>
      <c r="E3404" s="85">
        <v>24603.08</v>
      </c>
      <c r="F3404" s="85">
        <v>19343.28</v>
      </c>
      <c r="G3404" s="85">
        <v>-5259.8</v>
      </c>
    </row>
    <row r="3405" spans="1:7" x14ac:dyDescent="0.3">
      <c r="A3405" s="84">
        <v>2026</v>
      </c>
      <c r="B3405" s="84" t="s">
        <v>397</v>
      </c>
      <c r="C3405" s="84">
        <v>24</v>
      </c>
      <c r="D3405" s="84">
        <v>14</v>
      </c>
      <c r="E3405" s="85">
        <v>24603.08</v>
      </c>
      <c r="F3405" s="85">
        <v>19737.099999999999</v>
      </c>
      <c r="G3405" s="85">
        <v>-4865.9799999999996</v>
      </c>
    </row>
    <row r="3406" spans="1:7" x14ac:dyDescent="0.3">
      <c r="A3406" s="84">
        <v>2026</v>
      </c>
      <c r="B3406" s="84" t="s">
        <v>397</v>
      </c>
      <c r="C3406" s="84">
        <v>24</v>
      </c>
      <c r="D3406" s="84">
        <v>15</v>
      </c>
      <c r="E3406" s="85">
        <v>24603.08</v>
      </c>
      <c r="F3406" s="85">
        <v>20129.38</v>
      </c>
      <c r="G3406" s="85">
        <v>-4473.7</v>
      </c>
    </row>
    <row r="3407" spans="1:7" x14ac:dyDescent="0.3">
      <c r="A3407" s="84">
        <v>2026</v>
      </c>
      <c r="B3407" s="84" t="s">
        <v>397</v>
      </c>
      <c r="C3407" s="84">
        <v>24</v>
      </c>
      <c r="D3407" s="84">
        <v>16</v>
      </c>
      <c r="E3407" s="85">
        <v>24603.08</v>
      </c>
      <c r="F3407" s="85">
        <v>20523.34</v>
      </c>
      <c r="G3407" s="85">
        <v>-4079.74</v>
      </c>
    </row>
    <row r="3408" spans="1:7" x14ac:dyDescent="0.3">
      <c r="A3408" s="84">
        <v>2026</v>
      </c>
      <c r="B3408" s="84" t="s">
        <v>397</v>
      </c>
      <c r="C3408" s="84">
        <v>24</v>
      </c>
      <c r="D3408" s="84">
        <v>17</v>
      </c>
      <c r="E3408" s="85">
        <v>24603.08</v>
      </c>
      <c r="F3408" s="85">
        <v>20915.62</v>
      </c>
      <c r="G3408" s="85">
        <v>-3687.46</v>
      </c>
    </row>
    <row r="3409" spans="1:7" x14ac:dyDescent="0.3">
      <c r="A3409" s="84">
        <v>2026</v>
      </c>
      <c r="B3409" s="84" t="s">
        <v>397</v>
      </c>
      <c r="C3409" s="84">
        <v>24</v>
      </c>
      <c r="D3409" s="84">
        <v>18</v>
      </c>
      <c r="E3409" s="85">
        <v>24603.08</v>
      </c>
      <c r="F3409" s="85">
        <v>21309.16</v>
      </c>
      <c r="G3409" s="85">
        <v>-3293.92</v>
      </c>
    </row>
    <row r="3410" spans="1:7" x14ac:dyDescent="0.3">
      <c r="A3410" s="84">
        <v>2026</v>
      </c>
      <c r="B3410" s="84" t="s">
        <v>397</v>
      </c>
      <c r="C3410" s="84">
        <v>24</v>
      </c>
      <c r="D3410" s="84">
        <v>19</v>
      </c>
      <c r="E3410" s="85">
        <v>24603.08</v>
      </c>
      <c r="F3410" s="85">
        <v>21702.28</v>
      </c>
      <c r="G3410" s="85">
        <v>-2900.8</v>
      </c>
    </row>
    <row r="3411" spans="1:7" x14ac:dyDescent="0.3">
      <c r="A3411" s="84">
        <v>2026</v>
      </c>
      <c r="B3411" s="84" t="s">
        <v>397</v>
      </c>
      <c r="C3411" s="84">
        <v>24</v>
      </c>
      <c r="D3411" s="84">
        <v>20</v>
      </c>
      <c r="E3411" s="85">
        <v>24603.08</v>
      </c>
      <c r="F3411" s="85">
        <v>22095.26</v>
      </c>
      <c r="G3411" s="85">
        <v>-2507.8200000000002</v>
      </c>
    </row>
    <row r="3412" spans="1:7" x14ac:dyDescent="0.3">
      <c r="A3412" s="84">
        <v>2026</v>
      </c>
      <c r="B3412" s="84" t="s">
        <v>397</v>
      </c>
      <c r="C3412" s="84">
        <v>24</v>
      </c>
      <c r="D3412" s="84">
        <v>21</v>
      </c>
      <c r="E3412" s="85">
        <v>24603.08</v>
      </c>
      <c r="F3412" s="85">
        <v>22684.66</v>
      </c>
      <c r="G3412" s="85">
        <v>-1918.42</v>
      </c>
    </row>
    <row r="3413" spans="1:7" x14ac:dyDescent="0.3">
      <c r="A3413" s="84">
        <v>2026</v>
      </c>
      <c r="B3413" s="84" t="s">
        <v>397</v>
      </c>
      <c r="C3413" s="84">
        <v>24</v>
      </c>
      <c r="D3413" s="84">
        <v>22</v>
      </c>
      <c r="E3413" s="85">
        <v>24603.08</v>
      </c>
      <c r="F3413" s="85">
        <v>23323.34</v>
      </c>
      <c r="G3413" s="85">
        <v>-1279.74</v>
      </c>
    </row>
    <row r="3414" spans="1:7" x14ac:dyDescent="0.3">
      <c r="A3414" s="84">
        <v>2026</v>
      </c>
      <c r="B3414" s="84" t="s">
        <v>397</v>
      </c>
      <c r="C3414" s="84">
        <v>24</v>
      </c>
      <c r="D3414" s="84">
        <v>23</v>
      </c>
      <c r="E3414" s="85">
        <v>24603.08</v>
      </c>
      <c r="F3414" s="85">
        <v>23963.84</v>
      </c>
      <c r="G3414" s="85">
        <v>-639.24</v>
      </c>
    </row>
    <row r="3415" spans="1:7" x14ac:dyDescent="0.3">
      <c r="A3415" s="84">
        <v>2026</v>
      </c>
      <c r="B3415" s="84" t="s">
        <v>397</v>
      </c>
      <c r="C3415" s="84">
        <v>24</v>
      </c>
      <c r="D3415" s="84">
        <v>24</v>
      </c>
      <c r="E3415" s="85">
        <v>24603.08</v>
      </c>
      <c r="F3415" s="85">
        <v>24603.08</v>
      </c>
      <c r="G3415" s="85">
        <v>0</v>
      </c>
    </row>
    <row r="3416" spans="1:7" x14ac:dyDescent="0.3">
      <c r="A3416" s="84">
        <v>2026</v>
      </c>
      <c r="B3416" s="84" t="s">
        <v>397</v>
      </c>
      <c r="C3416" s="84">
        <v>24</v>
      </c>
      <c r="D3416" s="84">
        <v>25</v>
      </c>
      <c r="E3416" s="85">
        <v>24603.08</v>
      </c>
      <c r="F3416" s="85">
        <v>25243.16</v>
      </c>
      <c r="G3416" s="85">
        <v>640.08000000000004</v>
      </c>
    </row>
    <row r="3417" spans="1:7" x14ac:dyDescent="0.3">
      <c r="A3417" s="84">
        <v>2026</v>
      </c>
      <c r="B3417" s="84" t="s">
        <v>397</v>
      </c>
      <c r="C3417" s="84">
        <v>24</v>
      </c>
      <c r="D3417" s="84">
        <v>26</v>
      </c>
      <c r="E3417" s="85">
        <v>24603.08</v>
      </c>
      <c r="F3417" s="85">
        <v>26622.44</v>
      </c>
      <c r="G3417" s="85">
        <v>2019.36</v>
      </c>
    </row>
    <row r="3418" spans="1:7" x14ac:dyDescent="0.3">
      <c r="A3418" s="84">
        <v>2026</v>
      </c>
      <c r="B3418" s="84" t="s">
        <v>397</v>
      </c>
      <c r="C3418" s="84">
        <v>24</v>
      </c>
      <c r="D3418" s="84">
        <v>27</v>
      </c>
      <c r="E3418" s="85">
        <v>24603.08</v>
      </c>
      <c r="F3418" s="85">
        <v>28331.7</v>
      </c>
      <c r="G3418" s="85">
        <v>3728.62</v>
      </c>
    </row>
    <row r="3419" spans="1:7" x14ac:dyDescent="0.3">
      <c r="A3419" s="84">
        <v>2026</v>
      </c>
      <c r="B3419" s="84" t="s">
        <v>397</v>
      </c>
      <c r="C3419" s="84">
        <v>24</v>
      </c>
      <c r="D3419" s="84">
        <v>28</v>
      </c>
      <c r="E3419" s="85">
        <v>24603.08</v>
      </c>
      <c r="F3419" s="85">
        <v>28972.2</v>
      </c>
      <c r="G3419" s="85">
        <v>4369.12</v>
      </c>
    </row>
    <row r="3420" spans="1:7" x14ac:dyDescent="0.3">
      <c r="A3420" s="84">
        <v>2026</v>
      </c>
      <c r="B3420" s="84" t="s">
        <v>397</v>
      </c>
      <c r="C3420" s="84">
        <v>24</v>
      </c>
      <c r="D3420" s="84">
        <v>29</v>
      </c>
      <c r="E3420" s="85">
        <v>24603.08</v>
      </c>
      <c r="F3420" s="85">
        <v>29611.58</v>
      </c>
      <c r="G3420" s="85">
        <v>5008.5</v>
      </c>
    </row>
    <row r="3421" spans="1:7" x14ac:dyDescent="0.3">
      <c r="A3421" s="84">
        <v>2026</v>
      </c>
      <c r="B3421" s="84" t="s">
        <v>397</v>
      </c>
      <c r="C3421" s="84">
        <v>24</v>
      </c>
      <c r="D3421" s="84">
        <v>30</v>
      </c>
      <c r="E3421" s="85">
        <v>24603.08</v>
      </c>
      <c r="F3421" s="85">
        <v>31359.9</v>
      </c>
      <c r="G3421" s="85">
        <v>6756.82</v>
      </c>
    </row>
    <row r="3422" spans="1:7" x14ac:dyDescent="0.3">
      <c r="A3422" s="84">
        <v>2026</v>
      </c>
      <c r="B3422" s="84" t="s">
        <v>397</v>
      </c>
      <c r="C3422" s="84">
        <v>25</v>
      </c>
      <c r="D3422" s="84">
        <v>1</v>
      </c>
      <c r="E3422" s="85">
        <v>25243.16</v>
      </c>
      <c r="F3422" s="85">
        <v>16002.46</v>
      </c>
      <c r="G3422" s="85">
        <v>-9240.7000000000007</v>
      </c>
    </row>
    <row r="3423" spans="1:7" x14ac:dyDescent="0.3">
      <c r="A3423" s="84">
        <v>2026</v>
      </c>
      <c r="B3423" s="84" t="s">
        <v>397</v>
      </c>
      <c r="C3423" s="84">
        <v>25</v>
      </c>
      <c r="D3423" s="84">
        <v>2</v>
      </c>
      <c r="E3423" s="85">
        <v>25243.16</v>
      </c>
      <c r="F3423" s="85">
        <v>16296.88</v>
      </c>
      <c r="G3423" s="85">
        <v>-8946.2800000000007</v>
      </c>
    </row>
    <row r="3424" spans="1:7" x14ac:dyDescent="0.3">
      <c r="A3424" s="84">
        <v>2026</v>
      </c>
      <c r="B3424" s="84" t="s">
        <v>397</v>
      </c>
      <c r="C3424" s="84">
        <v>25</v>
      </c>
      <c r="D3424" s="84">
        <v>3</v>
      </c>
      <c r="E3424" s="85">
        <v>25243.16</v>
      </c>
      <c r="F3424" s="85">
        <v>16591.86</v>
      </c>
      <c r="G3424" s="85">
        <v>-8651.2999999999993</v>
      </c>
    </row>
    <row r="3425" spans="1:7" x14ac:dyDescent="0.3">
      <c r="A3425" s="84">
        <v>2026</v>
      </c>
      <c r="B3425" s="84" t="s">
        <v>397</v>
      </c>
      <c r="C3425" s="84">
        <v>25</v>
      </c>
      <c r="D3425" s="84">
        <v>4</v>
      </c>
      <c r="E3425" s="85">
        <v>25243.16</v>
      </c>
      <c r="F3425" s="85">
        <v>16886</v>
      </c>
      <c r="G3425" s="85">
        <v>-8357.16</v>
      </c>
    </row>
    <row r="3426" spans="1:7" x14ac:dyDescent="0.3">
      <c r="A3426" s="84">
        <v>2026</v>
      </c>
      <c r="B3426" s="84" t="s">
        <v>397</v>
      </c>
      <c r="C3426" s="84">
        <v>25</v>
      </c>
      <c r="D3426" s="84">
        <v>5</v>
      </c>
      <c r="E3426" s="85">
        <v>25243.16</v>
      </c>
      <c r="F3426" s="85">
        <v>17180.7</v>
      </c>
      <c r="G3426" s="85">
        <v>-8062.46</v>
      </c>
    </row>
    <row r="3427" spans="1:7" x14ac:dyDescent="0.3">
      <c r="A3427" s="84">
        <v>2026</v>
      </c>
      <c r="B3427" s="84" t="s">
        <v>397</v>
      </c>
      <c r="C3427" s="84">
        <v>25</v>
      </c>
      <c r="D3427" s="84">
        <v>6</v>
      </c>
      <c r="E3427" s="85">
        <v>25243.16</v>
      </c>
      <c r="F3427" s="85">
        <v>17377.400000000001</v>
      </c>
      <c r="G3427" s="85">
        <v>-7865.76</v>
      </c>
    </row>
    <row r="3428" spans="1:7" x14ac:dyDescent="0.3">
      <c r="A3428" s="84">
        <v>2026</v>
      </c>
      <c r="B3428" s="84" t="s">
        <v>397</v>
      </c>
      <c r="C3428" s="84">
        <v>25</v>
      </c>
      <c r="D3428" s="84">
        <v>7</v>
      </c>
      <c r="E3428" s="85">
        <v>25243.16</v>
      </c>
      <c r="F3428" s="85">
        <v>17574.099999999999</v>
      </c>
      <c r="G3428" s="85">
        <v>-7669.06</v>
      </c>
    </row>
    <row r="3429" spans="1:7" x14ac:dyDescent="0.3">
      <c r="A3429" s="84">
        <v>2026</v>
      </c>
      <c r="B3429" s="84" t="s">
        <v>397</v>
      </c>
      <c r="C3429" s="84">
        <v>25</v>
      </c>
      <c r="D3429" s="84">
        <v>8</v>
      </c>
      <c r="E3429" s="85">
        <v>25243.16</v>
      </c>
      <c r="F3429" s="85">
        <v>17770.38</v>
      </c>
      <c r="G3429" s="85">
        <v>-7472.78</v>
      </c>
    </row>
    <row r="3430" spans="1:7" x14ac:dyDescent="0.3">
      <c r="A3430" s="84">
        <v>2026</v>
      </c>
      <c r="B3430" s="84" t="s">
        <v>397</v>
      </c>
      <c r="C3430" s="84">
        <v>25</v>
      </c>
      <c r="D3430" s="84">
        <v>9</v>
      </c>
      <c r="E3430" s="85">
        <v>25243.16</v>
      </c>
      <c r="F3430" s="85">
        <v>17967.5</v>
      </c>
      <c r="G3430" s="85">
        <v>-7275.66</v>
      </c>
    </row>
    <row r="3431" spans="1:7" x14ac:dyDescent="0.3">
      <c r="A3431" s="84">
        <v>2026</v>
      </c>
      <c r="B3431" s="84" t="s">
        <v>397</v>
      </c>
      <c r="C3431" s="84">
        <v>25</v>
      </c>
      <c r="D3431" s="84">
        <v>10</v>
      </c>
      <c r="E3431" s="85">
        <v>25243.16</v>
      </c>
      <c r="F3431" s="85">
        <v>18163.919999999998</v>
      </c>
      <c r="G3431" s="85">
        <v>-7079.24</v>
      </c>
    </row>
    <row r="3432" spans="1:7" x14ac:dyDescent="0.3">
      <c r="A3432" s="84">
        <v>2026</v>
      </c>
      <c r="B3432" s="84" t="s">
        <v>397</v>
      </c>
      <c r="C3432" s="84">
        <v>25</v>
      </c>
      <c r="D3432" s="84">
        <v>11</v>
      </c>
      <c r="E3432" s="85">
        <v>25243.16</v>
      </c>
      <c r="F3432" s="85">
        <v>18556.48</v>
      </c>
      <c r="G3432" s="85">
        <v>-6686.68</v>
      </c>
    </row>
    <row r="3433" spans="1:7" x14ac:dyDescent="0.3">
      <c r="A3433" s="84">
        <v>2026</v>
      </c>
      <c r="B3433" s="84" t="s">
        <v>397</v>
      </c>
      <c r="C3433" s="84">
        <v>25</v>
      </c>
      <c r="D3433" s="84">
        <v>12</v>
      </c>
      <c r="E3433" s="85">
        <v>25243.16</v>
      </c>
      <c r="F3433" s="85">
        <v>18950.02</v>
      </c>
      <c r="G3433" s="85">
        <v>-6293.14</v>
      </c>
    </row>
    <row r="3434" spans="1:7" x14ac:dyDescent="0.3">
      <c r="A3434" s="84">
        <v>2026</v>
      </c>
      <c r="B3434" s="84" t="s">
        <v>397</v>
      </c>
      <c r="C3434" s="84">
        <v>25</v>
      </c>
      <c r="D3434" s="84">
        <v>13</v>
      </c>
      <c r="E3434" s="85">
        <v>25243.16</v>
      </c>
      <c r="F3434" s="85">
        <v>19343.28</v>
      </c>
      <c r="G3434" s="85">
        <v>-5899.88</v>
      </c>
    </row>
    <row r="3435" spans="1:7" x14ac:dyDescent="0.3">
      <c r="A3435" s="84">
        <v>2026</v>
      </c>
      <c r="B3435" s="84" t="s">
        <v>397</v>
      </c>
      <c r="C3435" s="84">
        <v>25</v>
      </c>
      <c r="D3435" s="84">
        <v>14</v>
      </c>
      <c r="E3435" s="85">
        <v>25243.16</v>
      </c>
      <c r="F3435" s="85">
        <v>19737.099999999999</v>
      </c>
      <c r="G3435" s="85">
        <v>-5506.06</v>
      </c>
    </row>
    <row r="3436" spans="1:7" x14ac:dyDescent="0.3">
      <c r="A3436" s="84">
        <v>2026</v>
      </c>
      <c r="B3436" s="84" t="s">
        <v>397</v>
      </c>
      <c r="C3436" s="84">
        <v>25</v>
      </c>
      <c r="D3436" s="84">
        <v>15</v>
      </c>
      <c r="E3436" s="85">
        <v>25243.16</v>
      </c>
      <c r="F3436" s="85">
        <v>20129.38</v>
      </c>
      <c r="G3436" s="85">
        <v>-5113.78</v>
      </c>
    </row>
    <row r="3437" spans="1:7" x14ac:dyDescent="0.3">
      <c r="A3437" s="84">
        <v>2026</v>
      </c>
      <c r="B3437" s="84" t="s">
        <v>397</v>
      </c>
      <c r="C3437" s="84">
        <v>25</v>
      </c>
      <c r="D3437" s="84">
        <v>16</v>
      </c>
      <c r="E3437" s="85">
        <v>25243.16</v>
      </c>
      <c r="F3437" s="85">
        <v>20523.34</v>
      </c>
      <c r="G3437" s="85">
        <v>-4719.82</v>
      </c>
    </row>
    <row r="3438" spans="1:7" x14ac:dyDescent="0.3">
      <c r="A3438" s="84">
        <v>2026</v>
      </c>
      <c r="B3438" s="84" t="s">
        <v>397</v>
      </c>
      <c r="C3438" s="84">
        <v>25</v>
      </c>
      <c r="D3438" s="84">
        <v>17</v>
      </c>
      <c r="E3438" s="85">
        <v>25243.16</v>
      </c>
      <c r="F3438" s="85">
        <v>20915.62</v>
      </c>
      <c r="G3438" s="85">
        <v>-4327.54</v>
      </c>
    </row>
    <row r="3439" spans="1:7" x14ac:dyDescent="0.3">
      <c r="A3439" s="84">
        <v>2026</v>
      </c>
      <c r="B3439" s="84" t="s">
        <v>397</v>
      </c>
      <c r="C3439" s="84">
        <v>25</v>
      </c>
      <c r="D3439" s="84">
        <v>18</v>
      </c>
      <c r="E3439" s="85">
        <v>25243.16</v>
      </c>
      <c r="F3439" s="85">
        <v>21309.16</v>
      </c>
      <c r="G3439" s="85">
        <v>-3934</v>
      </c>
    </row>
    <row r="3440" spans="1:7" x14ac:dyDescent="0.3">
      <c r="A3440" s="84">
        <v>2026</v>
      </c>
      <c r="B3440" s="84" t="s">
        <v>397</v>
      </c>
      <c r="C3440" s="84">
        <v>25</v>
      </c>
      <c r="D3440" s="84">
        <v>19</v>
      </c>
      <c r="E3440" s="85">
        <v>25243.16</v>
      </c>
      <c r="F3440" s="85">
        <v>21702.28</v>
      </c>
      <c r="G3440" s="85">
        <v>-3540.88</v>
      </c>
    </row>
    <row r="3441" spans="1:7" x14ac:dyDescent="0.3">
      <c r="A3441" s="84">
        <v>2026</v>
      </c>
      <c r="B3441" s="84" t="s">
        <v>397</v>
      </c>
      <c r="C3441" s="84">
        <v>25</v>
      </c>
      <c r="D3441" s="84">
        <v>20</v>
      </c>
      <c r="E3441" s="85">
        <v>25243.16</v>
      </c>
      <c r="F3441" s="85">
        <v>22095.26</v>
      </c>
      <c r="G3441" s="85">
        <v>-3147.9</v>
      </c>
    </row>
    <row r="3442" spans="1:7" x14ac:dyDescent="0.3">
      <c r="A3442" s="84">
        <v>2026</v>
      </c>
      <c r="B3442" s="84" t="s">
        <v>397</v>
      </c>
      <c r="C3442" s="84">
        <v>25</v>
      </c>
      <c r="D3442" s="84">
        <v>21</v>
      </c>
      <c r="E3442" s="85">
        <v>25243.16</v>
      </c>
      <c r="F3442" s="85">
        <v>22684.66</v>
      </c>
      <c r="G3442" s="85">
        <v>-2558.5</v>
      </c>
    </row>
    <row r="3443" spans="1:7" x14ac:dyDescent="0.3">
      <c r="A3443" s="84">
        <v>2026</v>
      </c>
      <c r="B3443" s="84" t="s">
        <v>397</v>
      </c>
      <c r="C3443" s="84">
        <v>25</v>
      </c>
      <c r="D3443" s="84">
        <v>22</v>
      </c>
      <c r="E3443" s="85">
        <v>25243.16</v>
      </c>
      <c r="F3443" s="85">
        <v>23323.34</v>
      </c>
      <c r="G3443" s="85">
        <v>-1919.82</v>
      </c>
    </row>
    <row r="3444" spans="1:7" x14ac:dyDescent="0.3">
      <c r="A3444" s="84">
        <v>2026</v>
      </c>
      <c r="B3444" s="84" t="s">
        <v>397</v>
      </c>
      <c r="C3444" s="84">
        <v>25</v>
      </c>
      <c r="D3444" s="84">
        <v>23</v>
      </c>
      <c r="E3444" s="85">
        <v>25243.16</v>
      </c>
      <c r="F3444" s="85">
        <v>23963.84</v>
      </c>
      <c r="G3444" s="85">
        <v>-1279.32</v>
      </c>
    </row>
    <row r="3445" spans="1:7" x14ac:dyDescent="0.3">
      <c r="A3445" s="84">
        <v>2026</v>
      </c>
      <c r="B3445" s="84" t="s">
        <v>397</v>
      </c>
      <c r="C3445" s="84">
        <v>25</v>
      </c>
      <c r="D3445" s="84">
        <v>24</v>
      </c>
      <c r="E3445" s="85">
        <v>25243.16</v>
      </c>
      <c r="F3445" s="85">
        <v>24603.08</v>
      </c>
      <c r="G3445" s="85">
        <v>-640.08000000000004</v>
      </c>
    </row>
    <row r="3446" spans="1:7" x14ac:dyDescent="0.3">
      <c r="A3446" s="84">
        <v>2026</v>
      </c>
      <c r="B3446" s="84" t="s">
        <v>397</v>
      </c>
      <c r="C3446" s="84">
        <v>25</v>
      </c>
      <c r="D3446" s="84">
        <v>25</v>
      </c>
      <c r="E3446" s="85">
        <v>25243.16</v>
      </c>
      <c r="F3446" s="85">
        <v>25243.16</v>
      </c>
      <c r="G3446" s="85">
        <v>0</v>
      </c>
    </row>
    <row r="3447" spans="1:7" x14ac:dyDescent="0.3">
      <c r="A3447" s="84">
        <v>2026</v>
      </c>
      <c r="B3447" s="84" t="s">
        <v>397</v>
      </c>
      <c r="C3447" s="84">
        <v>25</v>
      </c>
      <c r="D3447" s="84">
        <v>26</v>
      </c>
      <c r="E3447" s="85">
        <v>25243.16</v>
      </c>
      <c r="F3447" s="85">
        <v>26622.44</v>
      </c>
      <c r="G3447" s="85">
        <v>1379.28</v>
      </c>
    </row>
    <row r="3448" spans="1:7" x14ac:dyDescent="0.3">
      <c r="A3448" s="84">
        <v>2026</v>
      </c>
      <c r="B3448" s="84" t="s">
        <v>397</v>
      </c>
      <c r="C3448" s="84">
        <v>25</v>
      </c>
      <c r="D3448" s="84">
        <v>27</v>
      </c>
      <c r="E3448" s="85">
        <v>25243.16</v>
      </c>
      <c r="F3448" s="85">
        <v>28331.7</v>
      </c>
      <c r="G3448" s="85">
        <v>3088.54</v>
      </c>
    </row>
    <row r="3449" spans="1:7" x14ac:dyDescent="0.3">
      <c r="A3449" s="84">
        <v>2026</v>
      </c>
      <c r="B3449" s="84" t="s">
        <v>397</v>
      </c>
      <c r="C3449" s="84">
        <v>25</v>
      </c>
      <c r="D3449" s="84">
        <v>28</v>
      </c>
      <c r="E3449" s="85">
        <v>25243.16</v>
      </c>
      <c r="F3449" s="85">
        <v>28972.2</v>
      </c>
      <c r="G3449" s="85">
        <v>3729.04</v>
      </c>
    </row>
    <row r="3450" spans="1:7" x14ac:dyDescent="0.3">
      <c r="A3450" s="84">
        <v>2026</v>
      </c>
      <c r="B3450" s="84" t="s">
        <v>397</v>
      </c>
      <c r="C3450" s="84">
        <v>25</v>
      </c>
      <c r="D3450" s="84">
        <v>29</v>
      </c>
      <c r="E3450" s="85">
        <v>25243.16</v>
      </c>
      <c r="F3450" s="85">
        <v>29611.58</v>
      </c>
      <c r="G3450" s="85">
        <v>4368.42</v>
      </c>
    </row>
    <row r="3451" spans="1:7" x14ac:dyDescent="0.3">
      <c r="A3451" s="84">
        <v>2026</v>
      </c>
      <c r="B3451" s="84" t="s">
        <v>397</v>
      </c>
      <c r="C3451" s="84">
        <v>25</v>
      </c>
      <c r="D3451" s="84">
        <v>30</v>
      </c>
      <c r="E3451" s="85">
        <v>25243.16</v>
      </c>
      <c r="F3451" s="85">
        <v>31359.9</v>
      </c>
      <c r="G3451" s="85">
        <v>6116.74</v>
      </c>
    </row>
    <row r="3452" spans="1:7" x14ac:dyDescent="0.3">
      <c r="A3452" s="84">
        <v>2026</v>
      </c>
      <c r="B3452" s="84" t="s">
        <v>397</v>
      </c>
      <c r="C3452" s="84">
        <v>26</v>
      </c>
      <c r="D3452" s="84">
        <v>1</v>
      </c>
      <c r="E3452" s="85">
        <v>26622.44</v>
      </c>
      <c r="F3452" s="85">
        <v>16002.46</v>
      </c>
      <c r="G3452" s="85">
        <v>-10619.98</v>
      </c>
    </row>
    <row r="3453" spans="1:7" x14ac:dyDescent="0.3">
      <c r="A3453" s="84">
        <v>2026</v>
      </c>
      <c r="B3453" s="84" t="s">
        <v>397</v>
      </c>
      <c r="C3453" s="84">
        <v>26</v>
      </c>
      <c r="D3453" s="84">
        <v>2</v>
      </c>
      <c r="E3453" s="85">
        <v>26622.44</v>
      </c>
      <c r="F3453" s="85">
        <v>16296.88</v>
      </c>
      <c r="G3453" s="85">
        <v>-10325.56</v>
      </c>
    </row>
    <row r="3454" spans="1:7" x14ac:dyDescent="0.3">
      <c r="A3454" s="84">
        <v>2026</v>
      </c>
      <c r="B3454" s="84" t="s">
        <v>397</v>
      </c>
      <c r="C3454" s="84">
        <v>26</v>
      </c>
      <c r="D3454" s="84">
        <v>3</v>
      </c>
      <c r="E3454" s="85">
        <v>26622.44</v>
      </c>
      <c r="F3454" s="85">
        <v>16591.86</v>
      </c>
      <c r="G3454" s="85">
        <v>-10030.58</v>
      </c>
    </row>
    <row r="3455" spans="1:7" x14ac:dyDescent="0.3">
      <c r="A3455" s="84">
        <v>2026</v>
      </c>
      <c r="B3455" s="84" t="s">
        <v>397</v>
      </c>
      <c r="C3455" s="84">
        <v>26</v>
      </c>
      <c r="D3455" s="84">
        <v>4</v>
      </c>
      <c r="E3455" s="85">
        <v>26622.44</v>
      </c>
      <c r="F3455" s="85">
        <v>16886</v>
      </c>
      <c r="G3455" s="85">
        <v>-9736.44</v>
      </c>
    </row>
    <row r="3456" spans="1:7" x14ac:dyDescent="0.3">
      <c r="A3456" s="84">
        <v>2026</v>
      </c>
      <c r="B3456" s="84" t="s">
        <v>397</v>
      </c>
      <c r="C3456" s="84">
        <v>26</v>
      </c>
      <c r="D3456" s="84">
        <v>5</v>
      </c>
      <c r="E3456" s="85">
        <v>26622.44</v>
      </c>
      <c r="F3456" s="85">
        <v>17180.7</v>
      </c>
      <c r="G3456" s="85">
        <v>-9441.74</v>
      </c>
    </row>
    <row r="3457" spans="1:7" x14ac:dyDescent="0.3">
      <c r="A3457" s="84">
        <v>2026</v>
      </c>
      <c r="B3457" s="84" t="s">
        <v>397</v>
      </c>
      <c r="C3457" s="84">
        <v>26</v>
      </c>
      <c r="D3457" s="84">
        <v>6</v>
      </c>
      <c r="E3457" s="85">
        <v>26622.44</v>
      </c>
      <c r="F3457" s="85">
        <v>17377.400000000001</v>
      </c>
      <c r="G3457" s="85">
        <v>-9245.0400000000009</v>
      </c>
    </row>
    <row r="3458" spans="1:7" x14ac:dyDescent="0.3">
      <c r="A3458" s="84">
        <v>2026</v>
      </c>
      <c r="B3458" s="84" t="s">
        <v>397</v>
      </c>
      <c r="C3458" s="84">
        <v>26</v>
      </c>
      <c r="D3458" s="84">
        <v>7</v>
      </c>
      <c r="E3458" s="85">
        <v>26622.44</v>
      </c>
      <c r="F3458" s="85">
        <v>17574.099999999999</v>
      </c>
      <c r="G3458" s="85">
        <v>-9048.34</v>
      </c>
    </row>
    <row r="3459" spans="1:7" x14ac:dyDescent="0.3">
      <c r="A3459" s="84">
        <v>2026</v>
      </c>
      <c r="B3459" s="84" t="s">
        <v>397</v>
      </c>
      <c r="C3459" s="84">
        <v>26</v>
      </c>
      <c r="D3459" s="84">
        <v>8</v>
      </c>
      <c r="E3459" s="85">
        <v>26622.44</v>
      </c>
      <c r="F3459" s="85">
        <v>17770.38</v>
      </c>
      <c r="G3459" s="85">
        <v>-8852.06</v>
      </c>
    </row>
    <row r="3460" spans="1:7" x14ac:dyDescent="0.3">
      <c r="A3460" s="84">
        <v>2026</v>
      </c>
      <c r="B3460" s="84" t="s">
        <v>397</v>
      </c>
      <c r="C3460" s="84">
        <v>26</v>
      </c>
      <c r="D3460" s="84">
        <v>9</v>
      </c>
      <c r="E3460" s="85">
        <v>26622.44</v>
      </c>
      <c r="F3460" s="85">
        <v>17967.5</v>
      </c>
      <c r="G3460" s="85">
        <v>-8654.94</v>
      </c>
    </row>
    <row r="3461" spans="1:7" x14ac:dyDescent="0.3">
      <c r="A3461" s="84">
        <v>2026</v>
      </c>
      <c r="B3461" s="84" t="s">
        <v>397</v>
      </c>
      <c r="C3461" s="84">
        <v>26</v>
      </c>
      <c r="D3461" s="84">
        <v>10</v>
      </c>
      <c r="E3461" s="85">
        <v>26622.44</v>
      </c>
      <c r="F3461" s="85">
        <v>18163.919999999998</v>
      </c>
      <c r="G3461" s="85">
        <v>-8458.52</v>
      </c>
    </row>
    <row r="3462" spans="1:7" x14ac:dyDescent="0.3">
      <c r="A3462" s="84">
        <v>2026</v>
      </c>
      <c r="B3462" s="84" t="s">
        <v>397</v>
      </c>
      <c r="C3462" s="84">
        <v>26</v>
      </c>
      <c r="D3462" s="84">
        <v>11</v>
      </c>
      <c r="E3462" s="85">
        <v>26622.44</v>
      </c>
      <c r="F3462" s="85">
        <v>18556.48</v>
      </c>
      <c r="G3462" s="85">
        <v>-8065.96</v>
      </c>
    </row>
    <row r="3463" spans="1:7" x14ac:dyDescent="0.3">
      <c r="A3463" s="84">
        <v>2026</v>
      </c>
      <c r="B3463" s="84" t="s">
        <v>397</v>
      </c>
      <c r="C3463" s="84">
        <v>26</v>
      </c>
      <c r="D3463" s="84">
        <v>12</v>
      </c>
      <c r="E3463" s="85">
        <v>26622.44</v>
      </c>
      <c r="F3463" s="85">
        <v>18950.02</v>
      </c>
      <c r="G3463" s="85">
        <v>-7672.42</v>
      </c>
    </row>
    <row r="3464" spans="1:7" x14ac:dyDescent="0.3">
      <c r="A3464" s="84">
        <v>2026</v>
      </c>
      <c r="B3464" s="84" t="s">
        <v>397</v>
      </c>
      <c r="C3464" s="84">
        <v>26</v>
      </c>
      <c r="D3464" s="84">
        <v>13</v>
      </c>
      <c r="E3464" s="85">
        <v>26622.44</v>
      </c>
      <c r="F3464" s="85">
        <v>19343.28</v>
      </c>
      <c r="G3464" s="85">
        <v>-7279.16</v>
      </c>
    </row>
    <row r="3465" spans="1:7" x14ac:dyDescent="0.3">
      <c r="A3465" s="84">
        <v>2026</v>
      </c>
      <c r="B3465" s="84" t="s">
        <v>397</v>
      </c>
      <c r="C3465" s="84">
        <v>26</v>
      </c>
      <c r="D3465" s="84">
        <v>14</v>
      </c>
      <c r="E3465" s="85">
        <v>26622.44</v>
      </c>
      <c r="F3465" s="85">
        <v>19737.099999999999</v>
      </c>
      <c r="G3465" s="85">
        <v>-6885.34</v>
      </c>
    </row>
    <row r="3466" spans="1:7" x14ac:dyDescent="0.3">
      <c r="A3466" s="84">
        <v>2026</v>
      </c>
      <c r="B3466" s="84" t="s">
        <v>397</v>
      </c>
      <c r="C3466" s="84">
        <v>26</v>
      </c>
      <c r="D3466" s="84">
        <v>15</v>
      </c>
      <c r="E3466" s="85">
        <v>26622.44</v>
      </c>
      <c r="F3466" s="85">
        <v>20129.38</v>
      </c>
      <c r="G3466" s="85">
        <v>-6493.06</v>
      </c>
    </row>
    <row r="3467" spans="1:7" x14ac:dyDescent="0.3">
      <c r="A3467" s="84">
        <v>2026</v>
      </c>
      <c r="B3467" s="84" t="s">
        <v>397</v>
      </c>
      <c r="C3467" s="84">
        <v>26</v>
      </c>
      <c r="D3467" s="84">
        <v>16</v>
      </c>
      <c r="E3467" s="85">
        <v>26622.44</v>
      </c>
      <c r="F3467" s="85">
        <v>20523.34</v>
      </c>
      <c r="G3467" s="85">
        <v>-6099.1</v>
      </c>
    </row>
    <row r="3468" spans="1:7" x14ac:dyDescent="0.3">
      <c r="A3468" s="84">
        <v>2026</v>
      </c>
      <c r="B3468" s="84" t="s">
        <v>397</v>
      </c>
      <c r="C3468" s="84">
        <v>26</v>
      </c>
      <c r="D3468" s="84">
        <v>17</v>
      </c>
      <c r="E3468" s="85">
        <v>26622.44</v>
      </c>
      <c r="F3468" s="85">
        <v>20915.62</v>
      </c>
      <c r="G3468" s="85">
        <v>-5706.82</v>
      </c>
    </row>
    <row r="3469" spans="1:7" x14ac:dyDescent="0.3">
      <c r="A3469" s="84">
        <v>2026</v>
      </c>
      <c r="B3469" s="84" t="s">
        <v>397</v>
      </c>
      <c r="C3469" s="84">
        <v>26</v>
      </c>
      <c r="D3469" s="84">
        <v>18</v>
      </c>
      <c r="E3469" s="85">
        <v>26622.44</v>
      </c>
      <c r="F3469" s="85">
        <v>21309.16</v>
      </c>
      <c r="G3469" s="85">
        <v>-5313.28</v>
      </c>
    </row>
    <row r="3470" spans="1:7" x14ac:dyDescent="0.3">
      <c r="A3470" s="84">
        <v>2026</v>
      </c>
      <c r="B3470" s="84" t="s">
        <v>397</v>
      </c>
      <c r="C3470" s="84">
        <v>26</v>
      </c>
      <c r="D3470" s="84">
        <v>19</v>
      </c>
      <c r="E3470" s="85">
        <v>26622.44</v>
      </c>
      <c r="F3470" s="85">
        <v>21702.28</v>
      </c>
      <c r="G3470" s="85">
        <v>-4920.16</v>
      </c>
    </row>
    <row r="3471" spans="1:7" x14ac:dyDescent="0.3">
      <c r="A3471" s="84">
        <v>2026</v>
      </c>
      <c r="B3471" s="84" t="s">
        <v>397</v>
      </c>
      <c r="C3471" s="84">
        <v>26</v>
      </c>
      <c r="D3471" s="84">
        <v>20</v>
      </c>
      <c r="E3471" s="85">
        <v>26622.44</v>
      </c>
      <c r="F3471" s="85">
        <v>22095.26</v>
      </c>
      <c r="G3471" s="85">
        <v>-4527.18</v>
      </c>
    </row>
    <row r="3472" spans="1:7" x14ac:dyDescent="0.3">
      <c r="A3472" s="84">
        <v>2026</v>
      </c>
      <c r="B3472" s="84" t="s">
        <v>397</v>
      </c>
      <c r="C3472" s="84">
        <v>26</v>
      </c>
      <c r="D3472" s="84">
        <v>21</v>
      </c>
      <c r="E3472" s="85">
        <v>26622.44</v>
      </c>
      <c r="F3472" s="85">
        <v>22684.66</v>
      </c>
      <c r="G3472" s="85">
        <v>-3937.78</v>
      </c>
    </row>
    <row r="3473" spans="1:7" x14ac:dyDescent="0.3">
      <c r="A3473" s="84">
        <v>2026</v>
      </c>
      <c r="B3473" s="84" t="s">
        <v>397</v>
      </c>
      <c r="C3473" s="84">
        <v>26</v>
      </c>
      <c r="D3473" s="84">
        <v>22</v>
      </c>
      <c r="E3473" s="85">
        <v>26622.44</v>
      </c>
      <c r="F3473" s="85">
        <v>23323.34</v>
      </c>
      <c r="G3473" s="85">
        <v>-3299.1</v>
      </c>
    </row>
    <row r="3474" spans="1:7" x14ac:dyDescent="0.3">
      <c r="A3474" s="84">
        <v>2026</v>
      </c>
      <c r="B3474" s="84" t="s">
        <v>397</v>
      </c>
      <c r="C3474" s="84">
        <v>26</v>
      </c>
      <c r="D3474" s="84">
        <v>23</v>
      </c>
      <c r="E3474" s="85">
        <v>26622.44</v>
      </c>
      <c r="F3474" s="85">
        <v>23963.84</v>
      </c>
      <c r="G3474" s="85">
        <v>-2658.6</v>
      </c>
    </row>
    <row r="3475" spans="1:7" x14ac:dyDescent="0.3">
      <c r="A3475" s="84">
        <v>2026</v>
      </c>
      <c r="B3475" s="84" t="s">
        <v>397</v>
      </c>
      <c r="C3475" s="84">
        <v>26</v>
      </c>
      <c r="D3475" s="84">
        <v>24</v>
      </c>
      <c r="E3475" s="85">
        <v>26622.44</v>
      </c>
      <c r="F3475" s="85">
        <v>24603.08</v>
      </c>
      <c r="G3475" s="85">
        <v>-2019.36</v>
      </c>
    </row>
    <row r="3476" spans="1:7" x14ac:dyDescent="0.3">
      <c r="A3476" s="84">
        <v>2026</v>
      </c>
      <c r="B3476" s="84" t="s">
        <v>397</v>
      </c>
      <c r="C3476" s="84">
        <v>26</v>
      </c>
      <c r="D3476" s="84">
        <v>25</v>
      </c>
      <c r="E3476" s="85">
        <v>26622.44</v>
      </c>
      <c r="F3476" s="85">
        <v>25243.16</v>
      </c>
      <c r="G3476" s="85">
        <v>-1379.28</v>
      </c>
    </row>
    <row r="3477" spans="1:7" x14ac:dyDescent="0.3">
      <c r="A3477" s="84">
        <v>2026</v>
      </c>
      <c r="B3477" s="84" t="s">
        <v>397</v>
      </c>
      <c r="C3477" s="84">
        <v>26</v>
      </c>
      <c r="D3477" s="84">
        <v>26</v>
      </c>
      <c r="E3477" s="85">
        <v>26622.44</v>
      </c>
      <c r="F3477" s="85">
        <v>26622.44</v>
      </c>
      <c r="G3477" s="85">
        <v>0</v>
      </c>
    </row>
    <row r="3478" spans="1:7" x14ac:dyDescent="0.3">
      <c r="A3478" s="84">
        <v>2026</v>
      </c>
      <c r="B3478" s="84" t="s">
        <v>397</v>
      </c>
      <c r="C3478" s="84">
        <v>26</v>
      </c>
      <c r="D3478" s="84">
        <v>27</v>
      </c>
      <c r="E3478" s="85">
        <v>26622.44</v>
      </c>
      <c r="F3478" s="85">
        <v>28331.7</v>
      </c>
      <c r="G3478" s="85">
        <v>1709.26</v>
      </c>
    </row>
    <row r="3479" spans="1:7" x14ac:dyDescent="0.3">
      <c r="A3479" s="84">
        <v>2026</v>
      </c>
      <c r="B3479" s="84" t="s">
        <v>397</v>
      </c>
      <c r="C3479" s="84">
        <v>26</v>
      </c>
      <c r="D3479" s="84">
        <v>28</v>
      </c>
      <c r="E3479" s="85">
        <v>26622.44</v>
      </c>
      <c r="F3479" s="85">
        <v>28972.2</v>
      </c>
      <c r="G3479" s="85">
        <v>2349.7600000000002</v>
      </c>
    </row>
    <row r="3480" spans="1:7" x14ac:dyDescent="0.3">
      <c r="A3480" s="84">
        <v>2026</v>
      </c>
      <c r="B3480" s="84" t="s">
        <v>397</v>
      </c>
      <c r="C3480" s="84">
        <v>26</v>
      </c>
      <c r="D3480" s="84">
        <v>29</v>
      </c>
      <c r="E3480" s="85">
        <v>26622.44</v>
      </c>
      <c r="F3480" s="85">
        <v>29611.58</v>
      </c>
      <c r="G3480" s="85">
        <v>2989.14</v>
      </c>
    </row>
    <row r="3481" spans="1:7" x14ac:dyDescent="0.3">
      <c r="A3481" s="84">
        <v>2026</v>
      </c>
      <c r="B3481" s="84" t="s">
        <v>397</v>
      </c>
      <c r="C3481" s="84">
        <v>26</v>
      </c>
      <c r="D3481" s="84">
        <v>30</v>
      </c>
      <c r="E3481" s="85">
        <v>26622.44</v>
      </c>
      <c r="F3481" s="85">
        <v>31359.9</v>
      </c>
      <c r="G3481" s="85">
        <v>4737.46</v>
      </c>
    </row>
    <row r="3482" spans="1:7" x14ac:dyDescent="0.3">
      <c r="A3482" s="84">
        <v>2026</v>
      </c>
      <c r="B3482" s="84" t="s">
        <v>397</v>
      </c>
      <c r="C3482" s="84">
        <v>27</v>
      </c>
      <c r="D3482" s="84">
        <v>1</v>
      </c>
      <c r="E3482" s="85">
        <v>28331.7</v>
      </c>
      <c r="F3482" s="85">
        <v>16002.46</v>
      </c>
      <c r="G3482" s="85">
        <v>-12329.24</v>
      </c>
    </row>
    <row r="3483" spans="1:7" x14ac:dyDescent="0.3">
      <c r="A3483" s="84">
        <v>2026</v>
      </c>
      <c r="B3483" s="84" t="s">
        <v>397</v>
      </c>
      <c r="C3483" s="84">
        <v>27</v>
      </c>
      <c r="D3483" s="84">
        <v>2</v>
      </c>
      <c r="E3483" s="85">
        <v>28331.7</v>
      </c>
      <c r="F3483" s="85">
        <v>16296.88</v>
      </c>
      <c r="G3483" s="85">
        <v>-12034.82</v>
      </c>
    </row>
    <row r="3484" spans="1:7" x14ac:dyDescent="0.3">
      <c r="A3484" s="84">
        <v>2026</v>
      </c>
      <c r="B3484" s="84" t="s">
        <v>397</v>
      </c>
      <c r="C3484" s="84">
        <v>27</v>
      </c>
      <c r="D3484" s="84">
        <v>3</v>
      </c>
      <c r="E3484" s="85">
        <v>28331.7</v>
      </c>
      <c r="F3484" s="85">
        <v>16591.86</v>
      </c>
      <c r="G3484" s="85">
        <v>-11739.84</v>
      </c>
    </row>
    <row r="3485" spans="1:7" x14ac:dyDescent="0.3">
      <c r="A3485" s="84">
        <v>2026</v>
      </c>
      <c r="B3485" s="84" t="s">
        <v>397</v>
      </c>
      <c r="C3485" s="84">
        <v>27</v>
      </c>
      <c r="D3485" s="84">
        <v>4</v>
      </c>
      <c r="E3485" s="85">
        <v>28331.7</v>
      </c>
      <c r="F3485" s="85">
        <v>16886</v>
      </c>
      <c r="G3485" s="85">
        <v>-11445.7</v>
      </c>
    </row>
    <row r="3486" spans="1:7" x14ac:dyDescent="0.3">
      <c r="A3486" s="84">
        <v>2026</v>
      </c>
      <c r="B3486" s="84" t="s">
        <v>397</v>
      </c>
      <c r="C3486" s="84">
        <v>27</v>
      </c>
      <c r="D3486" s="84">
        <v>5</v>
      </c>
      <c r="E3486" s="85">
        <v>28331.7</v>
      </c>
      <c r="F3486" s="85">
        <v>17180.7</v>
      </c>
      <c r="G3486" s="85">
        <v>-11151</v>
      </c>
    </row>
    <row r="3487" spans="1:7" x14ac:dyDescent="0.3">
      <c r="A3487" s="84">
        <v>2026</v>
      </c>
      <c r="B3487" s="84" t="s">
        <v>397</v>
      </c>
      <c r="C3487" s="84">
        <v>27</v>
      </c>
      <c r="D3487" s="84">
        <v>6</v>
      </c>
      <c r="E3487" s="85">
        <v>28331.7</v>
      </c>
      <c r="F3487" s="85">
        <v>17377.400000000001</v>
      </c>
      <c r="G3487" s="85">
        <v>-10954.3</v>
      </c>
    </row>
    <row r="3488" spans="1:7" x14ac:dyDescent="0.3">
      <c r="A3488" s="84">
        <v>2026</v>
      </c>
      <c r="B3488" s="84" t="s">
        <v>397</v>
      </c>
      <c r="C3488" s="84">
        <v>27</v>
      </c>
      <c r="D3488" s="84">
        <v>7</v>
      </c>
      <c r="E3488" s="85">
        <v>28331.7</v>
      </c>
      <c r="F3488" s="85">
        <v>17574.099999999999</v>
      </c>
      <c r="G3488" s="85">
        <v>-10757.6</v>
      </c>
    </row>
    <row r="3489" spans="1:7" x14ac:dyDescent="0.3">
      <c r="A3489" s="84">
        <v>2026</v>
      </c>
      <c r="B3489" s="84" t="s">
        <v>397</v>
      </c>
      <c r="C3489" s="84">
        <v>27</v>
      </c>
      <c r="D3489" s="84">
        <v>8</v>
      </c>
      <c r="E3489" s="85">
        <v>28331.7</v>
      </c>
      <c r="F3489" s="85">
        <v>17770.38</v>
      </c>
      <c r="G3489" s="85">
        <v>-10561.32</v>
      </c>
    </row>
    <row r="3490" spans="1:7" x14ac:dyDescent="0.3">
      <c r="A3490" s="84">
        <v>2026</v>
      </c>
      <c r="B3490" s="84" t="s">
        <v>397</v>
      </c>
      <c r="C3490" s="84">
        <v>27</v>
      </c>
      <c r="D3490" s="84">
        <v>9</v>
      </c>
      <c r="E3490" s="85">
        <v>28331.7</v>
      </c>
      <c r="F3490" s="85">
        <v>17967.5</v>
      </c>
      <c r="G3490" s="85">
        <v>-10364.200000000001</v>
      </c>
    </row>
    <row r="3491" spans="1:7" x14ac:dyDescent="0.3">
      <c r="A3491" s="84">
        <v>2026</v>
      </c>
      <c r="B3491" s="84" t="s">
        <v>397</v>
      </c>
      <c r="C3491" s="84">
        <v>27</v>
      </c>
      <c r="D3491" s="84">
        <v>10</v>
      </c>
      <c r="E3491" s="85">
        <v>28331.7</v>
      </c>
      <c r="F3491" s="85">
        <v>18163.919999999998</v>
      </c>
      <c r="G3491" s="85">
        <v>-10167.780000000001</v>
      </c>
    </row>
    <row r="3492" spans="1:7" x14ac:dyDescent="0.3">
      <c r="A3492" s="84">
        <v>2026</v>
      </c>
      <c r="B3492" s="84" t="s">
        <v>397</v>
      </c>
      <c r="C3492" s="84">
        <v>27</v>
      </c>
      <c r="D3492" s="84">
        <v>11</v>
      </c>
      <c r="E3492" s="85">
        <v>28331.7</v>
      </c>
      <c r="F3492" s="85">
        <v>18556.48</v>
      </c>
      <c r="G3492" s="85">
        <v>-9775.2199999999993</v>
      </c>
    </row>
    <row r="3493" spans="1:7" x14ac:dyDescent="0.3">
      <c r="A3493" s="84">
        <v>2026</v>
      </c>
      <c r="B3493" s="84" t="s">
        <v>397</v>
      </c>
      <c r="C3493" s="84">
        <v>27</v>
      </c>
      <c r="D3493" s="84">
        <v>12</v>
      </c>
      <c r="E3493" s="85">
        <v>28331.7</v>
      </c>
      <c r="F3493" s="85">
        <v>18950.02</v>
      </c>
      <c r="G3493" s="85">
        <v>-9381.68</v>
      </c>
    </row>
    <row r="3494" spans="1:7" x14ac:dyDescent="0.3">
      <c r="A3494" s="84">
        <v>2026</v>
      </c>
      <c r="B3494" s="84" t="s">
        <v>397</v>
      </c>
      <c r="C3494" s="84">
        <v>27</v>
      </c>
      <c r="D3494" s="84">
        <v>13</v>
      </c>
      <c r="E3494" s="85">
        <v>28331.7</v>
      </c>
      <c r="F3494" s="85">
        <v>19343.28</v>
      </c>
      <c r="G3494" s="85">
        <v>-8988.42</v>
      </c>
    </row>
    <row r="3495" spans="1:7" x14ac:dyDescent="0.3">
      <c r="A3495" s="84">
        <v>2026</v>
      </c>
      <c r="B3495" s="84" t="s">
        <v>397</v>
      </c>
      <c r="C3495" s="84">
        <v>27</v>
      </c>
      <c r="D3495" s="84">
        <v>14</v>
      </c>
      <c r="E3495" s="85">
        <v>28331.7</v>
      </c>
      <c r="F3495" s="85">
        <v>19737.099999999999</v>
      </c>
      <c r="G3495" s="85">
        <v>-8594.6</v>
      </c>
    </row>
    <row r="3496" spans="1:7" x14ac:dyDescent="0.3">
      <c r="A3496" s="84">
        <v>2026</v>
      </c>
      <c r="B3496" s="84" t="s">
        <v>397</v>
      </c>
      <c r="C3496" s="84">
        <v>27</v>
      </c>
      <c r="D3496" s="84">
        <v>15</v>
      </c>
      <c r="E3496" s="85">
        <v>28331.7</v>
      </c>
      <c r="F3496" s="85">
        <v>20129.38</v>
      </c>
      <c r="G3496" s="85">
        <v>-8202.32</v>
      </c>
    </row>
    <row r="3497" spans="1:7" x14ac:dyDescent="0.3">
      <c r="A3497" s="84">
        <v>2026</v>
      </c>
      <c r="B3497" s="84" t="s">
        <v>397</v>
      </c>
      <c r="C3497" s="84">
        <v>27</v>
      </c>
      <c r="D3497" s="84">
        <v>16</v>
      </c>
      <c r="E3497" s="85">
        <v>28331.7</v>
      </c>
      <c r="F3497" s="85">
        <v>20523.34</v>
      </c>
      <c r="G3497" s="85">
        <v>-7808.36</v>
      </c>
    </row>
    <row r="3498" spans="1:7" x14ac:dyDescent="0.3">
      <c r="A3498" s="84">
        <v>2026</v>
      </c>
      <c r="B3498" s="84" t="s">
        <v>397</v>
      </c>
      <c r="C3498" s="84">
        <v>27</v>
      </c>
      <c r="D3498" s="84">
        <v>17</v>
      </c>
      <c r="E3498" s="85">
        <v>28331.7</v>
      </c>
      <c r="F3498" s="85">
        <v>20915.62</v>
      </c>
      <c r="G3498" s="85">
        <v>-7416.08</v>
      </c>
    </row>
    <row r="3499" spans="1:7" x14ac:dyDescent="0.3">
      <c r="A3499" s="84">
        <v>2026</v>
      </c>
      <c r="B3499" s="84" t="s">
        <v>397</v>
      </c>
      <c r="C3499" s="84">
        <v>27</v>
      </c>
      <c r="D3499" s="84">
        <v>18</v>
      </c>
      <c r="E3499" s="85">
        <v>28331.7</v>
      </c>
      <c r="F3499" s="85">
        <v>21309.16</v>
      </c>
      <c r="G3499" s="85">
        <v>-7022.54</v>
      </c>
    </row>
    <row r="3500" spans="1:7" x14ac:dyDescent="0.3">
      <c r="A3500" s="84">
        <v>2026</v>
      </c>
      <c r="B3500" s="84" t="s">
        <v>397</v>
      </c>
      <c r="C3500" s="84">
        <v>27</v>
      </c>
      <c r="D3500" s="84">
        <v>19</v>
      </c>
      <c r="E3500" s="85">
        <v>28331.7</v>
      </c>
      <c r="F3500" s="85">
        <v>21702.28</v>
      </c>
      <c r="G3500" s="85">
        <v>-6629.42</v>
      </c>
    </row>
    <row r="3501" spans="1:7" x14ac:dyDescent="0.3">
      <c r="A3501" s="84">
        <v>2026</v>
      </c>
      <c r="B3501" s="84" t="s">
        <v>397</v>
      </c>
      <c r="C3501" s="84">
        <v>27</v>
      </c>
      <c r="D3501" s="84">
        <v>20</v>
      </c>
      <c r="E3501" s="85">
        <v>28331.7</v>
      </c>
      <c r="F3501" s="85">
        <v>22095.26</v>
      </c>
      <c r="G3501" s="85">
        <v>-6236.44</v>
      </c>
    </row>
    <row r="3502" spans="1:7" x14ac:dyDescent="0.3">
      <c r="A3502" s="84">
        <v>2026</v>
      </c>
      <c r="B3502" s="84" t="s">
        <v>397</v>
      </c>
      <c r="C3502" s="84">
        <v>27</v>
      </c>
      <c r="D3502" s="84">
        <v>21</v>
      </c>
      <c r="E3502" s="85">
        <v>28331.7</v>
      </c>
      <c r="F3502" s="85">
        <v>22684.66</v>
      </c>
      <c r="G3502" s="85">
        <v>-5647.04</v>
      </c>
    </row>
    <row r="3503" spans="1:7" x14ac:dyDescent="0.3">
      <c r="A3503" s="84">
        <v>2026</v>
      </c>
      <c r="B3503" s="84" t="s">
        <v>397</v>
      </c>
      <c r="C3503" s="84">
        <v>27</v>
      </c>
      <c r="D3503" s="84">
        <v>22</v>
      </c>
      <c r="E3503" s="85">
        <v>28331.7</v>
      </c>
      <c r="F3503" s="85">
        <v>23323.34</v>
      </c>
      <c r="G3503" s="85">
        <v>-5008.3599999999997</v>
      </c>
    </row>
    <row r="3504" spans="1:7" x14ac:dyDescent="0.3">
      <c r="A3504" s="84">
        <v>2026</v>
      </c>
      <c r="B3504" s="84" t="s">
        <v>397</v>
      </c>
      <c r="C3504" s="84">
        <v>27</v>
      </c>
      <c r="D3504" s="84">
        <v>23</v>
      </c>
      <c r="E3504" s="85">
        <v>28331.7</v>
      </c>
      <c r="F3504" s="85">
        <v>23963.84</v>
      </c>
      <c r="G3504" s="85">
        <v>-4367.8599999999997</v>
      </c>
    </row>
    <row r="3505" spans="1:7" x14ac:dyDescent="0.3">
      <c r="A3505" s="84">
        <v>2026</v>
      </c>
      <c r="B3505" s="84" t="s">
        <v>397</v>
      </c>
      <c r="C3505" s="84">
        <v>27</v>
      </c>
      <c r="D3505" s="84">
        <v>24</v>
      </c>
      <c r="E3505" s="85">
        <v>28331.7</v>
      </c>
      <c r="F3505" s="85">
        <v>24603.08</v>
      </c>
      <c r="G3505" s="85">
        <v>-3728.62</v>
      </c>
    </row>
    <row r="3506" spans="1:7" x14ac:dyDescent="0.3">
      <c r="A3506" s="84">
        <v>2026</v>
      </c>
      <c r="B3506" s="84" t="s">
        <v>397</v>
      </c>
      <c r="C3506" s="84">
        <v>27</v>
      </c>
      <c r="D3506" s="84">
        <v>25</v>
      </c>
      <c r="E3506" s="85">
        <v>28331.7</v>
      </c>
      <c r="F3506" s="85">
        <v>25243.16</v>
      </c>
      <c r="G3506" s="85">
        <v>-3088.54</v>
      </c>
    </row>
    <row r="3507" spans="1:7" x14ac:dyDescent="0.3">
      <c r="A3507" s="84">
        <v>2026</v>
      </c>
      <c r="B3507" s="84" t="s">
        <v>397</v>
      </c>
      <c r="C3507" s="84">
        <v>27</v>
      </c>
      <c r="D3507" s="84">
        <v>26</v>
      </c>
      <c r="E3507" s="85">
        <v>28331.7</v>
      </c>
      <c r="F3507" s="85">
        <v>26622.44</v>
      </c>
      <c r="G3507" s="85">
        <v>-1709.26</v>
      </c>
    </row>
    <row r="3508" spans="1:7" x14ac:dyDescent="0.3">
      <c r="A3508" s="84">
        <v>2026</v>
      </c>
      <c r="B3508" s="84" t="s">
        <v>397</v>
      </c>
      <c r="C3508" s="84">
        <v>27</v>
      </c>
      <c r="D3508" s="84">
        <v>27</v>
      </c>
      <c r="E3508" s="85">
        <v>28331.7</v>
      </c>
      <c r="F3508" s="85">
        <v>28331.7</v>
      </c>
      <c r="G3508" s="85">
        <v>0</v>
      </c>
    </row>
    <row r="3509" spans="1:7" x14ac:dyDescent="0.3">
      <c r="A3509" s="84">
        <v>2026</v>
      </c>
      <c r="B3509" s="84" t="s">
        <v>397</v>
      </c>
      <c r="C3509" s="84">
        <v>27</v>
      </c>
      <c r="D3509" s="84">
        <v>28</v>
      </c>
      <c r="E3509" s="85">
        <v>28331.7</v>
      </c>
      <c r="F3509" s="85">
        <v>28972.2</v>
      </c>
      <c r="G3509" s="85">
        <v>640.5</v>
      </c>
    </row>
    <row r="3510" spans="1:7" x14ac:dyDescent="0.3">
      <c r="A3510" s="84">
        <v>2026</v>
      </c>
      <c r="B3510" s="84" t="s">
        <v>397</v>
      </c>
      <c r="C3510" s="84">
        <v>27</v>
      </c>
      <c r="D3510" s="84">
        <v>29</v>
      </c>
      <c r="E3510" s="85">
        <v>28331.7</v>
      </c>
      <c r="F3510" s="85">
        <v>29611.58</v>
      </c>
      <c r="G3510" s="85">
        <v>1279.8800000000001</v>
      </c>
    </row>
    <row r="3511" spans="1:7" x14ac:dyDescent="0.3">
      <c r="A3511" s="84">
        <v>2026</v>
      </c>
      <c r="B3511" s="84" t="s">
        <v>397</v>
      </c>
      <c r="C3511" s="84">
        <v>27</v>
      </c>
      <c r="D3511" s="84">
        <v>30</v>
      </c>
      <c r="E3511" s="85">
        <v>28331.7</v>
      </c>
      <c r="F3511" s="85">
        <v>31359.9</v>
      </c>
      <c r="G3511" s="85">
        <v>3028.2</v>
      </c>
    </row>
    <row r="3512" spans="1:7" x14ac:dyDescent="0.3">
      <c r="A3512" s="84">
        <v>2026</v>
      </c>
      <c r="B3512" s="84" t="s">
        <v>397</v>
      </c>
      <c r="C3512" s="84">
        <v>28</v>
      </c>
      <c r="D3512" s="84">
        <v>1</v>
      </c>
      <c r="E3512" s="85">
        <v>28972.2</v>
      </c>
      <c r="F3512" s="85">
        <v>16002.46</v>
      </c>
      <c r="G3512" s="85">
        <v>-12969.74</v>
      </c>
    </row>
    <row r="3513" spans="1:7" x14ac:dyDescent="0.3">
      <c r="A3513" s="84">
        <v>2026</v>
      </c>
      <c r="B3513" s="84" t="s">
        <v>397</v>
      </c>
      <c r="C3513" s="84">
        <v>28</v>
      </c>
      <c r="D3513" s="84">
        <v>2</v>
      </c>
      <c r="E3513" s="85">
        <v>28972.2</v>
      </c>
      <c r="F3513" s="85">
        <v>16296.88</v>
      </c>
      <c r="G3513" s="85">
        <v>-12675.32</v>
      </c>
    </row>
    <row r="3514" spans="1:7" x14ac:dyDescent="0.3">
      <c r="A3514" s="84">
        <v>2026</v>
      </c>
      <c r="B3514" s="84" t="s">
        <v>397</v>
      </c>
      <c r="C3514" s="84">
        <v>28</v>
      </c>
      <c r="D3514" s="84">
        <v>3</v>
      </c>
      <c r="E3514" s="85">
        <v>28972.2</v>
      </c>
      <c r="F3514" s="85">
        <v>16591.86</v>
      </c>
      <c r="G3514" s="85">
        <v>-12380.34</v>
      </c>
    </row>
    <row r="3515" spans="1:7" x14ac:dyDescent="0.3">
      <c r="A3515" s="84">
        <v>2026</v>
      </c>
      <c r="B3515" s="84" t="s">
        <v>397</v>
      </c>
      <c r="C3515" s="84">
        <v>28</v>
      </c>
      <c r="D3515" s="84">
        <v>4</v>
      </c>
      <c r="E3515" s="85">
        <v>28972.2</v>
      </c>
      <c r="F3515" s="85">
        <v>16886</v>
      </c>
      <c r="G3515" s="85">
        <v>-12086.2</v>
      </c>
    </row>
    <row r="3516" spans="1:7" x14ac:dyDescent="0.3">
      <c r="A3516" s="84">
        <v>2026</v>
      </c>
      <c r="B3516" s="84" t="s">
        <v>397</v>
      </c>
      <c r="C3516" s="84">
        <v>28</v>
      </c>
      <c r="D3516" s="84">
        <v>5</v>
      </c>
      <c r="E3516" s="85">
        <v>28972.2</v>
      </c>
      <c r="F3516" s="85">
        <v>17180.7</v>
      </c>
      <c r="G3516" s="85">
        <v>-11791.5</v>
      </c>
    </row>
    <row r="3517" spans="1:7" x14ac:dyDescent="0.3">
      <c r="A3517" s="84">
        <v>2026</v>
      </c>
      <c r="B3517" s="84" t="s">
        <v>397</v>
      </c>
      <c r="C3517" s="84">
        <v>28</v>
      </c>
      <c r="D3517" s="84">
        <v>6</v>
      </c>
      <c r="E3517" s="85">
        <v>28972.2</v>
      </c>
      <c r="F3517" s="85">
        <v>17377.400000000001</v>
      </c>
      <c r="G3517" s="85">
        <v>-11594.8</v>
      </c>
    </row>
    <row r="3518" spans="1:7" x14ac:dyDescent="0.3">
      <c r="A3518" s="84">
        <v>2026</v>
      </c>
      <c r="B3518" s="84" t="s">
        <v>397</v>
      </c>
      <c r="C3518" s="84">
        <v>28</v>
      </c>
      <c r="D3518" s="84">
        <v>7</v>
      </c>
      <c r="E3518" s="85">
        <v>28972.2</v>
      </c>
      <c r="F3518" s="85">
        <v>17574.099999999999</v>
      </c>
      <c r="G3518" s="85">
        <v>-11398.1</v>
      </c>
    </row>
    <row r="3519" spans="1:7" x14ac:dyDescent="0.3">
      <c r="A3519" s="84">
        <v>2026</v>
      </c>
      <c r="B3519" s="84" t="s">
        <v>397</v>
      </c>
      <c r="C3519" s="84">
        <v>28</v>
      </c>
      <c r="D3519" s="84">
        <v>8</v>
      </c>
      <c r="E3519" s="85">
        <v>28972.2</v>
      </c>
      <c r="F3519" s="85">
        <v>17770.38</v>
      </c>
      <c r="G3519" s="85">
        <v>-11201.82</v>
      </c>
    </row>
    <row r="3520" spans="1:7" x14ac:dyDescent="0.3">
      <c r="A3520" s="84">
        <v>2026</v>
      </c>
      <c r="B3520" s="84" t="s">
        <v>397</v>
      </c>
      <c r="C3520" s="84">
        <v>28</v>
      </c>
      <c r="D3520" s="84">
        <v>9</v>
      </c>
      <c r="E3520" s="85">
        <v>28972.2</v>
      </c>
      <c r="F3520" s="85">
        <v>17967.5</v>
      </c>
      <c r="G3520" s="85">
        <v>-11004.7</v>
      </c>
    </row>
    <row r="3521" spans="1:7" x14ac:dyDescent="0.3">
      <c r="A3521" s="84">
        <v>2026</v>
      </c>
      <c r="B3521" s="84" t="s">
        <v>397</v>
      </c>
      <c r="C3521" s="84">
        <v>28</v>
      </c>
      <c r="D3521" s="84">
        <v>10</v>
      </c>
      <c r="E3521" s="85">
        <v>28972.2</v>
      </c>
      <c r="F3521" s="85">
        <v>18163.919999999998</v>
      </c>
      <c r="G3521" s="85">
        <v>-10808.28</v>
      </c>
    </row>
    <row r="3522" spans="1:7" x14ac:dyDescent="0.3">
      <c r="A3522" s="84">
        <v>2026</v>
      </c>
      <c r="B3522" s="84" t="s">
        <v>397</v>
      </c>
      <c r="C3522" s="84">
        <v>28</v>
      </c>
      <c r="D3522" s="84">
        <v>11</v>
      </c>
      <c r="E3522" s="85">
        <v>28972.2</v>
      </c>
      <c r="F3522" s="85">
        <v>18556.48</v>
      </c>
      <c r="G3522" s="85">
        <v>-10415.719999999999</v>
      </c>
    </row>
    <row r="3523" spans="1:7" x14ac:dyDescent="0.3">
      <c r="A3523" s="84">
        <v>2026</v>
      </c>
      <c r="B3523" s="84" t="s">
        <v>397</v>
      </c>
      <c r="C3523" s="84">
        <v>28</v>
      </c>
      <c r="D3523" s="84">
        <v>12</v>
      </c>
      <c r="E3523" s="85">
        <v>28972.2</v>
      </c>
      <c r="F3523" s="85">
        <v>18950.02</v>
      </c>
      <c r="G3523" s="85">
        <v>-10022.18</v>
      </c>
    </row>
    <row r="3524" spans="1:7" x14ac:dyDescent="0.3">
      <c r="A3524" s="84">
        <v>2026</v>
      </c>
      <c r="B3524" s="84" t="s">
        <v>397</v>
      </c>
      <c r="C3524" s="84">
        <v>28</v>
      </c>
      <c r="D3524" s="84">
        <v>13</v>
      </c>
      <c r="E3524" s="85">
        <v>28972.2</v>
      </c>
      <c r="F3524" s="85">
        <v>19343.28</v>
      </c>
      <c r="G3524" s="85">
        <v>-9628.92</v>
      </c>
    </row>
    <row r="3525" spans="1:7" x14ac:dyDescent="0.3">
      <c r="A3525" s="84">
        <v>2026</v>
      </c>
      <c r="B3525" s="84" t="s">
        <v>397</v>
      </c>
      <c r="C3525" s="84">
        <v>28</v>
      </c>
      <c r="D3525" s="84">
        <v>14</v>
      </c>
      <c r="E3525" s="85">
        <v>28972.2</v>
      </c>
      <c r="F3525" s="85">
        <v>19737.099999999999</v>
      </c>
      <c r="G3525" s="85">
        <v>-9235.1</v>
      </c>
    </row>
    <row r="3526" spans="1:7" x14ac:dyDescent="0.3">
      <c r="A3526" s="84">
        <v>2026</v>
      </c>
      <c r="B3526" s="84" t="s">
        <v>397</v>
      </c>
      <c r="C3526" s="84">
        <v>28</v>
      </c>
      <c r="D3526" s="84">
        <v>15</v>
      </c>
      <c r="E3526" s="85">
        <v>28972.2</v>
      </c>
      <c r="F3526" s="85">
        <v>20129.38</v>
      </c>
      <c r="G3526" s="85">
        <v>-8842.82</v>
      </c>
    </row>
    <row r="3527" spans="1:7" x14ac:dyDescent="0.3">
      <c r="A3527" s="84">
        <v>2026</v>
      </c>
      <c r="B3527" s="84" t="s">
        <v>397</v>
      </c>
      <c r="C3527" s="84">
        <v>28</v>
      </c>
      <c r="D3527" s="84">
        <v>16</v>
      </c>
      <c r="E3527" s="85">
        <v>28972.2</v>
      </c>
      <c r="F3527" s="85">
        <v>20523.34</v>
      </c>
      <c r="G3527" s="85">
        <v>-8448.86</v>
      </c>
    </row>
    <row r="3528" spans="1:7" x14ac:dyDescent="0.3">
      <c r="A3528" s="84">
        <v>2026</v>
      </c>
      <c r="B3528" s="84" t="s">
        <v>397</v>
      </c>
      <c r="C3528" s="84">
        <v>28</v>
      </c>
      <c r="D3528" s="84">
        <v>17</v>
      </c>
      <c r="E3528" s="85">
        <v>28972.2</v>
      </c>
      <c r="F3528" s="85">
        <v>20915.62</v>
      </c>
      <c r="G3528" s="85">
        <v>-8056.58</v>
      </c>
    </row>
    <row r="3529" spans="1:7" x14ac:dyDescent="0.3">
      <c r="A3529" s="84">
        <v>2026</v>
      </c>
      <c r="B3529" s="84" t="s">
        <v>397</v>
      </c>
      <c r="C3529" s="84">
        <v>28</v>
      </c>
      <c r="D3529" s="84">
        <v>18</v>
      </c>
      <c r="E3529" s="85">
        <v>28972.2</v>
      </c>
      <c r="F3529" s="85">
        <v>21309.16</v>
      </c>
      <c r="G3529" s="85">
        <v>-7663.04</v>
      </c>
    </row>
    <row r="3530" spans="1:7" x14ac:dyDescent="0.3">
      <c r="A3530" s="84">
        <v>2026</v>
      </c>
      <c r="B3530" s="84" t="s">
        <v>397</v>
      </c>
      <c r="C3530" s="84">
        <v>28</v>
      </c>
      <c r="D3530" s="84">
        <v>19</v>
      </c>
      <c r="E3530" s="85">
        <v>28972.2</v>
      </c>
      <c r="F3530" s="85">
        <v>21702.28</v>
      </c>
      <c r="G3530" s="85">
        <v>-7269.92</v>
      </c>
    </row>
    <row r="3531" spans="1:7" x14ac:dyDescent="0.3">
      <c r="A3531" s="84">
        <v>2026</v>
      </c>
      <c r="B3531" s="84" t="s">
        <v>397</v>
      </c>
      <c r="C3531" s="84">
        <v>28</v>
      </c>
      <c r="D3531" s="84">
        <v>20</v>
      </c>
      <c r="E3531" s="85">
        <v>28972.2</v>
      </c>
      <c r="F3531" s="85">
        <v>22095.26</v>
      </c>
      <c r="G3531" s="85">
        <v>-6876.94</v>
      </c>
    </row>
    <row r="3532" spans="1:7" x14ac:dyDescent="0.3">
      <c r="A3532" s="84">
        <v>2026</v>
      </c>
      <c r="B3532" s="84" t="s">
        <v>397</v>
      </c>
      <c r="C3532" s="84">
        <v>28</v>
      </c>
      <c r="D3532" s="84">
        <v>21</v>
      </c>
      <c r="E3532" s="85">
        <v>28972.2</v>
      </c>
      <c r="F3532" s="85">
        <v>22684.66</v>
      </c>
      <c r="G3532" s="85">
        <v>-6287.54</v>
      </c>
    </row>
    <row r="3533" spans="1:7" x14ac:dyDescent="0.3">
      <c r="A3533" s="84">
        <v>2026</v>
      </c>
      <c r="B3533" s="84" t="s">
        <v>397</v>
      </c>
      <c r="C3533" s="84">
        <v>28</v>
      </c>
      <c r="D3533" s="84">
        <v>22</v>
      </c>
      <c r="E3533" s="85">
        <v>28972.2</v>
      </c>
      <c r="F3533" s="85">
        <v>23323.34</v>
      </c>
      <c r="G3533" s="85">
        <v>-5648.86</v>
      </c>
    </row>
    <row r="3534" spans="1:7" x14ac:dyDescent="0.3">
      <c r="A3534" s="84">
        <v>2026</v>
      </c>
      <c r="B3534" s="84" t="s">
        <v>397</v>
      </c>
      <c r="C3534" s="84">
        <v>28</v>
      </c>
      <c r="D3534" s="84">
        <v>23</v>
      </c>
      <c r="E3534" s="85">
        <v>28972.2</v>
      </c>
      <c r="F3534" s="85">
        <v>23963.84</v>
      </c>
      <c r="G3534" s="85">
        <v>-5008.3599999999997</v>
      </c>
    </row>
    <row r="3535" spans="1:7" x14ac:dyDescent="0.3">
      <c r="A3535" s="84">
        <v>2026</v>
      </c>
      <c r="B3535" s="84" t="s">
        <v>397</v>
      </c>
      <c r="C3535" s="84">
        <v>28</v>
      </c>
      <c r="D3535" s="84">
        <v>24</v>
      </c>
      <c r="E3535" s="85">
        <v>28972.2</v>
      </c>
      <c r="F3535" s="85">
        <v>24603.08</v>
      </c>
      <c r="G3535" s="85">
        <v>-4369.12</v>
      </c>
    </row>
    <row r="3536" spans="1:7" x14ac:dyDescent="0.3">
      <c r="A3536" s="84">
        <v>2026</v>
      </c>
      <c r="B3536" s="84" t="s">
        <v>397</v>
      </c>
      <c r="C3536" s="84">
        <v>28</v>
      </c>
      <c r="D3536" s="84">
        <v>25</v>
      </c>
      <c r="E3536" s="85">
        <v>28972.2</v>
      </c>
      <c r="F3536" s="85">
        <v>25243.16</v>
      </c>
      <c r="G3536" s="85">
        <v>-3729.04</v>
      </c>
    </row>
    <row r="3537" spans="1:7" x14ac:dyDescent="0.3">
      <c r="A3537" s="84">
        <v>2026</v>
      </c>
      <c r="B3537" s="84" t="s">
        <v>397</v>
      </c>
      <c r="C3537" s="84">
        <v>28</v>
      </c>
      <c r="D3537" s="84">
        <v>26</v>
      </c>
      <c r="E3537" s="85">
        <v>28972.2</v>
      </c>
      <c r="F3537" s="85">
        <v>26622.44</v>
      </c>
      <c r="G3537" s="85">
        <v>-2349.7600000000002</v>
      </c>
    </row>
    <row r="3538" spans="1:7" x14ac:dyDescent="0.3">
      <c r="A3538" s="84">
        <v>2026</v>
      </c>
      <c r="B3538" s="84" t="s">
        <v>397</v>
      </c>
      <c r="C3538" s="84">
        <v>28</v>
      </c>
      <c r="D3538" s="84">
        <v>27</v>
      </c>
      <c r="E3538" s="85">
        <v>28972.2</v>
      </c>
      <c r="F3538" s="85">
        <v>28331.7</v>
      </c>
      <c r="G3538" s="85">
        <v>-640.5</v>
      </c>
    </row>
    <row r="3539" spans="1:7" x14ac:dyDescent="0.3">
      <c r="A3539" s="84">
        <v>2026</v>
      </c>
      <c r="B3539" s="84" t="s">
        <v>397</v>
      </c>
      <c r="C3539" s="84">
        <v>28</v>
      </c>
      <c r="D3539" s="84">
        <v>28</v>
      </c>
      <c r="E3539" s="85">
        <v>28972.2</v>
      </c>
      <c r="F3539" s="85">
        <v>28972.2</v>
      </c>
      <c r="G3539" s="85">
        <v>0</v>
      </c>
    </row>
    <row r="3540" spans="1:7" x14ac:dyDescent="0.3">
      <c r="A3540" s="84">
        <v>2026</v>
      </c>
      <c r="B3540" s="84" t="s">
        <v>397</v>
      </c>
      <c r="C3540" s="84">
        <v>28</v>
      </c>
      <c r="D3540" s="84">
        <v>29</v>
      </c>
      <c r="E3540" s="85">
        <v>28972.2</v>
      </c>
      <c r="F3540" s="85">
        <v>29611.58</v>
      </c>
      <c r="G3540" s="85">
        <v>639.38</v>
      </c>
    </row>
    <row r="3541" spans="1:7" x14ac:dyDescent="0.3">
      <c r="A3541" s="84">
        <v>2026</v>
      </c>
      <c r="B3541" s="84" t="s">
        <v>397</v>
      </c>
      <c r="C3541" s="84">
        <v>28</v>
      </c>
      <c r="D3541" s="84">
        <v>30</v>
      </c>
      <c r="E3541" s="85">
        <v>28972.2</v>
      </c>
      <c r="F3541" s="85">
        <v>31359.9</v>
      </c>
      <c r="G3541" s="85">
        <v>2387.6999999999998</v>
      </c>
    </row>
    <row r="3542" spans="1:7" x14ac:dyDescent="0.3">
      <c r="A3542" s="84">
        <v>2026</v>
      </c>
      <c r="B3542" s="84" t="s">
        <v>397</v>
      </c>
      <c r="C3542" s="84">
        <v>29</v>
      </c>
      <c r="D3542" s="84">
        <v>1</v>
      </c>
      <c r="E3542" s="85">
        <v>29611.58</v>
      </c>
      <c r="F3542" s="85">
        <v>16002.46</v>
      </c>
      <c r="G3542" s="85">
        <v>-13609.12</v>
      </c>
    </row>
    <row r="3543" spans="1:7" x14ac:dyDescent="0.3">
      <c r="A3543" s="84">
        <v>2026</v>
      </c>
      <c r="B3543" s="84" t="s">
        <v>397</v>
      </c>
      <c r="C3543" s="84">
        <v>29</v>
      </c>
      <c r="D3543" s="84">
        <v>2</v>
      </c>
      <c r="E3543" s="85">
        <v>29611.58</v>
      </c>
      <c r="F3543" s="85">
        <v>16296.88</v>
      </c>
      <c r="G3543" s="85">
        <v>-13314.7</v>
      </c>
    </row>
    <row r="3544" spans="1:7" x14ac:dyDescent="0.3">
      <c r="A3544" s="84">
        <v>2026</v>
      </c>
      <c r="B3544" s="84" t="s">
        <v>397</v>
      </c>
      <c r="C3544" s="84">
        <v>29</v>
      </c>
      <c r="D3544" s="84">
        <v>3</v>
      </c>
      <c r="E3544" s="85">
        <v>29611.58</v>
      </c>
      <c r="F3544" s="85">
        <v>16591.86</v>
      </c>
      <c r="G3544" s="85">
        <v>-13019.72</v>
      </c>
    </row>
    <row r="3545" spans="1:7" x14ac:dyDescent="0.3">
      <c r="A3545" s="84">
        <v>2026</v>
      </c>
      <c r="B3545" s="84" t="s">
        <v>397</v>
      </c>
      <c r="C3545" s="84">
        <v>29</v>
      </c>
      <c r="D3545" s="84">
        <v>4</v>
      </c>
      <c r="E3545" s="85">
        <v>29611.58</v>
      </c>
      <c r="F3545" s="85">
        <v>16886</v>
      </c>
      <c r="G3545" s="85">
        <v>-12725.58</v>
      </c>
    </row>
    <row r="3546" spans="1:7" x14ac:dyDescent="0.3">
      <c r="A3546" s="84">
        <v>2026</v>
      </c>
      <c r="B3546" s="84" t="s">
        <v>397</v>
      </c>
      <c r="C3546" s="84">
        <v>29</v>
      </c>
      <c r="D3546" s="84">
        <v>5</v>
      </c>
      <c r="E3546" s="85">
        <v>29611.58</v>
      </c>
      <c r="F3546" s="85">
        <v>17180.7</v>
      </c>
      <c r="G3546" s="85">
        <v>-12430.88</v>
      </c>
    </row>
    <row r="3547" spans="1:7" x14ac:dyDescent="0.3">
      <c r="A3547" s="84">
        <v>2026</v>
      </c>
      <c r="B3547" s="84" t="s">
        <v>397</v>
      </c>
      <c r="C3547" s="84">
        <v>29</v>
      </c>
      <c r="D3547" s="84">
        <v>6</v>
      </c>
      <c r="E3547" s="85">
        <v>29611.58</v>
      </c>
      <c r="F3547" s="85">
        <v>17377.400000000001</v>
      </c>
      <c r="G3547" s="85">
        <v>-12234.18</v>
      </c>
    </row>
    <row r="3548" spans="1:7" x14ac:dyDescent="0.3">
      <c r="A3548" s="84">
        <v>2026</v>
      </c>
      <c r="B3548" s="84" t="s">
        <v>397</v>
      </c>
      <c r="C3548" s="84">
        <v>29</v>
      </c>
      <c r="D3548" s="84">
        <v>7</v>
      </c>
      <c r="E3548" s="85">
        <v>29611.58</v>
      </c>
      <c r="F3548" s="85">
        <v>17574.099999999999</v>
      </c>
      <c r="G3548" s="85">
        <v>-12037.48</v>
      </c>
    </row>
    <row r="3549" spans="1:7" x14ac:dyDescent="0.3">
      <c r="A3549" s="84">
        <v>2026</v>
      </c>
      <c r="B3549" s="84" t="s">
        <v>397</v>
      </c>
      <c r="C3549" s="84">
        <v>29</v>
      </c>
      <c r="D3549" s="84">
        <v>8</v>
      </c>
      <c r="E3549" s="85">
        <v>29611.58</v>
      </c>
      <c r="F3549" s="85">
        <v>17770.38</v>
      </c>
      <c r="G3549" s="85">
        <v>-11841.2</v>
      </c>
    </row>
    <row r="3550" spans="1:7" x14ac:dyDescent="0.3">
      <c r="A3550" s="84">
        <v>2026</v>
      </c>
      <c r="B3550" s="84" t="s">
        <v>397</v>
      </c>
      <c r="C3550" s="84">
        <v>29</v>
      </c>
      <c r="D3550" s="84">
        <v>9</v>
      </c>
      <c r="E3550" s="85">
        <v>29611.58</v>
      </c>
      <c r="F3550" s="85">
        <v>17967.5</v>
      </c>
      <c r="G3550" s="85">
        <v>-11644.08</v>
      </c>
    </row>
    <row r="3551" spans="1:7" x14ac:dyDescent="0.3">
      <c r="A3551" s="84">
        <v>2026</v>
      </c>
      <c r="B3551" s="84" t="s">
        <v>397</v>
      </c>
      <c r="C3551" s="84">
        <v>29</v>
      </c>
      <c r="D3551" s="84">
        <v>10</v>
      </c>
      <c r="E3551" s="85">
        <v>29611.58</v>
      </c>
      <c r="F3551" s="85">
        <v>18163.919999999998</v>
      </c>
      <c r="G3551" s="85">
        <v>-11447.66</v>
      </c>
    </row>
    <row r="3552" spans="1:7" x14ac:dyDescent="0.3">
      <c r="A3552" s="84">
        <v>2026</v>
      </c>
      <c r="B3552" s="84" t="s">
        <v>397</v>
      </c>
      <c r="C3552" s="84">
        <v>29</v>
      </c>
      <c r="D3552" s="84">
        <v>11</v>
      </c>
      <c r="E3552" s="85">
        <v>29611.58</v>
      </c>
      <c r="F3552" s="85">
        <v>18556.48</v>
      </c>
      <c r="G3552" s="85">
        <v>-11055.1</v>
      </c>
    </row>
    <row r="3553" spans="1:7" x14ac:dyDescent="0.3">
      <c r="A3553" s="84">
        <v>2026</v>
      </c>
      <c r="B3553" s="84" t="s">
        <v>397</v>
      </c>
      <c r="C3553" s="84">
        <v>29</v>
      </c>
      <c r="D3553" s="84">
        <v>12</v>
      </c>
      <c r="E3553" s="85">
        <v>29611.58</v>
      </c>
      <c r="F3553" s="85">
        <v>18950.02</v>
      </c>
      <c r="G3553" s="85">
        <v>-10661.56</v>
      </c>
    </row>
    <row r="3554" spans="1:7" x14ac:dyDescent="0.3">
      <c r="A3554" s="84">
        <v>2026</v>
      </c>
      <c r="B3554" s="84" t="s">
        <v>397</v>
      </c>
      <c r="C3554" s="84">
        <v>29</v>
      </c>
      <c r="D3554" s="84">
        <v>13</v>
      </c>
      <c r="E3554" s="85">
        <v>29611.58</v>
      </c>
      <c r="F3554" s="85">
        <v>19343.28</v>
      </c>
      <c r="G3554" s="85">
        <v>-10268.299999999999</v>
      </c>
    </row>
    <row r="3555" spans="1:7" x14ac:dyDescent="0.3">
      <c r="A3555" s="84">
        <v>2026</v>
      </c>
      <c r="B3555" s="84" t="s">
        <v>397</v>
      </c>
      <c r="C3555" s="84">
        <v>29</v>
      </c>
      <c r="D3555" s="84">
        <v>14</v>
      </c>
      <c r="E3555" s="85">
        <v>29611.58</v>
      </c>
      <c r="F3555" s="85">
        <v>19737.099999999999</v>
      </c>
      <c r="G3555" s="85">
        <v>-9874.48</v>
      </c>
    </row>
    <row r="3556" spans="1:7" x14ac:dyDescent="0.3">
      <c r="A3556" s="84">
        <v>2026</v>
      </c>
      <c r="B3556" s="84" t="s">
        <v>397</v>
      </c>
      <c r="C3556" s="84">
        <v>29</v>
      </c>
      <c r="D3556" s="84">
        <v>15</v>
      </c>
      <c r="E3556" s="85">
        <v>29611.58</v>
      </c>
      <c r="F3556" s="85">
        <v>20129.38</v>
      </c>
      <c r="G3556" s="85">
        <v>-9482.2000000000007</v>
      </c>
    </row>
    <row r="3557" spans="1:7" x14ac:dyDescent="0.3">
      <c r="A3557" s="84">
        <v>2026</v>
      </c>
      <c r="B3557" s="84" t="s">
        <v>397</v>
      </c>
      <c r="C3557" s="84">
        <v>29</v>
      </c>
      <c r="D3557" s="84">
        <v>16</v>
      </c>
      <c r="E3557" s="85">
        <v>29611.58</v>
      </c>
      <c r="F3557" s="85">
        <v>20523.34</v>
      </c>
      <c r="G3557" s="85">
        <v>-9088.24</v>
      </c>
    </row>
    <row r="3558" spans="1:7" x14ac:dyDescent="0.3">
      <c r="A3558" s="84">
        <v>2026</v>
      </c>
      <c r="B3558" s="84" t="s">
        <v>397</v>
      </c>
      <c r="C3558" s="84">
        <v>29</v>
      </c>
      <c r="D3558" s="84">
        <v>17</v>
      </c>
      <c r="E3558" s="85">
        <v>29611.58</v>
      </c>
      <c r="F3558" s="85">
        <v>20915.62</v>
      </c>
      <c r="G3558" s="85">
        <v>-8695.9599999999991</v>
      </c>
    </row>
    <row r="3559" spans="1:7" x14ac:dyDescent="0.3">
      <c r="A3559" s="84">
        <v>2026</v>
      </c>
      <c r="B3559" s="84" t="s">
        <v>397</v>
      </c>
      <c r="C3559" s="84">
        <v>29</v>
      </c>
      <c r="D3559" s="84">
        <v>18</v>
      </c>
      <c r="E3559" s="85">
        <v>29611.58</v>
      </c>
      <c r="F3559" s="85">
        <v>21309.16</v>
      </c>
      <c r="G3559" s="85">
        <v>-8302.42</v>
      </c>
    </row>
    <row r="3560" spans="1:7" x14ac:dyDescent="0.3">
      <c r="A3560" s="84">
        <v>2026</v>
      </c>
      <c r="B3560" s="84" t="s">
        <v>397</v>
      </c>
      <c r="C3560" s="84">
        <v>29</v>
      </c>
      <c r="D3560" s="84">
        <v>19</v>
      </c>
      <c r="E3560" s="85">
        <v>29611.58</v>
      </c>
      <c r="F3560" s="85">
        <v>21702.28</v>
      </c>
      <c r="G3560" s="85">
        <v>-7909.3</v>
      </c>
    </row>
    <row r="3561" spans="1:7" x14ac:dyDescent="0.3">
      <c r="A3561" s="84">
        <v>2026</v>
      </c>
      <c r="B3561" s="84" t="s">
        <v>397</v>
      </c>
      <c r="C3561" s="84">
        <v>29</v>
      </c>
      <c r="D3561" s="84">
        <v>20</v>
      </c>
      <c r="E3561" s="85">
        <v>29611.58</v>
      </c>
      <c r="F3561" s="85">
        <v>22095.26</v>
      </c>
      <c r="G3561" s="85">
        <v>-7516.32</v>
      </c>
    </row>
    <row r="3562" spans="1:7" x14ac:dyDescent="0.3">
      <c r="A3562" s="84">
        <v>2026</v>
      </c>
      <c r="B3562" s="84" t="s">
        <v>397</v>
      </c>
      <c r="C3562" s="84">
        <v>29</v>
      </c>
      <c r="D3562" s="84">
        <v>21</v>
      </c>
      <c r="E3562" s="85">
        <v>29611.58</v>
      </c>
      <c r="F3562" s="85">
        <v>22684.66</v>
      </c>
      <c r="G3562" s="85">
        <v>-6926.92</v>
      </c>
    </row>
    <row r="3563" spans="1:7" x14ac:dyDescent="0.3">
      <c r="A3563" s="84">
        <v>2026</v>
      </c>
      <c r="B3563" s="84" t="s">
        <v>397</v>
      </c>
      <c r="C3563" s="84">
        <v>29</v>
      </c>
      <c r="D3563" s="84">
        <v>22</v>
      </c>
      <c r="E3563" s="85">
        <v>29611.58</v>
      </c>
      <c r="F3563" s="85">
        <v>23323.34</v>
      </c>
      <c r="G3563" s="85">
        <v>-6288.24</v>
      </c>
    </row>
    <row r="3564" spans="1:7" x14ac:dyDescent="0.3">
      <c r="A3564" s="84">
        <v>2026</v>
      </c>
      <c r="B3564" s="84" t="s">
        <v>397</v>
      </c>
      <c r="C3564" s="84">
        <v>29</v>
      </c>
      <c r="D3564" s="84">
        <v>23</v>
      </c>
      <c r="E3564" s="85">
        <v>29611.58</v>
      </c>
      <c r="F3564" s="85">
        <v>23963.84</v>
      </c>
      <c r="G3564" s="85">
        <v>-5647.74</v>
      </c>
    </row>
    <row r="3565" spans="1:7" x14ac:dyDescent="0.3">
      <c r="A3565" s="84">
        <v>2026</v>
      </c>
      <c r="B3565" s="84" t="s">
        <v>397</v>
      </c>
      <c r="C3565" s="84">
        <v>29</v>
      </c>
      <c r="D3565" s="84">
        <v>24</v>
      </c>
      <c r="E3565" s="85">
        <v>29611.58</v>
      </c>
      <c r="F3565" s="85">
        <v>24603.08</v>
      </c>
      <c r="G3565" s="85">
        <v>-5008.5</v>
      </c>
    </row>
    <row r="3566" spans="1:7" x14ac:dyDescent="0.3">
      <c r="A3566" s="84">
        <v>2026</v>
      </c>
      <c r="B3566" s="84" t="s">
        <v>397</v>
      </c>
      <c r="C3566" s="84">
        <v>29</v>
      </c>
      <c r="D3566" s="84">
        <v>25</v>
      </c>
      <c r="E3566" s="85">
        <v>29611.58</v>
      </c>
      <c r="F3566" s="85">
        <v>25243.16</v>
      </c>
      <c r="G3566" s="85">
        <v>-4368.42</v>
      </c>
    </row>
    <row r="3567" spans="1:7" x14ac:dyDescent="0.3">
      <c r="A3567" s="84">
        <v>2026</v>
      </c>
      <c r="B3567" s="84" t="s">
        <v>397</v>
      </c>
      <c r="C3567" s="84">
        <v>29</v>
      </c>
      <c r="D3567" s="84">
        <v>26</v>
      </c>
      <c r="E3567" s="85">
        <v>29611.58</v>
      </c>
      <c r="F3567" s="85">
        <v>26622.44</v>
      </c>
      <c r="G3567" s="85">
        <v>-2989.14</v>
      </c>
    </row>
    <row r="3568" spans="1:7" x14ac:dyDescent="0.3">
      <c r="A3568" s="84">
        <v>2026</v>
      </c>
      <c r="B3568" s="84" t="s">
        <v>397</v>
      </c>
      <c r="C3568" s="84">
        <v>29</v>
      </c>
      <c r="D3568" s="84">
        <v>27</v>
      </c>
      <c r="E3568" s="85">
        <v>29611.58</v>
      </c>
      <c r="F3568" s="85">
        <v>28331.7</v>
      </c>
      <c r="G3568" s="85">
        <v>-1279.8800000000001</v>
      </c>
    </row>
    <row r="3569" spans="1:7" x14ac:dyDescent="0.3">
      <c r="A3569" s="84">
        <v>2026</v>
      </c>
      <c r="B3569" s="84" t="s">
        <v>397</v>
      </c>
      <c r="C3569" s="84">
        <v>29</v>
      </c>
      <c r="D3569" s="84">
        <v>28</v>
      </c>
      <c r="E3569" s="85">
        <v>29611.58</v>
      </c>
      <c r="F3569" s="85">
        <v>28972.2</v>
      </c>
      <c r="G3569" s="85">
        <v>-639.38</v>
      </c>
    </row>
    <row r="3570" spans="1:7" x14ac:dyDescent="0.3">
      <c r="A3570" s="84">
        <v>2026</v>
      </c>
      <c r="B3570" s="84" t="s">
        <v>397</v>
      </c>
      <c r="C3570" s="84">
        <v>29</v>
      </c>
      <c r="D3570" s="84">
        <v>29</v>
      </c>
      <c r="E3570" s="85">
        <v>29611.58</v>
      </c>
      <c r="F3570" s="85">
        <v>29611.58</v>
      </c>
      <c r="G3570" s="85">
        <v>0</v>
      </c>
    </row>
    <row r="3571" spans="1:7" x14ac:dyDescent="0.3">
      <c r="A3571" s="84">
        <v>2026</v>
      </c>
      <c r="B3571" s="84" t="s">
        <v>397</v>
      </c>
      <c r="C3571" s="84">
        <v>29</v>
      </c>
      <c r="D3571" s="84">
        <v>30</v>
      </c>
      <c r="E3571" s="85">
        <v>29611.58</v>
      </c>
      <c r="F3571" s="85">
        <v>31359.9</v>
      </c>
      <c r="G3571" s="85">
        <v>1748.32</v>
      </c>
    </row>
    <row r="3572" spans="1:7" x14ac:dyDescent="0.3">
      <c r="A3572" s="84">
        <v>2026</v>
      </c>
      <c r="B3572" s="84" t="s">
        <v>397</v>
      </c>
      <c r="C3572" s="84">
        <v>30</v>
      </c>
      <c r="D3572" s="84">
        <v>1</v>
      </c>
      <c r="E3572" s="85">
        <v>31359.9</v>
      </c>
      <c r="F3572" s="85">
        <v>16002.46</v>
      </c>
      <c r="G3572" s="85">
        <v>-15357.44</v>
      </c>
    </row>
    <row r="3573" spans="1:7" x14ac:dyDescent="0.3">
      <c r="A3573" s="84">
        <v>2026</v>
      </c>
      <c r="B3573" s="84" t="s">
        <v>397</v>
      </c>
      <c r="C3573" s="84">
        <v>30</v>
      </c>
      <c r="D3573" s="84">
        <v>2</v>
      </c>
      <c r="E3573" s="85">
        <v>31359.9</v>
      </c>
      <c r="F3573" s="85">
        <v>16296.88</v>
      </c>
      <c r="G3573" s="85">
        <v>-15063.02</v>
      </c>
    </row>
    <row r="3574" spans="1:7" x14ac:dyDescent="0.3">
      <c r="A3574" s="84">
        <v>2026</v>
      </c>
      <c r="B3574" s="84" t="s">
        <v>397</v>
      </c>
      <c r="C3574" s="84">
        <v>30</v>
      </c>
      <c r="D3574" s="84">
        <v>3</v>
      </c>
      <c r="E3574" s="85">
        <v>31359.9</v>
      </c>
      <c r="F3574" s="85">
        <v>16591.86</v>
      </c>
      <c r="G3574" s="85">
        <v>-14768.04</v>
      </c>
    </row>
    <row r="3575" spans="1:7" x14ac:dyDescent="0.3">
      <c r="A3575" s="84">
        <v>2026</v>
      </c>
      <c r="B3575" s="84" t="s">
        <v>397</v>
      </c>
      <c r="C3575" s="84">
        <v>30</v>
      </c>
      <c r="D3575" s="84">
        <v>4</v>
      </c>
      <c r="E3575" s="85">
        <v>31359.9</v>
      </c>
      <c r="F3575" s="85">
        <v>16886</v>
      </c>
      <c r="G3575" s="85">
        <v>-14473.9</v>
      </c>
    </row>
    <row r="3576" spans="1:7" x14ac:dyDescent="0.3">
      <c r="A3576" s="84">
        <v>2026</v>
      </c>
      <c r="B3576" s="84" t="s">
        <v>397</v>
      </c>
      <c r="C3576" s="84">
        <v>30</v>
      </c>
      <c r="D3576" s="84">
        <v>5</v>
      </c>
      <c r="E3576" s="85">
        <v>31359.9</v>
      </c>
      <c r="F3576" s="85">
        <v>17180.7</v>
      </c>
      <c r="G3576" s="85">
        <v>-14179.2</v>
      </c>
    </row>
    <row r="3577" spans="1:7" x14ac:dyDescent="0.3">
      <c r="A3577" s="84">
        <v>2026</v>
      </c>
      <c r="B3577" s="84" t="s">
        <v>397</v>
      </c>
      <c r="C3577" s="84">
        <v>30</v>
      </c>
      <c r="D3577" s="84">
        <v>6</v>
      </c>
      <c r="E3577" s="85">
        <v>31359.9</v>
      </c>
      <c r="F3577" s="85">
        <v>17377.400000000001</v>
      </c>
      <c r="G3577" s="85">
        <v>-13982.5</v>
      </c>
    </row>
    <row r="3578" spans="1:7" x14ac:dyDescent="0.3">
      <c r="A3578" s="84">
        <v>2026</v>
      </c>
      <c r="B3578" s="84" t="s">
        <v>397</v>
      </c>
      <c r="C3578" s="84">
        <v>30</v>
      </c>
      <c r="D3578" s="84">
        <v>7</v>
      </c>
      <c r="E3578" s="85">
        <v>31359.9</v>
      </c>
      <c r="F3578" s="85">
        <v>17574.099999999999</v>
      </c>
      <c r="G3578" s="85">
        <v>-13785.8</v>
      </c>
    </row>
    <row r="3579" spans="1:7" x14ac:dyDescent="0.3">
      <c r="A3579" s="84">
        <v>2026</v>
      </c>
      <c r="B3579" s="84" t="s">
        <v>397</v>
      </c>
      <c r="C3579" s="84">
        <v>30</v>
      </c>
      <c r="D3579" s="84">
        <v>8</v>
      </c>
      <c r="E3579" s="85">
        <v>31359.9</v>
      </c>
      <c r="F3579" s="85">
        <v>17770.38</v>
      </c>
      <c r="G3579" s="85">
        <v>-13589.52</v>
      </c>
    </row>
    <row r="3580" spans="1:7" x14ac:dyDescent="0.3">
      <c r="A3580" s="84">
        <v>2026</v>
      </c>
      <c r="B3580" s="84" t="s">
        <v>397</v>
      </c>
      <c r="C3580" s="84">
        <v>30</v>
      </c>
      <c r="D3580" s="84">
        <v>9</v>
      </c>
      <c r="E3580" s="85">
        <v>31359.9</v>
      </c>
      <c r="F3580" s="85">
        <v>17967.5</v>
      </c>
      <c r="G3580" s="85">
        <v>-13392.4</v>
      </c>
    </row>
    <row r="3581" spans="1:7" x14ac:dyDescent="0.3">
      <c r="A3581" s="84">
        <v>2026</v>
      </c>
      <c r="B3581" s="84" t="s">
        <v>397</v>
      </c>
      <c r="C3581" s="84">
        <v>30</v>
      </c>
      <c r="D3581" s="84">
        <v>10</v>
      </c>
      <c r="E3581" s="85">
        <v>31359.9</v>
      </c>
      <c r="F3581" s="85">
        <v>18163.919999999998</v>
      </c>
      <c r="G3581" s="85">
        <v>-13195.98</v>
      </c>
    </row>
    <row r="3582" spans="1:7" x14ac:dyDescent="0.3">
      <c r="A3582" s="84">
        <v>2026</v>
      </c>
      <c r="B3582" s="84" t="s">
        <v>397</v>
      </c>
      <c r="C3582" s="84">
        <v>30</v>
      </c>
      <c r="D3582" s="84">
        <v>11</v>
      </c>
      <c r="E3582" s="85">
        <v>31359.9</v>
      </c>
      <c r="F3582" s="85">
        <v>18556.48</v>
      </c>
      <c r="G3582" s="85">
        <v>-12803.42</v>
      </c>
    </row>
    <row r="3583" spans="1:7" x14ac:dyDescent="0.3">
      <c r="A3583" s="84">
        <v>2026</v>
      </c>
      <c r="B3583" s="84" t="s">
        <v>397</v>
      </c>
      <c r="C3583" s="84">
        <v>30</v>
      </c>
      <c r="D3583" s="84">
        <v>12</v>
      </c>
      <c r="E3583" s="85">
        <v>31359.9</v>
      </c>
      <c r="F3583" s="85">
        <v>18950.02</v>
      </c>
      <c r="G3583" s="85">
        <v>-12409.88</v>
      </c>
    </row>
    <row r="3584" spans="1:7" x14ac:dyDescent="0.3">
      <c r="A3584" s="84">
        <v>2026</v>
      </c>
      <c r="B3584" s="84" t="s">
        <v>397</v>
      </c>
      <c r="C3584" s="84">
        <v>30</v>
      </c>
      <c r="D3584" s="84">
        <v>13</v>
      </c>
      <c r="E3584" s="85">
        <v>31359.9</v>
      </c>
      <c r="F3584" s="85">
        <v>19343.28</v>
      </c>
      <c r="G3584" s="85">
        <v>-12016.62</v>
      </c>
    </row>
    <row r="3585" spans="1:7" x14ac:dyDescent="0.3">
      <c r="A3585" s="84">
        <v>2026</v>
      </c>
      <c r="B3585" s="84" t="s">
        <v>397</v>
      </c>
      <c r="C3585" s="84">
        <v>30</v>
      </c>
      <c r="D3585" s="84">
        <v>14</v>
      </c>
      <c r="E3585" s="85">
        <v>31359.9</v>
      </c>
      <c r="F3585" s="85">
        <v>19737.099999999999</v>
      </c>
      <c r="G3585" s="85">
        <v>-11622.8</v>
      </c>
    </row>
    <row r="3586" spans="1:7" x14ac:dyDescent="0.3">
      <c r="A3586" s="84">
        <v>2026</v>
      </c>
      <c r="B3586" s="84" t="s">
        <v>397</v>
      </c>
      <c r="C3586" s="84">
        <v>30</v>
      </c>
      <c r="D3586" s="84">
        <v>15</v>
      </c>
      <c r="E3586" s="85">
        <v>31359.9</v>
      </c>
      <c r="F3586" s="85">
        <v>20129.38</v>
      </c>
      <c r="G3586" s="85">
        <v>-11230.52</v>
      </c>
    </row>
    <row r="3587" spans="1:7" x14ac:dyDescent="0.3">
      <c r="A3587" s="84">
        <v>2026</v>
      </c>
      <c r="B3587" s="84" t="s">
        <v>397</v>
      </c>
      <c r="C3587" s="84">
        <v>30</v>
      </c>
      <c r="D3587" s="84">
        <v>16</v>
      </c>
      <c r="E3587" s="85">
        <v>31359.9</v>
      </c>
      <c r="F3587" s="85">
        <v>20523.34</v>
      </c>
      <c r="G3587" s="85">
        <v>-10836.56</v>
      </c>
    </row>
    <row r="3588" spans="1:7" x14ac:dyDescent="0.3">
      <c r="A3588" s="84">
        <v>2026</v>
      </c>
      <c r="B3588" s="84" t="s">
        <v>397</v>
      </c>
      <c r="C3588" s="84">
        <v>30</v>
      </c>
      <c r="D3588" s="84">
        <v>17</v>
      </c>
      <c r="E3588" s="85">
        <v>31359.9</v>
      </c>
      <c r="F3588" s="85">
        <v>20915.62</v>
      </c>
      <c r="G3588" s="85">
        <v>-10444.280000000001</v>
      </c>
    </row>
    <row r="3589" spans="1:7" x14ac:dyDescent="0.3">
      <c r="A3589" s="84">
        <v>2026</v>
      </c>
      <c r="B3589" s="84" t="s">
        <v>397</v>
      </c>
      <c r="C3589" s="84">
        <v>30</v>
      </c>
      <c r="D3589" s="84">
        <v>18</v>
      </c>
      <c r="E3589" s="85">
        <v>31359.9</v>
      </c>
      <c r="F3589" s="85">
        <v>21309.16</v>
      </c>
      <c r="G3589" s="85">
        <v>-10050.74</v>
      </c>
    </row>
    <row r="3590" spans="1:7" x14ac:dyDescent="0.3">
      <c r="A3590" s="84">
        <v>2026</v>
      </c>
      <c r="B3590" s="84" t="s">
        <v>397</v>
      </c>
      <c r="C3590" s="84">
        <v>30</v>
      </c>
      <c r="D3590" s="84">
        <v>19</v>
      </c>
      <c r="E3590" s="85">
        <v>31359.9</v>
      </c>
      <c r="F3590" s="85">
        <v>21702.28</v>
      </c>
      <c r="G3590" s="85">
        <v>-9657.6200000000008</v>
      </c>
    </row>
    <row r="3591" spans="1:7" x14ac:dyDescent="0.3">
      <c r="A3591" s="84">
        <v>2026</v>
      </c>
      <c r="B3591" s="84" t="s">
        <v>397</v>
      </c>
      <c r="C3591" s="84">
        <v>30</v>
      </c>
      <c r="D3591" s="84">
        <v>20</v>
      </c>
      <c r="E3591" s="85">
        <v>31359.9</v>
      </c>
      <c r="F3591" s="85">
        <v>22095.26</v>
      </c>
      <c r="G3591" s="85">
        <v>-9264.64</v>
      </c>
    </row>
    <row r="3592" spans="1:7" x14ac:dyDescent="0.3">
      <c r="A3592" s="84">
        <v>2026</v>
      </c>
      <c r="B3592" s="84" t="s">
        <v>397</v>
      </c>
      <c r="C3592" s="84">
        <v>30</v>
      </c>
      <c r="D3592" s="84">
        <v>21</v>
      </c>
      <c r="E3592" s="85">
        <v>31359.9</v>
      </c>
      <c r="F3592" s="85">
        <v>22684.66</v>
      </c>
      <c r="G3592" s="85">
        <v>-8675.24</v>
      </c>
    </row>
    <row r="3593" spans="1:7" x14ac:dyDescent="0.3">
      <c r="A3593" s="84">
        <v>2026</v>
      </c>
      <c r="B3593" s="84" t="s">
        <v>397</v>
      </c>
      <c r="C3593" s="84">
        <v>30</v>
      </c>
      <c r="D3593" s="84">
        <v>22</v>
      </c>
      <c r="E3593" s="85">
        <v>31359.9</v>
      </c>
      <c r="F3593" s="85">
        <v>23323.34</v>
      </c>
      <c r="G3593" s="85">
        <v>-8036.56</v>
      </c>
    </row>
    <row r="3594" spans="1:7" x14ac:dyDescent="0.3">
      <c r="A3594" s="84">
        <v>2026</v>
      </c>
      <c r="B3594" s="84" t="s">
        <v>397</v>
      </c>
      <c r="C3594" s="84">
        <v>30</v>
      </c>
      <c r="D3594" s="84">
        <v>23</v>
      </c>
      <c r="E3594" s="85">
        <v>31359.9</v>
      </c>
      <c r="F3594" s="85">
        <v>23963.84</v>
      </c>
      <c r="G3594" s="85">
        <v>-7396.06</v>
      </c>
    </row>
    <row r="3595" spans="1:7" x14ac:dyDescent="0.3">
      <c r="A3595" s="84">
        <v>2026</v>
      </c>
      <c r="B3595" s="84" t="s">
        <v>397</v>
      </c>
      <c r="C3595" s="84">
        <v>30</v>
      </c>
      <c r="D3595" s="84">
        <v>24</v>
      </c>
      <c r="E3595" s="85">
        <v>31359.9</v>
      </c>
      <c r="F3595" s="85">
        <v>24603.08</v>
      </c>
      <c r="G3595" s="85">
        <v>-6756.82</v>
      </c>
    </row>
    <row r="3596" spans="1:7" x14ac:dyDescent="0.3">
      <c r="A3596" s="84">
        <v>2026</v>
      </c>
      <c r="B3596" s="84" t="s">
        <v>397</v>
      </c>
      <c r="C3596" s="84">
        <v>30</v>
      </c>
      <c r="D3596" s="84">
        <v>25</v>
      </c>
      <c r="E3596" s="85">
        <v>31359.9</v>
      </c>
      <c r="F3596" s="85">
        <v>25243.16</v>
      </c>
      <c r="G3596" s="85">
        <v>-6116.74</v>
      </c>
    </row>
    <row r="3597" spans="1:7" x14ac:dyDescent="0.3">
      <c r="A3597" s="84">
        <v>2026</v>
      </c>
      <c r="B3597" s="84" t="s">
        <v>397</v>
      </c>
      <c r="C3597" s="84">
        <v>30</v>
      </c>
      <c r="D3597" s="84">
        <v>26</v>
      </c>
      <c r="E3597" s="85">
        <v>31359.9</v>
      </c>
      <c r="F3597" s="85">
        <v>26622.44</v>
      </c>
      <c r="G3597" s="85">
        <v>-4737.46</v>
      </c>
    </row>
    <row r="3598" spans="1:7" x14ac:dyDescent="0.3">
      <c r="A3598" s="84">
        <v>2026</v>
      </c>
      <c r="B3598" s="84" t="s">
        <v>397</v>
      </c>
      <c r="C3598" s="84">
        <v>30</v>
      </c>
      <c r="D3598" s="84">
        <v>27</v>
      </c>
      <c r="E3598" s="85">
        <v>31359.9</v>
      </c>
      <c r="F3598" s="85">
        <v>28331.7</v>
      </c>
      <c r="G3598" s="85">
        <v>-3028.2</v>
      </c>
    </row>
    <row r="3599" spans="1:7" x14ac:dyDescent="0.3">
      <c r="A3599" s="84">
        <v>2026</v>
      </c>
      <c r="B3599" s="84" t="s">
        <v>397</v>
      </c>
      <c r="C3599" s="84">
        <v>30</v>
      </c>
      <c r="D3599" s="84">
        <v>28</v>
      </c>
      <c r="E3599" s="85">
        <v>31359.9</v>
      </c>
      <c r="F3599" s="85">
        <v>28972.2</v>
      </c>
      <c r="G3599" s="85">
        <v>-2387.6999999999998</v>
      </c>
    </row>
    <row r="3600" spans="1:7" x14ac:dyDescent="0.3">
      <c r="A3600" s="84">
        <v>2026</v>
      </c>
      <c r="B3600" s="84" t="s">
        <v>397</v>
      </c>
      <c r="C3600" s="84">
        <v>30</v>
      </c>
      <c r="D3600" s="84">
        <v>29</v>
      </c>
      <c r="E3600" s="85">
        <v>31359.9</v>
      </c>
      <c r="F3600" s="85">
        <v>29611.58</v>
      </c>
      <c r="G3600" s="85">
        <v>-1748.32</v>
      </c>
    </row>
    <row r="3601" spans="1:7" x14ac:dyDescent="0.3">
      <c r="A3601" s="84">
        <v>2026</v>
      </c>
      <c r="B3601" s="84" t="s">
        <v>397</v>
      </c>
      <c r="C3601" s="84">
        <v>30</v>
      </c>
      <c r="D3601" s="84">
        <v>30</v>
      </c>
      <c r="E3601" s="85">
        <v>31359.9</v>
      </c>
      <c r="F3601" s="85">
        <v>31359.9</v>
      </c>
      <c r="G3601" s="85">
        <v>0</v>
      </c>
    </row>
    <row r="3602" spans="1:7" x14ac:dyDescent="0.3">
      <c r="A3602" s="84">
        <v>2026</v>
      </c>
      <c r="B3602" s="84" t="s">
        <v>398</v>
      </c>
      <c r="C3602" s="84">
        <v>1</v>
      </c>
      <c r="D3602" s="84">
        <v>1</v>
      </c>
      <c r="E3602" s="85">
        <v>12087.8</v>
      </c>
      <c r="F3602" s="85">
        <v>12087.8</v>
      </c>
      <c r="G3602" s="85">
        <v>0</v>
      </c>
    </row>
    <row r="3603" spans="1:7" x14ac:dyDescent="0.3">
      <c r="A3603" s="84">
        <v>2026</v>
      </c>
      <c r="B3603" s="84" t="s">
        <v>398</v>
      </c>
      <c r="C3603" s="84">
        <v>1</v>
      </c>
      <c r="D3603" s="84">
        <v>2</v>
      </c>
      <c r="E3603" s="85">
        <v>12087.8</v>
      </c>
      <c r="F3603" s="85">
        <v>12382.22</v>
      </c>
      <c r="G3603" s="85">
        <v>294.42</v>
      </c>
    </row>
    <row r="3604" spans="1:7" x14ac:dyDescent="0.3">
      <c r="A3604" s="84">
        <v>2026</v>
      </c>
      <c r="B3604" s="84" t="s">
        <v>398</v>
      </c>
      <c r="C3604" s="84">
        <v>1</v>
      </c>
      <c r="D3604" s="84">
        <v>3</v>
      </c>
      <c r="E3604" s="85">
        <v>12087.8</v>
      </c>
      <c r="F3604" s="85">
        <v>12677.2</v>
      </c>
      <c r="G3604" s="85">
        <v>589.4</v>
      </c>
    </row>
    <row r="3605" spans="1:7" x14ac:dyDescent="0.3">
      <c r="A3605" s="84">
        <v>2026</v>
      </c>
      <c r="B3605" s="84" t="s">
        <v>398</v>
      </c>
      <c r="C3605" s="84">
        <v>1</v>
      </c>
      <c r="D3605" s="84">
        <v>4</v>
      </c>
      <c r="E3605" s="85">
        <v>12087.8</v>
      </c>
      <c r="F3605" s="85">
        <v>12971.34</v>
      </c>
      <c r="G3605" s="85">
        <v>883.54</v>
      </c>
    </row>
    <row r="3606" spans="1:7" x14ac:dyDescent="0.3">
      <c r="A3606" s="84">
        <v>2026</v>
      </c>
      <c r="B3606" s="84" t="s">
        <v>398</v>
      </c>
      <c r="C3606" s="84">
        <v>1</v>
      </c>
      <c r="D3606" s="84">
        <v>5</v>
      </c>
      <c r="E3606" s="85">
        <v>12087.8</v>
      </c>
      <c r="F3606" s="85">
        <v>13266.04</v>
      </c>
      <c r="G3606" s="85">
        <v>1178.24</v>
      </c>
    </row>
    <row r="3607" spans="1:7" x14ac:dyDescent="0.3">
      <c r="A3607" s="84">
        <v>2026</v>
      </c>
      <c r="B3607" s="84" t="s">
        <v>398</v>
      </c>
      <c r="C3607" s="84">
        <v>1</v>
      </c>
      <c r="D3607" s="84">
        <v>6</v>
      </c>
      <c r="E3607" s="85">
        <v>12087.8</v>
      </c>
      <c r="F3607" s="85">
        <v>13462.74</v>
      </c>
      <c r="G3607" s="85">
        <v>1374.94</v>
      </c>
    </row>
    <row r="3608" spans="1:7" x14ac:dyDescent="0.3">
      <c r="A3608" s="84">
        <v>2026</v>
      </c>
      <c r="B3608" s="84" t="s">
        <v>398</v>
      </c>
      <c r="C3608" s="84">
        <v>1</v>
      </c>
      <c r="D3608" s="84">
        <v>7</v>
      </c>
      <c r="E3608" s="85">
        <v>12087.8</v>
      </c>
      <c r="F3608" s="85">
        <v>13659.44</v>
      </c>
      <c r="G3608" s="85">
        <v>1571.64</v>
      </c>
    </row>
    <row r="3609" spans="1:7" x14ac:dyDescent="0.3">
      <c r="A3609" s="84">
        <v>2026</v>
      </c>
      <c r="B3609" s="84" t="s">
        <v>398</v>
      </c>
      <c r="C3609" s="84">
        <v>1</v>
      </c>
      <c r="D3609" s="84">
        <v>8</v>
      </c>
      <c r="E3609" s="85">
        <v>12087.8</v>
      </c>
      <c r="F3609" s="85">
        <v>13855.72</v>
      </c>
      <c r="G3609" s="85">
        <v>1767.92</v>
      </c>
    </row>
    <row r="3610" spans="1:7" x14ac:dyDescent="0.3">
      <c r="A3610" s="84">
        <v>2026</v>
      </c>
      <c r="B3610" s="84" t="s">
        <v>398</v>
      </c>
      <c r="C3610" s="84">
        <v>1</v>
      </c>
      <c r="D3610" s="84">
        <v>9</v>
      </c>
      <c r="E3610" s="85">
        <v>12087.8</v>
      </c>
      <c r="F3610" s="85">
        <v>14052.84</v>
      </c>
      <c r="G3610" s="85">
        <v>1965.04</v>
      </c>
    </row>
    <row r="3611" spans="1:7" x14ac:dyDescent="0.3">
      <c r="A3611" s="84">
        <v>2026</v>
      </c>
      <c r="B3611" s="84" t="s">
        <v>398</v>
      </c>
      <c r="C3611" s="84">
        <v>1</v>
      </c>
      <c r="D3611" s="84">
        <v>10</v>
      </c>
      <c r="E3611" s="85">
        <v>12087.8</v>
      </c>
      <c r="F3611" s="85">
        <v>14249.26</v>
      </c>
      <c r="G3611" s="85">
        <v>2161.46</v>
      </c>
    </row>
    <row r="3612" spans="1:7" x14ac:dyDescent="0.3">
      <c r="A3612" s="84">
        <v>2026</v>
      </c>
      <c r="B3612" s="84" t="s">
        <v>398</v>
      </c>
      <c r="C3612" s="84">
        <v>1</v>
      </c>
      <c r="D3612" s="84">
        <v>11</v>
      </c>
      <c r="E3612" s="85">
        <v>12087.8</v>
      </c>
      <c r="F3612" s="85">
        <v>14641.82</v>
      </c>
      <c r="G3612" s="85">
        <v>2554.02</v>
      </c>
    </row>
    <row r="3613" spans="1:7" x14ac:dyDescent="0.3">
      <c r="A3613" s="84">
        <v>2026</v>
      </c>
      <c r="B3613" s="84" t="s">
        <v>398</v>
      </c>
      <c r="C3613" s="84">
        <v>1</v>
      </c>
      <c r="D3613" s="84">
        <v>12</v>
      </c>
      <c r="E3613" s="85">
        <v>12087.8</v>
      </c>
      <c r="F3613" s="85">
        <v>15035.36</v>
      </c>
      <c r="G3613" s="85">
        <v>2947.56</v>
      </c>
    </row>
    <row r="3614" spans="1:7" x14ac:dyDescent="0.3">
      <c r="A3614" s="84">
        <v>2026</v>
      </c>
      <c r="B3614" s="84" t="s">
        <v>398</v>
      </c>
      <c r="C3614" s="84">
        <v>1</v>
      </c>
      <c r="D3614" s="84">
        <v>13</v>
      </c>
      <c r="E3614" s="85">
        <v>12087.8</v>
      </c>
      <c r="F3614" s="85">
        <v>15428.62</v>
      </c>
      <c r="G3614" s="85">
        <v>3340.82</v>
      </c>
    </row>
    <row r="3615" spans="1:7" x14ac:dyDescent="0.3">
      <c r="A3615" s="84">
        <v>2026</v>
      </c>
      <c r="B3615" s="84" t="s">
        <v>398</v>
      </c>
      <c r="C3615" s="84">
        <v>1</v>
      </c>
      <c r="D3615" s="84">
        <v>14</v>
      </c>
      <c r="E3615" s="85">
        <v>12087.8</v>
      </c>
      <c r="F3615" s="85">
        <v>15822.44</v>
      </c>
      <c r="G3615" s="85">
        <v>3734.64</v>
      </c>
    </row>
    <row r="3616" spans="1:7" x14ac:dyDescent="0.3">
      <c r="A3616" s="84">
        <v>2026</v>
      </c>
      <c r="B3616" s="84" t="s">
        <v>398</v>
      </c>
      <c r="C3616" s="84">
        <v>1</v>
      </c>
      <c r="D3616" s="84">
        <v>15</v>
      </c>
      <c r="E3616" s="85">
        <v>12087.8</v>
      </c>
      <c r="F3616" s="85">
        <v>16214.72</v>
      </c>
      <c r="G3616" s="85">
        <v>4126.92</v>
      </c>
    </row>
    <row r="3617" spans="1:7" x14ac:dyDescent="0.3">
      <c r="A3617" s="84">
        <v>2026</v>
      </c>
      <c r="B3617" s="84" t="s">
        <v>398</v>
      </c>
      <c r="C3617" s="84">
        <v>1</v>
      </c>
      <c r="D3617" s="84">
        <v>16</v>
      </c>
      <c r="E3617" s="85">
        <v>12087.8</v>
      </c>
      <c r="F3617" s="85">
        <v>16608.68</v>
      </c>
      <c r="G3617" s="85">
        <v>4520.88</v>
      </c>
    </row>
    <row r="3618" spans="1:7" x14ac:dyDescent="0.3">
      <c r="A3618" s="84">
        <v>2026</v>
      </c>
      <c r="B3618" s="84" t="s">
        <v>398</v>
      </c>
      <c r="C3618" s="84">
        <v>1</v>
      </c>
      <c r="D3618" s="84">
        <v>17</v>
      </c>
      <c r="E3618" s="85">
        <v>12087.8</v>
      </c>
      <c r="F3618" s="85">
        <v>17000.96</v>
      </c>
      <c r="G3618" s="85">
        <v>4913.16</v>
      </c>
    </row>
    <row r="3619" spans="1:7" x14ac:dyDescent="0.3">
      <c r="A3619" s="84">
        <v>2026</v>
      </c>
      <c r="B3619" s="84" t="s">
        <v>398</v>
      </c>
      <c r="C3619" s="84">
        <v>1</v>
      </c>
      <c r="D3619" s="84">
        <v>18</v>
      </c>
      <c r="E3619" s="85">
        <v>12087.8</v>
      </c>
      <c r="F3619" s="85">
        <v>17394.5</v>
      </c>
      <c r="G3619" s="85">
        <v>5306.7</v>
      </c>
    </row>
    <row r="3620" spans="1:7" x14ac:dyDescent="0.3">
      <c r="A3620" s="84">
        <v>2026</v>
      </c>
      <c r="B3620" s="84" t="s">
        <v>398</v>
      </c>
      <c r="C3620" s="84">
        <v>1</v>
      </c>
      <c r="D3620" s="84">
        <v>19</v>
      </c>
      <c r="E3620" s="85">
        <v>12087.8</v>
      </c>
      <c r="F3620" s="85">
        <v>17787.62</v>
      </c>
      <c r="G3620" s="85">
        <v>5699.82</v>
      </c>
    </row>
    <row r="3621" spans="1:7" x14ac:dyDescent="0.3">
      <c r="A3621" s="84">
        <v>2026</v>
      </c>
      <c r="B3621" s="84" t="s">
        <v>398</v>
      </c>
      <c r="C3621" s="84">
        <v>1</v>
      </c>
      <c r="D3621" s="84">
        <v>20</v>
      </c>
      <c r="E3621" s="85">
        <v>12087.8</v>
      </c>
      <c r="F3621" s="85">
        <v>18180.599999999999</v>
      </c>
      <c r="G3621" s="85">
        <v>6092.8</v>
      </c>
    </row>
    <row r="3622" spans="1:7" x14ac:dyDescent="0.3">
      <c r="A3622" s="84">
        <v>2026</v>
      </c>
      <c r="B3622" s="84" t="s">
        <v>398</v>
      </c>
      <c r="C3622" s="84">
        <v>1</v>
      </c>
      <c r="D3622" s="84">
        <v>21</v>
      </c>
      <c r="E3622" s="85">
        <v>12087.8</v>
      </c>
      <c r="F3622" s="85">
        <v>18770</v>
      </c>
      <c r="G3622" s="85">
        <v>6682.2</v>
      </c>
    </row>
    <row r="3623" spans="1:7" x14ac:dyDescent="0.3">
      <c r="A3623" s="84">
        <v>2026</v>
      </c>
      <c r="B3623" s="84" t="s">
        <v>398</v>
      </c>
      <c r="C3623" s="84">
        <v>1</v>
      </c>
      <c r="D3623" s="84">
        <v>22</v>
      </c>
      <c r="E3623" s="85">
        <v>12087.8</v>
      </c>
      <c r="F3623" s="85">
        <v>19408.68</v>
      </c>
      <c r="G3623" s="85">
        <v>7320.88</v>
      </c>
    </row>
    <row r="3624" spans="1:7" x14ac:dyDescent="0.3">
      <c r="A3624" s="84">
        <v>2026</v>
      </c>
      <c r="B3624" s="84" t="s">
        <v>398</v>
      </c>
      <c r="C3624" s="84">
        <v>1</v>
      </c>
      <c r="D3624" s="84">
        <v>23</v>
      </c>
      <c r="E3624" s="85">
        <v>12087.8</v>
      </c>
      <c r="F3624" s="85">
        <v>20049.18</v>
      </c>
      <c r="G3624" s="85">
        <v>7961.38</v>
      </c>
    </row>
    <row r="3625" spans="1:7" x14ac:dyDescent="0.3">
      <c r="A3625" s="84">
        <v>2026</v>
      </c>
      <c r="B3625" s="84" t="s">
        <v>398</v>
      </c>
      <c r="C3625" s="84">
        <v>1</v>
      </c>
      <c r="D3625" s="84">
        <v>24</v>
      </c>
      <c r="E3625" s="85">
        <v>12087.8</v>
      </c>
      <c r="F3625" s="85">
        <v>20688.419999999998</v>
      </c>
      <c r="G3625" s="85">
        <v>8600.6200000000008</v>
      </c>
    </row>
    <row r="3626" spans="1:7" x14ac:dyDescent="0.3">
      <c r="A3626" s="84">
        <v>2026</v>
      </c>
      <c r="B3626" s="84" t="s">
        <v>398</v>
      </c>
      <c r="C3626" s="84">
        <v>1</v>
      </c>
      <c r="D3626" s="84">
        <v>25</v>
      </c>
      <c r="E3626" s="85">
        <v>12087.8</v>
      </c>
      <c r="F3626" s="85">
        <v>21328.5</v>
      </c>
      <c r="G3626" s="85">
        <v>9240.7000000000007</v>
      </c>
    </row>
    <row r="3627" spans="1:7" x14ac:dyDescent="0.3">
      <c r="A3627" s="84">
        <v>2026</v>
      </c>
      <c r="B3627" s="84" t="s">
        <v>398</v>
      </c>
      <c r="C3627" s="84">
        <v>1</v>
      </c>
      <c r="D3627" s="84">
        <v>26</v>
      </c>
      <c r="E3627" s="85">
        <v>12087.8</v>
      </c>
      <c r="F3627" s="85">
        <v>22707.78</v>
      </c>
      <c r="G3627" s="85">
        <v>10619.98</v>
      </c>
    </row>
    <row r="3628" spans="1:7" x14ac:dyDescent="0.3">
      <c r="A3628" s="84">
        <v>2026</v>
      </c>
      <c r="B3628" s="84" t="s">
        <v>398</v>
      </c>
      <c r="C3628" s="84">
        <v>1</v>
      </c>
      <c r="D3628" s="84">
        <v>27</v>
      </c>
      <c r="E3628" s="85">
        <v>12087.8</v>
      </c>
      <c r="F3628" s="85">
        <v>24417.040000000001</v>
      </c>
      <c r="G3628" s="85">
        <v>12329.24</v>
      </c>
    </row>
    <row r="3629" spans="1:7" x14ac:dyDescent="0.3">
      <c r="A3629" s="84">
        <v>2026</v>
      </c>
      <c r="B3629" s="84" t="s">
        <v>398</v>
      </c>
      <c r="C3629" s="84">
        <v>1</v>
      </c>
      <c r="D3629" s="84">
        <v>28</v>
      </c>
      <c r="E3629" s="85">
        <v>12087.8</v>
      </c>
      <c r="F3629" s="85">
        <v>25057.54</v>
      </c>
      <c r="G3629" s="85">
        <v>12969.74</v>
      </c>
    </row>
    <row r="3630" spans="1:7" x14ac:dyDescent="0.3">
      <c r="A3630" s="84">
        <v>2026</v>
      </c>
      <c r="B3630" s="84" t="s">
        <v>398</v>
      </c>
      <c r="C3630" s="84">
        <v>1</v>
      </c>
      <c r="D3630" s="84">
        <v>29</v>
      </c>
      <c r="E3630" s="85">
        <v>12087.8</v>
      </c>
      <c r="F3630" s="85">
        <v>25696.92</v>
      </c>
      <c r="G3630" s="85">
        <v>13609.12</v>
      </c>
    </row>
    <row r="3631" spans="1:7" x14ac:dyDescent="0.3">
      <c r="A3631" s="84">
        <v>2026</v>
      </c>
      <c r="B3631" s="84" t="s">
        <v>398</v>
      </c>
      <c r="C3631" s="84">
        <v>1</v>
      </c>
      <c r="D3631" s="84">
        <v>30</v>
      </c>
      <c r="E3631" s="85">
        <v>12087.8</v>
      </c>
      <c r="F3631" s="85">
        <v>27445.24</v>
      </c>
      <c r="G3631" s="85">
        <v>15357.44</v>
      </c>
    </row>
    <row r="3632" spans="1:7" x14ac:dyDescent="0.3">
      <c r="A3632" s="84">
        <v>2026</v>
      </c>
      <c r="B3632" s="84" t="s">
        <v>398</v>
      </c>
      <c r="C3632" s="84">
        <v>2</v>
      </c>
      <c r="D3632" s="84">
        <v>1</v>
      </c>
      <c r="E3632" s="85">
        <v>12382.22</v>
      </c>
      <c r="F3632" s="85">
        <v>12087.8</v>
      </c>
      <c r="G3632" s="85">
        <v>-294.42</v>
      </c>
    </row>
    <row r="3633" spans="1:7" x14ac:dyDescent="0.3">
      <c r="A3633" s="84">
        <v>2026</v>
      </c>
      <c r="B3633" s="84" t="s">
        <v>398</v>
      </c>
      <c r="C3633" s="84">
        <v>2</v>
      </c>
      <c r="D3633" s="84">
        <v>2</v>
      </c>
      <c r="E3633" s="85">
        <v>12382.22</v>
      </c>
      <c r="F3633" s="85">
        <v>12382.22</v>
      </c>
      <c r="G3633" s="85">
        <v>0</v>
      </c>
    </row>
    <row r="3634" spans="1:7" x14ac:dyDescent="0.3">
      <c r="A3634" s="84">
        <v>2026</v>
      </c>
      <c r="B3634" s="84" t="s">
        <v>398</v>
      </c>
      <c r="C3634" s="84">
        <v>2</v>
      </c>
      <c r="D3634" s="84">
        <v>3</v>
      </c>
      <c r="E3634" s="85">
        <v>12382.22</v>
      </c>
      <c r="F3634" s="85">
        <v>12677.2</v>
      </c>
      <c r="G3634" s="85">
        <v>294.98</v>
      </c>
    </row>
    <row r="3635" spans="1:7" x14ac:dyDescent="0.3">
      <c r="A3635" s="84">
        <v>2026</v>
      </c>
      <c r="B3635" s="84" t="s">
        <v>398</v>
      </c>
      <c r="C3635" s="84">
        <v>2</v>
      </c>
      <c r="D3635" s="84">
        <v>4</v>
      </c>
      <c r="E3635" s="85">
        <v>12382.22</v>
      </c>
      <c r="F3635" s="85">
        <v>12971.34</v>
      </c>
      <c r="G3635" s="85">
        <v>589.12</v>
      </c>
    </row>
    <row r="3636" spans="1:7" x14ac:dyDescent="0.3">
      <c r="A3636" s="84">
        <v>2026</v>
      </c>
      <c r="B3636" s="84" t="s">
        <v>398</v>
      </c>
      <c r="C3636" s="84">
        <v>2</v>
      </c>
      <c r="D3636" s="84">
        <v>5</v>
      </c>
      <c r="E3636" s="85">
        <v>12382.22</v>
      </c>
      <c r="F3636" s="85">
        <v>13266.04</v>
      </c>
      <c r="G3636" s="85">
        <v>883.82</v>
      </c>
    </row>
    <row r="3637" spans="1:7" x14ac:dyDescent="0.3">
      <c r="A3637" s="84">
        <v>2026</v>
      </c>
      <c r="B3637" s="84" t="s">
        <v>398</v>
      </c>
      <c r="C3637" s="84">
        <v>2</v>
      </c>
      <c r="D3637" s="84">
        <v>6</v>
      </c>
      <c r="E3637" s="85">
        <v>12382.22</v>
      </c>
      <c r="F3637" s="85">
        <v>13462.74</v>
      </c>
      <c r="G3637" s="85">
        <v>1080.52</v>
      </c>
    </row>
    <row r="3638" spans="1:7" x14ac:dyDescent="0.3">
      <c r="A3638" s="84">
        <v>2026</v>
      </c>
      <c r="B3638" s="84" t="s">
        <v>398</v>
      </c>
      <c r="C3638" s="84">
        <v>2</v>
      </c>
      <c r="D3638" s="84">
        <v>7</v>
      </c>
      <c r="E3638" s="85">
        <v>12382.22</v>
      </c>
      <c r="F3638" s="85">
        <v>13659.44</v>
      </c>
      <c r="G3638" s="85">
        <v>1277.22</v>
      </c>
    </row>
    <row r="3639" spans="1:7" x14ac:dyDescent="0.3">
      <c r="A3639" s="84">
        <v>2026</v>
      </c>
      <c r="B3639" s="84" t="s">
        <v>398</v>
      </c>
      <c r="C3639" s="84">
        <v>2</v>
      </c>
      <c r="D3639" s="84">
        <v>8</v>
      </c>
      <c r="E3639" s="85">
        <v>12382.22</v>
      </c>
      <c r="F3639" s="85">
        <v>13855.72</v>
      </c>
      <c r="G3639" s="85">
        <v>1473.5</v>
      </c>
    </row>
    <row r="3640" spans="1:7" x14ac:dyDescent="0.3">
      <c r="A3640" s="84">
        <v>2026</v>
      </c>
      <c r="B3640" s="84" t="s">
        <v>398</v>
      </c>
      <c r="C3640" s="84">
        <v>2</v>
      </c>
      <c r="D3640" s="84">
        <v>9</v>
      </c>
      <c r="E3640" s="85">
        <v>12382.22</v>
      </c>
      <c r="F3640" s="85">
        <v>14052.84</v>
      </c>
      <c r="G3640" s="85">
        <v>1670.62</v>
      </c>
    </row>
    <row r="3641" spans="1:7" x14ac:dyDescent="0.3">
      <c r="A3641" s="84">
        <v>2026</v>
      </c>
      <c r="B3641" s="84" t="s">
        <v>398</v>
      </c>
      <c r="C3641" s="84">
        <v>2</v>
      </c>
      <c r="D3641" s="84">
        <v>10</v>
      </c>
      <c r="E3641" s="85">
        <v>12382.22</v>
      </c>
      <c r="F3641" s="85">
        <v>14249.26</v>
      </c>
      <c r="G3641" s="85">
        <v>1867.04</v>
      </c>
    </row>
    <row r="3642" spans="1:7" x14ac:dyDescent="0.3">
      <c r="A3642" s="84">
        <v>2026</v>
      </c>
      <c r="B3642" s="84" t="s">
        <v>398</v>
      </c>
      <c r="C3642" s="84">
        <v>2</v>
      </c>
      <c r="D3642" s="84">
        <v>11</v>
      </c>
      <c r="E3642" s="85">
        <v>12382.22</v>
      </c>
      <c r="F3642" s="85">
        <v>14641.82</v>
      </c>
      <c r="G3642" s="85">
        <v>2259.6</v>
      </c>
    </row>
    <row r="3643" spans="1:7" x14ac:dyDescent="0.3">
      <c r="A3643" s="84">
        <v>2026</v>
      </c>
      <c r="B3643" s="84" t="s">
        <v>398</v>
      </c>
      <c r="C3643" s="84">
        <v>2</v>
      </c>
      <c r="D3643" s="84">
        <v>12</v>
      </c>
      <c r="E3643" s="85">
        <v>12382.22</v>
      </c>
      <c r="F3643" s="85">
        <v>15035.36</v>
      </c>
      <c r="G3643" s="85">
        <v>2653.14</v>
      </c>
    </row>
    <row r="3644" spans="1:7" x14ac:dyDescent="0.3">
      <c r="A3644" s="84">
        <v>2026</v>
      </c>
      <c r="B3644" s="84" t="s">
        <v>398</v>
      </c>
      <c r="C3644" s="84">
        <v>2</v>
      </c>
      <c r="D3644" s="84">
        <v>13</v>
      </c>
      <c r="E3644" s="85">
        <v>12382.22</v>
      </c>
      <c r="F3644" s="85">
        <v>15428.62</v>
      </c>
      <c r="G3644" s="85">
        <v>3046.4</v>
      </c>
    </row>
    <row r="3645" spans="1:7" x14ac:dyDescent="0.3">
      <c r="A3645" s="84">
        <v>2026</v>
      </c>
      <c r="B3645" s="84" t="s">
        <v>398</v>
      </c>
      <c r="C3645" s="84">
        <v>2</v>
      </c>
      <c r="D3645" s="84">
        <v>14</v>
      </c>
      <c r="E3645" s="85">
        <v>12382.22</v>
      </c>
      <c r="F3645" s="85">
        <v>15822.44</v>
      </c>
      <c r="G3645" s="85">
        <v>3440.22</v>
      </c>
    </row>
    <row r="3646" spans="1:7" x14ac:dyDescent="0.3">
      <c r="A3646" s="84">
        <v>2026</v>
      </c>
      <c r="B3646" s="84" t="s">
        <v>398</v>
      </c>
      <c r="C3646" s="84">
        <v>2</v>
      </c>
      <c r="D3646" s="84">
        <v>15</v>
      </c>
      <c r="E3646" s="85">
        <v>12382.22</v>
      </c>
      <c r="F3646" s="85">
        <v>16214.72</v>
      </c>
      <c r="G3646" s="85">
        <v>3832.5</v>
      </c>
    </row>
    <row r="3647" spans="1:7" x14ac:dyDescent="0.3">
      <c r="A3647" s="84">
        <v>2026</v>
      </c>
      <c r="B3647" s="84" t="s">
        <v>398</v>
      </c>
      <c r="C3647" s="84">
        <v>2</v>
      </c>
      <c r="D3647" s="84">
        <v>16</v>
      </c>
      <c r="E3647" s="85">
        <v>12382.22</v>
      </c>
      <c r="F3647" s="85">
        <v>16608.68</v>
      </c>
      <c r="G3647" s="85">
        <v>4226.46</v>
      </c>
    </row>
    <row r="3648" spans="1:7" x14ac:dyDescent="0.3">
      <c r="A3648" s="84">
        <v>2026</v>
      </c>
      <c r="B3648" s="84" t="s">
        <v>398</v>
      </c>
      <c r="C3648" s="84">
        <v>2</v>
      </c>
      <c r="D3648" s="84">
        <v>17</v>
      </c>
      <c r="E3648" s="85">
        <v>12382.22</v>
      </c>
      <c r="F3648" s="85">
        <v>17000.96</v>
      </c>
      <c r="G3648" s="85">
        <v>4618.74</v>
      </c>
    </row>
    <row r="3649" spans="1:7" x14ac:dyDescent="0.3">
      <c r="A3649" s="84">
        <v>2026</v>
      </c>
      <c r="B3649" s="84" t="s">
        <v>398</v>
      </c>
      <c r="C3649" s="84">
        <v>2</v>
      </c>
      <c r="D3649" s="84">
        <v>18</v>
      </c>
      <c r="E3649" s="85">
        <v>12382.22</v>
      </c>
      <c r="F3649" s="85">
        <v>17394.5</v>
      </c>
      <c r="G3649" s="85">
        <v>5012.28</v>
      </c>
    </row>
    <row r="3650" spans="1:7" x14ac:dyDescent="0.3">
      <c r="A3650" s="84">
        <v>2026</v>
      </c>
      <c r="B3650" s="84" t="s">
        <v>398</v>
      </c>
      <c r="C3650" s="84">
        <v>2</v>
      </c>
      <c r="D3650" s="84">
        <v>19</v>
      </c>
      <c r="E3650" s="85">
        <v>12382.22</v>
      </c>
      <c r="F3650" s="85">
        <v>17787.62</v>
      </c>
      <c r="G3650" s="85">
        <v>5405.4</v>
      </c>
    </row>
    <row r="3651" spans="1:7" x14ac:dyDescent="0.3">
      <c r="A3651" s="84">
        <v>2026</v>
      </c>
      <c r="B3651" s="84" t="s">
        <v>398</v>
      </c>
      <c r="C3651" s="84">
        <v>2</v>
      </c>
      <c r="D3651" s="84">
        <v>20</v>
      </c>
      <c r="E3651" s="85">
        <v>12382.22</v>
      </c>
      <c r="F3651" s="85">
        <v>18180.599999999999</v>
      </c>
      <c r="G3651" s="85">
        <v>5798.38</v>
      </c>
    </row>
    <row r="3652" spans="1:7" x14ac:dyDescent="0.3">
      <c r="A3652" s="84">
        <v>2026</v>
      </c>
      <c r="B3652" s="84" t="s">
        <v>398</v>
      </c>
      <c r="C3652" s="84">
        <v>2</v>
      </c>
      <c r="D3652" s="84">
        <v>21</v>
      </c>
      <c r="E3652" s="85">
        <v>12382.22</v>
      </c>
      <c r="F3652" s="85">
        <v>18770</v>
      </c>
      <c r="G3652" s="85">
        <v>6387.78</v>
      </c>
    </row>
    <row r="3653" spans="1:7" x14ac:dyDescent="0.3">
      <c r="A3653" s="84">
        <v>2026</v>
      </c>
      <c r="B3653" s="84" t="s">
        <v>398</v>
      </c>
      <c r="C3653" s="84">
        <v>2</v>
      </c>
      <c r="D3653" s="84">
        <v>22</v>
      </c>
      <c r="E3653" s="85">
        <v>12382.22</v>
      </c>
      <c r="F3653" s="85">
        <v>19408.68</v>
      </c>
      <c r="G3653" s="85">
        <v>7026.46</v>
      </c>
    </row>
    <row r="3654" spans="1:7" x14ac:dyDescent="0.3">
      <c r="A3654" s="84">
        <v>2026</v>
      </c>
      <c r="B3654" s="84" t="s">
        <v>398</v>
      </c>
      <c r="C3654" s="84">
        <v>2</v>
      </c>
      <c r="D3654" s="84">
        <v>23</v>
      </c>
      <c r="E3654" s="85">
        <v>12382.22</v>
      </c>
      <c r="F3654" s="85">
        <v>20049.18</v>
      </c>
      <c r="G3654" s="85">
        <v>7666.96</v>
      </c>
    </row>
    <row r="3655" spans="1:7" x14ac:dyDescent="0.3">
      <c r="A3655" s="84">
        <v>2026</v>
      </c>
      <c r="B3655" s="84" t="s">
        <v>398</v>
      </c>
      <c r="C3655" s="84">
        <v>2</v>
      </c>
      <c r="D3655" s="84">
        <v>24</v>
      </c>
      <c r="E3655" s="85">
        <v>12382.22</v>
      </c>
      <c r="F3655" s="85">
        <v>20688.419999999998</v>
      </c>
      <c r="G3655" s="85">
        <v>8306.2000000000007</v>
      </c>
    </row>
    <row r="3656" spans="1:7" x14ac:dyDescent="0.3">
      <c r="A3656" s="84">
        <v>2026</v>
      </c>
      <c r="B3656" s="84" t="s">
        <v>398</v>
      </c>
      <c r="C3656" s="84">
        <v>2</v>
      </c>
      <c r="D3656" s="84">
        <v>25</v>
      </c>
      <c r="E3656" s="85">
        <v>12382.22</v>
      </c>
      <c r="F3656" s="85">
        <v>21328.5</v>
      </c>
      <c r="G3656" s="85">
        <v>8946.2800000000007</v>
      </c>
    </row>
    <row r="3657" spans="1:7" x14ac:dyDescent="0.3">
      <c r="A3657" s="84">
        <v>2026</v>
      </c>
      <c r="B3657" s="84" t="s">
        <v>398</v>
      </c>
      <c r="C3657" s="84">
        <v>2</v>
      </c>
      <c r="D3657" s="84">
        <v>26</v>
      </c>
      <c r="E3657" s="85">
        <v>12382.22</v>
      </c>
      <c r="F3657" s="85">
        <v>22707.78</v>
      </c>
      <c r="G3657" s="85">
        <v>10325.56</v>
      </c>
    </row>
    <row r="3658" spans="1:7" x14ac:dyDescent="0.3">
      <c r="A3658" s="84">
        <v>2026</v>
      </c>
      <c r="B3658" s="84" t="s">
        <v>398</v>
      </c>
      <c r="C3658" s="84">
        <v>2</v>
      </c>
      <c r="D3658" s="84">
        <v>27</v>
      </c>
      <c r="E3658" s="85">
        <v>12382.22</v>
      </c>
      <c r="F3658" s="85">
        <v>24417.040000000001</v>
      </c>
      <c r="G3658" s="85">
        <v>12034.82</v>
      </c>
    </row>
    <row r="3659" spans="1:7" x14ac:dyDescent="0.3">
      <c r="A3659" s="84">
        <v>2026</v>
      </c>
      <c r="B3659" s="84" t="s">
        <v>398</v>
      </c>
      <c r="C3659" s="84">
        <v>2</v>
      </c>
      <c r="D3659" s="84">
        <v>28</v>
      </c>
      <c r="E3659" s="85">
        <v>12382.22</v>
      </c>
      <c r="F3659" s="85">
        <v>25057.54</v>
      </c>
      <c r="G3659" s="85">
        <v>12675.32</v>
      </c>
    </row>
    <row r="3660" spans="1:7" x14ac:dyDescent="0.3">
      <c r="A3660" s="84">
        <v>2026</v>
      </c>
      <c r="B3660" s="84" t="s">
        <v>398</v>
      </c>
      <c r="C3660" s="84">
        <v>2</v>
      </c>
      <c r="D3660" s="84">
        <v>29</v>
      </c>
      <c r="E3660" s="85">
        <v>12382.22</v>
      </c>
      <c r="F3660" s="85">
        <v>25696.92</v>
      </c>
      <c r="G3660" s="85">
        <v>13314.7</v>
      </c>
    </row>
    <row r="3661" spans="1:7" x14ac:dyDescent="0.3">
      <c r="A3661" s="84">
        <v>2026</v>
      </c>
      <c r="B3661" s="84" t="s">
        <v>398</v>
      </c>
      <c r="C3661" s="84">
        <v>2</v>
      </c>
      <c r="D3661" s="84">
        <v>30</v>
      </c>
      <c r="E3661" s="85">
        <v>12382.22</v>
      </c>
      <c r="F3661" s="85">
        <v>27445.24</v>
      </c>
      <c r="G3661" s="85">
        <v>15063.02</v>
      </c>
    </row>
    <row r="3662" spans="1:7" x14ac:dyDescent="0.3">
      <c r="A3662" s="84">
        <v>2026</v>
      </c>
      <c r="B3662" s="84" t="s">
        <v>398</v>
      </c>
      <c r="C3662" s="84">
        <v>3</v>
      </c>
      <c r="D3662" s="84">
        <v>1</v>
      </c>
      <c r="E3662" s="85">
        <v>12677.2</v>
      </c>
      <c r="F3662" s="85">
        <v>12087.8</v>
      </c>
      <c r="G3662" s="85">
        <v>-589.4</v>
      </c>
    </row>
    <row r="3663" spans="1:7" x14ac:dyDescent="0.3">
      <c r="A3663" s="84">
        <v>2026</v>
      </c>
      <c r="B3663" s="84" t="s">
        <v>398</v>
      </c>
      <c r="C3663" s="84">
        <v>3</v>
      </c>
      <c r="D3663" s="84">
        <v>2</v>
      </c>
      <c r="E3663" s="85">
        <v>12677.2</v>
      </c>
      <c r="F3663" s="85">
        <v>12382.22</v>
      </c>
      <c r="G3663" s="85">
        <v>-294.98</v>
      </c>
    </row>
    <row r="3664" spans="1:7" x14ac:dyDescent="0.3">
      <c r="A3664" s="84">
        <v>2026</v>
      </c>
      <c r="B3664" s="84" t="s">
        <v>398</v>
      </c>
      <c r="C3664" s="84">
        <v>3</v>
      </c>
      <c r="D3664" s="84">
        <v>3</v>
      </c>
      <c r="E3664" s="85">
        <v>12677.2</v>
      </c>
      <c r="F3664" s="85">
        <v>12677.2</v>
      </c>
      <c r="G3664" s="85">
        <v>0</v>
      </c>
    </row>
    <row r="3665" spans="1:7" x14ac:dyDescent="0.3">
      <c r="A3665" s="84">
        <v>2026</v>
      </c>
      <c r="B3665" s="84" t="s">
        <v>398</v>
      </c>
      <c r="C3665" s="84">
        <v>3</v>
      </c>
      <c r="D3665" s="84">
        <v>4</v>
      </c>
      <c r="E3665" s="85">
        <v>12677.2</v>
      </c>
      <c r="F3665" s="85">
        <v>12971.34</v>
      </c>
      <c r="G3665" s="85">
        <v>294.14</v>
      </c>
    </row>
    <row r="3666" spans="1:7" x14ac:dyDescent="0.3">
      <c r="A3666" s="84">
        <v>2026</v>
      </c>
      <c r="B3666" s="84" t="s">
        <v>398</v>
      </c>
      <c r="C3666" s="84">
        <v>3</v>
      </c>
      <c r="D3666" s="84">
        <v>5</v>
      </c>
      <c r="E3666" s="85">
        <v>12677.2</v>
      </c>
      <c r="F3666" s="85">
        <v>13266.04</v>
      </c>
      <c r="G3666" s="85">
        <v>588.84</v>
      </c>
    </row>
    <row r="3667" spans="1:7" x14ac:dyDescent="0.3">
      <c r="A3667" s="84">
        <v>2026</v>
      </c>
      <c r="B3667" s="84" t="s">
        <v>398</v>
      </c>
      <c r="C3667" s="84">
        <v>3</v>
      </c>
      <c r="D3667" s="84">
        <v>6</v>
      </c>
      <c r="E3667" s="85">
        <v>12677.2</v>
      </c>
      <c r="F3667" s="85">
        <v>13462.74</v>
      </c>
      <c r="G3667" s="85">
        <v>785.54</v>
      </c>
    </row>
    <row r="3668" spans="1:7" x14ac:dyDescent="0.3">
      <c r="A3668" s="84">
        <v>2026</v>
      </c>
      <c r="B3668" s="84" t="s">
        <v>398</v>
      </c>
      <c r="C3668" s="84">
        <v>3</v>
      </c>
      <c r="D3668" s="84">
        <v>7</v>
      </c>
      <c r="E3668" s="85">
        <v>12677.2</v>
      </c>
      <c r="F3668" s="85">
        <v>13659.44</v>
      </c>
      <c r="G3668" s="85">
        <v>982.24</v>
      </c>
    </row>
    <row r="3669" spans="1:7" x14ac:dyDescent="0.3">
      <c r="A3669" s="84">
        <v>2026</v>
      </c>
      <c r="B3669" s="84" t="s">
        <v>398</v>
      </c>
      <c r="C3669" s="84">
        <v>3</v>
      </c>
      <c r="D3669" s="84">
        <v>8</v>
      </c>
      <c r="E3669" s="85">
        <v>12677.2</v>
      </c>
      <c r="F3669" s="85">
        <v>13855.72</v>
      </c>
      <c r="G3669" s="85">
        <v>1178.52</v>
      </c>
    </row>
    <row r="3670" spans="1:7" x14ac:dyDescent="0.3">
      <c r="A3670" s="84">
        <v>2026</v>
      </c>
      <c r="B3670" s="84" t="s">
        <v>398</v>
      </c>
      <c r="C3670" s="84">
        <v>3</v>
      </c>
      <c r="D3670" s="84">
        <v>9</v>
      </c>
      <c r="E3670" s="85">
        <v>12677.2</v>
      </c>
      <c r="F3670" s="85">
        <v>14052.84</v>
      </c>
      <c r="G3670" s="85">
        <v>1375.64</v>
      </c>
    </row>
    <row r="3671" spans="1:7" x14ac:dyDescent="0.3">
      <c r="A3671" s="84">
        <v>2026</v>
      </c>
      <c r="B3671" s="84" t="s">
        <v>398</v>
      </c>
      <c r="C3671" s="84">
        <v>3</v>
      </c>
      <c r="D3671" s="84">
        <v>10</v>
      </c>
      <c r="E3671" s="85">
        <v>12677.2</v>
      </c>
      <c r="F3671" s="85">
        <v>14249.26</v>
      </c>
      <c r="G3671" s="85">
        <v>1572.06</v>
      </c>
    </row>
    <row r="3672" spans="1:7" x14ac:dyDescent="0.3">
      <c r="A3672" s="84">
        <v>2026</v>
      </c>
      <c r="B3672" s="84" t="s">
        <v>398</v>
      </c>
      <c r="C3672" s="84">
        <v>3</v>
      </c>
      <c r="D3672" s="84">
        <v>11</v>
      </c>
      <c r="E3672" s="85">
        <v>12677.2</v>
      </c>
      <c r="F3672" s="85">
        <v>14641.82</v>
      </c>
      <c r="G3672" s="85">
        <v>1964.62</v>
      </c>
    </row>
    <row r="3673" spans="1:7" x14ac:dyDescent="0.3">
      <c r="A3673" s="84">
        <v>2026</v>
      </c>
      <c r="B3673" s="84" t="s">
        <v>398</v>
      </c>
      <c r="C3673" s="84">
        <v>3</v>
      </c>
      <c r="D3673" s="84">
        <v>12</v>
      </c>
      <c r="E3673" s="85">
        <v>12677.2</v>
      </c>
      <c r="F3673" s="85">
        <v>15035.36</v>
      </c>
      <c r="G3673" s="85">
        <v>2358.16</v>
      </c>
    </row>
    <row r="3674" spans="1:7" x14ac:dyDescent="0.3">
      <c r="A3674" s="84">
        <v>2026</v>
      </c>
      <c r="B3674" s="84" t="s">
        <v>398</v>
      </c>
      <c r="C3674" s="84">
        <v>3</v>
      </c>
      <c r="D3674" s="84">
        <v>13</v>
      </c>
      <c r="E3674" s="85">
        <v>12677.2</v>
      </c>
      <c r="F3674" s="85">
        <v>15428.62</v>
      </c>
      <c r="G3674" s="85">
        <v>2751.42</v>
      </c>
    </row>
    <row r="3675" spans="1:7" x14ac:dyDescent="0.3">
      <c r="A3675" s="84">
        <v>2026</v>
      </c>
      <c r="B3675" s="84" t="s">
        <v>398</v>
      </c>
      <c r="C3675" s="84">
        <v>3</v>
      </c>
      <c r="D3675" s="84">
        <v>14</v>
      </c>
      <c r="E3675" s="85">
        <v>12677.2</v>
      </c>
      <c r="F3675" s="85">
        <v>15822.44</v>
      </c>
      <c r="G3675" s="85">
        <v>3145.24</v>
      </c>
    </row>
    <row r="3676" spans="1:7" x14ac:dyDescent="0.3">
      <c r="A3676" s="84">
        <v>2026</v>
      </c>
      <c r="B3676" s="84" t="s">
        <v>398</v>
      </c>
      <c r="C3676" s="84">
        <v>3</v>
      </c>
      <c r="D3676" s="84">
        <v>15</v>
      </c>
      <c r="E3676" s="85">
        <v>12677.2</v>
      </c>
      <c r="F3676" s="85">
        <v>16214.72</v>
      </c>
      <c r="G3676" s="85">
        <v>3537.52</v>
      </c>
    </row>
    <row r="3677" spans="1:7" x14ac:dyDescent="0.3">
      <c r="A3677" s="84">
        <v>2026</v>
      </c>
      <c r="B3677" s="84" t="s">
        <v>398</v>
      </c>
      <c r="C3677" s="84">
        <v>3</v>
      </c>
      <c r="D3677" s="84">
        <v>16</v>
      </c>
      <c r="E3677" s="85">
        <v>12677.2</v>
      </c>
      <c r="F3677" s="85">
        <v>16608.68</v>
      </c>
      <c r="G3677" s="85">
        <v>3931.48</v>
      </c>
    </row>
    <row r="3678" spans="1:7" x14ac:dyDescent="0.3">
      <c r="A3678" s="84">
        <v>2026</v>
      </c>
      <c r="B3678" s="84" t="s">
        <v>398</v>
      </c>
      <c r="C3678" s="84">
        <v>3</v>
      </c>
      <c r="D3678" s="84">
        <v>17</v>
      </c>
      <c r="E3678" s="85">
        <v>12677.2</v>
      </c>
      <c r="F3678" s="85">
        <v>17000.96</v>
      </c>
      <c r="G3678" s="85">
        <v>4323.76</v>
      </c>
    </row>
    <row r="3679" spans="1:7" x14ac:dyDescent="0.3">
      <c r="A3679" s="84">
        <v>2026</v>
      </c>
      <c r="B3679" s="84" t="s">
        <v>398</v>
      </c>
      <c r="C3679" s="84">
        <v>3</v>
      </c>
      <c r="D3679" s="84">
        <v>18</v>
      </c>
      <c r="E3679" s="85">
        <v>12677.2</v>
      </c>
      <c r="F3679" s="85">
        <v>17394.5</v>
      </c>
      <c r="G3679" s="85">
        <v>4717.3</v>
      </c>
    </row>
    <row r="3680" spans="1:7" x14ac:dyDescent="0.3">
      <c r="A3680" s="84">
        <v>2026</v>
      </c>
      <c r="B3680" s="84" t="s">
        <v>398</v>
      </c>
      <c r="C3680" s="84">
        <v>3</v>
      </c>
      <c r="D3680" s="84">
        <v>19</v>
      </c>
      <c r="E3680" s="85">
        <v>12677.2</v>
      </c>
      <c r="F3680" s="85">
        <v>17787.62</v>
      </c>
      <c r="G3680" s="85">
        <v>5110.42</v>
      </c>
    </row>
    <row r="3681" spans="1:7" x14ac:dyDescent="0.3">
      <c r="A3681" s="84">
        <v>2026</v>
      </c>
      <c r="B3681" s="84" t="s">
        <v>398</v>
      </c>
      <c r="C3681" s="84">
        <v>3</v>
      </c>
      <c r="D3681" s="84">
        <v>20</v>
      </c>
      <c r="E3681" s="85">
        <v>12677.2</v>
      </c>
      <c r="F3681" s="85">
        <v>18180.599999999999</v>
      </c>
      <c r="G3681" s="85">
        <v>5503.4</v>
      </c>
    </row>
    <row r="3682" spans="1:7" x14ac:dyDescent="0.3">
      <c r="A3682" s="84">
        <v>2026</v>
      </c>
      <c r="B3682" s="84" t="s">
        <v>398</v>
      </c>
      <c r="C3682" s="84">
        <v>3</v>
      </c>
      <c r="D3682" s="84">
        <v>21</v>
      </c>
      <c r="E3682" s="85">
        <v>12677.2</v>
      </c>
      <c r="F3682" s="85">
        <v>18770</v>
      </c>
      <c r="G3682" s="85">
        <v>6092.8</v>
      </c>
    </row>
    <row r="3683" spans="1:7" x14ac:dyDescent="0.3">
      <c r="A3683" s="84">
        <v>2026</v>
      </c>
      <c r="B3683" s="84" t="s">
        <v>398</v>
      </c>
      <c r="C3683" s="84">
        <v>3</v>
      </c>
      <c r="D3683" s="84">
        <v>22</v>
      </c>
      <c r="E3683" s="85">
        <v>12677.2</v>
      </c>
      <c r="F3683" s="85">
        <v>19408.68</v>
      </c>
      <c r="G3683" s="85">
        <v>6731.48</v>
      </c>
    </row>
    <row r="3684" spans="1:7" x14ac:dyDescent="0.3">
      <c r="A3684" s="84">
        <v>2026</v>
      </c>
      <c r="B3684" s="84" t="s">
        <v>398</v>
      </c>
      <c r="C3684" s="84">
        <v>3</v>
      </c>
      <c r="D3684" s="84">
        <v>23</v>
      </c>
      <c r="E3684" s="85">
        <v>12677.2</v>
      </c>
      <c r="F3684" s="85">
        <v>20049.18</v>
      </c>
      <c r="G3684" s="85">
        <v>7371.98</v>
      </c>
    </row>
    <row r="3685" spans="1:7" x14ac:dyDescent="0.3">
      <c r="A3685" s="84">
        <v>2026</v>
      </c>
      <c r="B3685" s="84" t="s">
        <v>398</v>
      </c>
      <c r="C3685" s="84">
        <v>3</v>
      </c>
      <c r="D3685" s="84">
        <v>24</v>
      </c>
      <c r="E3685" s="85">
        <v>12677.2</v>
      </c>
      <c r="F3685" s="85">
        <v>20688.419999999998</v>
      </c>
      <c r="G3685" s="85">
        <v>8011.22</v>
      </c>
    </row>
    <row r="3686" spans="1:7" x14ac:dyDescent="0.3">
      <c r="A3686" s="84">
        <v>2026</v>
      </c>
      <c r="B3686" s="84" t="s">
        <v>398</v>
      </c>
      <c r="C3686" s="84">
        <v>3</v>
      </c>
      <c r="D3686" s="84">
        <v>25</v>
      </c>
      <c r="E3686" s="85">
        <v>12677.2</v>
      </c>
      <c r="F3686" s="85">
        <v>21328.5</v>
      </c>
      <c r="G3686" s="85">
        <v>8651.2999999999993</v>
      </c>
    </row>
    <row r="3687" spans="1:7" x14ac:dyDescent="0.3">
      <c r="A3687" s="84">
        <v>2026</v>
      </c>
      <c r="B3687" s="84" t="s">
        <v>398</v>
      </c>
      <c r="C3687" s="84">
        <v>3</v>
      </c>
      <c r="D3687" s="84">
        <v>26</v>
      </c>
      <c r="E3687" s="85">
        <v>12677.2</v>
      </c>
      <c r="F3687" s="85">
        <v>22707.78</v>
      </c>
      <c r="G3687" s="85">
        <v>10030.58</v>
      </c>
    </row>
    <row r="3688" spans="1:7" x14ac:dyDescent="0.3">
      <c r="A3688" s="84">
        <v>2026</v>
      </c>
      <c r="B3688" s="84" t="s">
        <v>398</v>
      </c>
      <c r="C3688" s="84">
        <v>3</v>
      </c>
      <c r="D3688" s="84">
        <v>27</v>
      </c>
      <c r="E3688" s="85">
        <v>12677.2</v>
      </c>
      <c r="F3688" s="85">
        <v>24417.040000000001</v>
      </c>
      <c r="G3688" s="85">
        <v>11739.84</v>
      </c>
    </row>
    <row r="3689" spans="1:7" x14ac:dyDescent="0.3">
      <c r="A3689" s="84">
        <v>2026</v>
      </c>
      <c r="B3689" s="84" t="s">
        <v>398</v>
      </c>
      <c r="C3689" s="84">
        <v>3</v>
      </c>
      <c r="D3689" s="84">
        <v>28</v>
      </c>
      <c r="E3689" s="85">
        <v>12677.2</v>
      </c>
      <c r="F3689" s="85">
        <v>25057.54</v>
      </c>
      <c r="G3689" s="85">
        <v>12380.34</v>
      </c>
    </row>
    <row r="3690" spans="1:7" x14ac:dyDescent="0.3">
      <c r="A3690" s="84">
        <v>2026</v>
      </c>
      <c r="B3690" s="84" t="s">
        <v>398</v>
      </c>
      <c r="C3690" s="84">
        <v>3</v>
      </c>
      <c r="D3690" s="84">
        <v>29</v>
      </c>
      <c r="E3690" s="85">
        <v>12677.2</v>
      </c>
      <c r="F3690" s="85">
        <v>25696.92</v>
      </c>
      <c r="G3690" s="85">
        <v>13019.72</v>
      </c>
    </row>
    <row r="3691" spans="1:7" x14ac:dyDescent="0.3">
      <c r="A3691" s="84">
        <v>2026</v>
      </c>
      <c r="B3691" s="84" t="s">
        <v>398</v>
      </c>
      <c r="C3691" s="84">
        <v>3</v>
      </c>
      <c r="D3691" s="84">
        <v>30</v>
      </c>
      <c r="E3691" s="85">
        <v>12677.2</v>
      </c>
      <c r="F3691" s="85">
        <v>27445.24</v>
      </c>
      <c r="G3691" s="85">
        <v>14768.04</v>
      </c>
    </row>
    <row r="3692" spans="1:7" x14ac:dyDescent="0.3">
      <c r="A3692" s="84">
        <v>2026</v>
      </c>
      <c r="B3692" s="84" t="s">
        <v>398</v>
      </c>
      <c r="C3692" s="84">
        <v>4</v>
      </c>
      <c r="D3692" s="84">
        <v>1</v>
      </c>
      <c r="E3692" s="85">
        <v>12971.34</v>
      </c>
      <c r="F3692" s="85">
        <v>12087.8</v>
      </c>
      <c r="G3692" s="85">
        <v>-883.54</v>
      </c>
    </row>
    <row r="3693" spans="1:7" x14ac:dyDescent="0.3">
      <c r="A3693" s="84">
        <v>2026</v>
      </c>
      <c r="B3693" s="84" t="s">
        <v>398</v>
      </c>
      <c r="C3693" s="84">
        <v>4</v>
      </c>
      <c r="D3693" s="84">
        <v>2</v>
      </c>
      <c r="E3693" s="85">
        <v>12971.34</v>
      </c>
      <c r="F3693" s="85">
        <v>12382.22</v>
      </c>
      <c r="G3693" s="85">
        <v>-589.12</v>
      </c>
    </row>
    <row r="3694" spans="1:7" x14ac:dyDescent="0.3">
      <c r="A3694" s="84">
        <v>2026</v>
      </c>
      <c r="B3694" s="84" t="s">
        <v>398</v>
      </c>
      <c r="C3694" s="84">
        <v>4</v>
      </c>
      <c r="D3694" s="84">
        <v>3</v>
      </c>
      <c r="E3694" s="85">
        <v>12971.34</v>
      </c>
      <c r="F3694" s="85">
        <v>12677.2</v>
      </c>
      <c r="G3694" s="85">
        <v>-294.14</v>
      </c>
    </row>
    <row r="3695" spans="1:7" x14ac:dyDescent="0.3">
      <c r="A3695" s="84">
        <v>2026</v>
      </c>
      <c r="B3695" s="84" t="s">
        <v>398</v>
      </c>
      <c r="C3695" s="84">
        <v>4</v>
      </c>
      <c r="D3695" s="84">
        <v>4</v>
      </c>
      <c r="E3695" s="85">
        <v>12971.34</v>
      </c>
      <c r="F3695" s="85">
        <v>12971.34</v>
      </c>
      <c r="G3695" s="85">
        <v>0</v>
      </c>
    </row>
    <row r="3696" spans="1:7" x14ac:dyDescent="0.3">
      <c r="A3696" s="84">
        <v>2026</v>
      </c>
      <c r="B3696" s="84" t="s">
        <v>398</v>
      </c>
      <c r="C3696" s="84">
        <v>4</v>
      </c>
      <c r="D3696" s="84">
        <v>5</v>
      </c>
      <c r="E3696" s="85">
        <v>12971.34</v>
      </c>
      <c r="F3696" s="85">
        <v>13266.04</v>
      </c>
      <c r="G3696" s="85">
        <v>294.7</v>
      </c>
    </row>
    <row r="3697" spans="1:7" x14ac:dyDescent="0.3">
      <c r="A3697" s="84">
        <v>2026</v>
      </c>
      <c r="B3697" s="84" t="s">
        <v>398</v>
      </c>
      <c r="C3697" s="84">
        <v>4</v>
      </c>
      <c r="D3697" s="84">
        <v>6</v>
      </c>
      <c r="E3697" s="85">
        <v>12971.34</v>
      </c>
      <c r="F3697" s="85">
        <v>13462.74</v>
      </c>
      <c r="G3697" s="85">
        <v>491.4</v>
      </c>
    </row>
    <row r="3698" spans="1:7" x14ac:dyDescent="0.3">
      <c r="A3698" s="84">
        <v>2026</v>
      </c>
      <c r="B3698" s="84" t="s">
        <v>398</v>
      </c>
      <c r="C3698" s="84">
        <v>4</v>
      </c>
      <c r="D3698" s="84">
        <v>7</v>
      </c>
      <c r="E3698" s="85">
        <v>12971.34</v>
      </c>
      <c r="F3698" s="85">
        <v>13659.44</v>
      </c>
      <c r="G3698" s="85">
        <v>688.1</v>
      </c>
    </row>
    <row r="3699" spans="1:7" x14ac:dyDescent="0.3">
      <c r="A3699" s="84">
        <v>2026</v>
      </c>
      <c r="B3699" s="84" t="s">
        <v>398</v>
      </c>
      <c r="C3699" s="84">
        <v>4</v>
      </c>
      <c r="D3699" s="84">
        <v>8</v>
      </c>
      <c r="E3699" s="85">
        <v>12971.34</v>
      </c>
      <c r="F3699" s="85">
        <v>13855.72</v>
      </c>
      <c r="G3699" s="85">
        <v>884.38</v>
      </c>
    </row>
    <row r="3700" spans="1:7" x14ac:dyDescent="0.3">
      <c r="A3700" s="84">
        <v>2026</v>
      </c>
      <c r="B3700" s="84" t="s">
        <v>398</v>
      </c>
      <c r="C3700" s="84">
        <v>4</v>
      </c>
      <c r="D3700" s="84">
        <v>9</v>
      </c>
      <c r="E3700" s="85">
        <v>12971.34</v>
      </c>
      <c r="F3700" s="85">
        <v>14052.84</v>
      </c>
      <c r="G3700" s="85">
        <v>1081.5</v>
      </c>
    </row>
    <row r="3701" spans="1:7" x14ac:dyDescent="0.3">
      <c r="A3701" s="84">
        <v>2026</v>
      </c>
      <c r="B3701" s="84" t="s">
        <v>398</v>
      </c>
      <c r="C3701" s="84">
        <v>4</v>
      </c>
      <c r="D3701" s="84">
        <v>10</v>
      </c>
      <c r="E3701" s="85">
        <v>12971.34</v>
      </c>
      <c r="F3701" s="85">
        <v>14249.26</v>
      </c>
      <c r="G3701" s="85">
        <v>1277.92</v>
      </c>
    </row>
    <row r="3702" spans="1:7" x14ac:dyDescent="0.3">
      <c r="A3702" s="84">
        <v>2026</v>
      </c>
      <c r="B3702" s="84" t="s">
        <v>398</v>
      </c>
      <c r="C3702" s="84">
        <v>4</v>
      </c>
      <c r="D3702" s="84">
        <v>11</v>
      </c>
      <c r="E3702" s="85">
        <v>12971.34</v>
      </c>
      <c r="F3702" s="85">
        <v>14641.82</v>
      </c>
      <c r="G3702" s="85">
        <v>1670.48</v>
      </c>
    </row>
    <row r="3703" spans="1:7" x14ac:dyDescent="0.3">
      <c r="A3703" s="84">
        <v>2026</v>
      </c>
      <c r="B3703" s="84" t="s">
        <v>398</v>
      </c>
      <c r="C3703" s="84">
        <v>4</v>
      </c>
      <c r="D3703" s="84">
        <v>12</v>
      </c>
      <c r="E3703" s="85">
        <v>12971.34</v>
      </c>
      <c r="F3703" s="85">
        <v>15035.36</v>
      </c>
      <c r="G3703" s="85">
        <v>2064.02</v>
      </c>
    </row>
    <row r="3704" spans="1:7" x14ac:dyDescent="0.3">
      <c r="A3704" s="84">
        <v>2026</v>
      </c>
      <c r="B3704" s="84" t="s">
        <v>398</v>
      </c>
      <c r="C3704" s="84">
        <v>4</v>
      </c>
      <c r="D3704" s="84">
        <v>13</v>
      </c>
      <c r="E3704" s="85">
        <v>12971.34</v>
      </c>
      <c r="F3704" s="85">
        <v>15428.62</v>
      </c>
      <c r="G3704" s="85">
        <v>2457.2800000000002</v>
      </c>
    </row>
    <row r="3705" spans="1:7" x14ac:dyDescent="0.3">
      <c r="A3705" s="84">
        <v>2026</v>
      </c>
      <c r="B3705" s="84" t="s">
        <v>398</v>
      </c>
      <c r="C3705" s="84">
        <v>4</v>
      </c>
      <c r="D3705" s="84">
        <v>14</v>
      </c>
      <c r="E3705" s="85">
        <v>12971.34</v>
      </c>
      <c r="F3705" s="85">
        <v>15822.44</v>
      </c>
      <c r="G3705" s="85">
        <v>2851.1</v>
      </c>
    </row>
    <row r="3706" spans="1:7" x14ac:dyDescent="0.3">
      <c r="A3706" s="84">
        <v>2026</v>
      </c>
      <c r="B3706" s="84" t="s">
        <v>398</v>
      </c>
      <c r="C3706" s="84">
        <v>4</v>
      </c>
      <c r="D3706" s="84">
        <v>15</v>
      </c>
      <c r="E3706" s="85">
        <v>12971.34</v>
      </c>
      <c r="F3706" s="85">
        <v>16214.72</v>
      </c>
      <c r="G3706" s="85">
        <v>3243.38</v>
      </c>
    </row>
    <row r="3707" spans="1:7" x14ac:dyDescent="0.3">
      <c r="A3707" s="84">
        <v>2026</v>
      </c>
      <c r="B3707" s="84" t="s">
        <v>398</v>
      </c>
      <c r="C3707" s="84">
        <v>4</v>
      </c>
      <c r="D3707" s="84">
        <v>16</v>
      </c>
      <c r="E3707" s="85">
        <v>12971.34</v>
      </c>
      <c r="F3707" s="85">
        <v>16608.68</v>
      </c>
      <c r="G3707" s="85">
        <v>3637.34</v>
      </c>
    </row>
    <row r="3708" spans="1:7" x14ac:dyDescent="0.3">
      <c r="A3708" s="84">
        <v>2026</v>
      </c>
      <c r="B3708" s="84" t="s">
        <v>398</v>
      </c>
      <c r="C3708" s="84">
        <v>4</v>
      </c>
      <c r="D3708" s="84">
        <v>17</v>
      </c>
      <c r="E3708" s="85">
        <v>12971.34</v>
      </c>
      <c r="F3708" s="85">
        <v>17000.96</v>
      </c>
      <c r="G3708" s="85">
        <v>4029.62</v>
      </c>
    </row>
    <row r="3709" spans="1:7" x14ac:dyDescent="0.3">
      <c r="A3709" s="84">
        <v>2026</v>
      </c>
      <c r="B3709" s="84" t="s">
        <v>398</v>
      </c>
      <c r="C3709" s="84">
        <v>4</v>
      </c>
      <c r="D3709" s="84">
        <v>18</v>
      </c>
      <c r="E3709" s="85">
        <v>12971.34</v>
      </c>
      <c r="F3709" s="85">
        <v>17394.5</v>
      </c>
      <c r="G3709" s="85">
        <v>4423.16</v>
      </c>
    </row>
    <row r="3710" spans="1:7" x14ac:dyDescent="0.3">
      <c r="A3710" s="84">
        <v>2026</v>
      </c>
      <c r="B3710" s="84" t="s">
        <v>398</v>
      </c>
      <c r="C3710" s="84">
        <v>4</v>
      </c>
      <c r="D3710" s="84">
        <v>19</v>
      </c>
      <c r="E3710" s="85">
        <v>12971.34</v>
      </c>
      <c r="F3710" s="85">
        <v>17787.62</v>
      </c>
      <c r="G3710" s="85">
        <v>4816.28</v>
      </c>
    </row>
    <row r="3711" spans="1:7" x14ac:dyDescent="0.3">
      <c r="A3711" s="84">
        <v>2026</v>
      </c>
      <c r="B3711" s="84" t="s">
        <v>398</v>
      </c>
      <c r="C3711" s="84">
        <v>4</v>
      </c>
      <c r="D3711" s="84">
        <v>20</v>
      </c>
      <c r="E3711" s="85">
        <v>12971.34</v>
      </c>
      <c r="F3711" s="85">
        <v>18180.599999999999</v>
      </c>
      <c r="G3711" s="85">
        <v>5209.26</v>
      </c>
    </row>
    <row r="3712" spans="1:7" x14ac:dyDescent="0.3">
      <c r="A3712" s="84">
        <v>2026</v>
      </c>
      <c r="B3712" s="84" t="s">
        <v>398</v>
      </c>
      <c r="C3712" s="84">
        <v>4</v>
      </c>
      <c r="D3712" s="84">
        <v>21</v>
      </c>
      <c r="E3712" s="85">
        <v>12971.34</v>
      </c>
      <c r="F3712" s="85">
        <v>18770</v>
      </c>
      <c r="G3712" s="85">
        <v>5798.66</v>
      </c>
    </row>
    <row r="3713" spans="1:7" x14ac:dyDescent="0.3">
      <c r="A3713" s="84">
        <v>2026</v>
      </c>
      <c r="B3713" s="84" t="s">
        <v>398</v>
      </c>
      <c r="C3713" s="84">
        <v>4</v>
      </c>
      <c r="D3713" s="84">
        <v>22</v>
      </c>
      <c r="E3713" s="85">
        <v>12971.34</v>
      </c>
      <c r="F3713" s="85">
        <v>19408.68</v>
      </c>
      <c r="G3713" s="85">
        <v>6437.34</v>
      </c>
    </row>
    <row r="3714" spans="1:7" x14ac:dyDescent="0.3">
      <c r="A3714" s="84">
        <v>2026</v>
      </c>
      <c r="B3714" s="84" t="s">
        <v>398</v>
      </c>
      <c r="C3714" s="84">
        <v>4</v>
      </c>
      <c r="D3714" s="84">
        <v>23</v>
      </c>
      <c r="E3714" s="85">
        <v>12971.34</v>
      </c>
      <c r="F3714" s="85">
        <v>20049.18</v>
      </c>
      <c r="G3714" s="85">
        <v>7077.84</v>
      </c>
    </row>
    <row r="3715" spans="1:7" x14ac:dyDescent="0.3">
      <c r="A3715" s="84">
        <v>2026</v>
      </c>
      <c r="B3715" s="84" t="s">
        <v>398</v>
      </c>
      <c r="C3715" s="84">
        <v>4</v>
      </c>
      <c r="D3715" s="84">
        <v>24</v>
      </c>
      <c r="E3715" s="85">
        <v>12971.34</v>
      </c>
      <c r="F3715" s="85">
        <v>20688.419999999998</v>
      </c>
      <c r="G3715" s="85">
        <v>7717.08</v>
      </c>
    </row>
    <row r="3716" spans="1:7" x14ac:dyDescent="0.3">
      <c r="A3716" s="84">
        <v>2026</v>
      </c>
      <c r="B3716" s="84" t="s">
        <v>398</v>
      </c>
      <c r="C3716" s="84">
        <v>4</v>
      </c>
      <c r="D3716" s="84">
        <v>25</v>
      </c>
      <c r="E3716" s="85">
        <v>12971.34</v>
      </c>
      <c r="F3716" s="85">
        <v>21328.5</v>
      </c>
      <c r="G3716" s="85">
        <v>8357.16</v>
      </c>
    </row>
    <row r="3717" spans="1:7" x14ac:dyDescent="0.3">
      <c r="A3717" s="84">
        <v>2026</v>
      </c>
      <c r="B3717" s="84" t="s">
        <v>398</v>
      </c>
      <c r="C3717" s="84">
        <v>4</v>
      </c>
      <c r="D3717" s="84">
        <v>26</v>
      </c>
      <c r="E3717" s="85">
        <v>12971.34</v>
      </c>
      <c r="F3717" s="85">
        <v>22707.78</v>
      </c>
      <c r="G3717" s="85">
        <v>9736.44</v>
      </c>
    </row>
    <row r="3718" spans="1:7" x14ac:dyDescent="0.3">
      <c r="A3718" s="84">
        <v>2026</v>
      </c>
      <c r="B3718" s="84" t="s">
        <v>398</v>
      </c>
      <c r="C3718" s="84">
        <v>4</v>
      </c>
      <c r="D3718" s="84">
        <v>27</v>
      </c>
      <c r="E3718" s="85">
        <v>12971.34</v>
      </c>
      <c r="F3718" s="85">
        <v>24417.040000000001</v>
      </c>
      <c r="G3718" s="85">
        <v>11445.7</v>
      </c>
    </row>
    <row r="3719" spans="1:7" x14ac:dyDescent="0.3">
      <c r="A3719" s="84">
        <v>2026</v>
      </c>
      <c r="B3719" s="84" t="s">
        <v>398</v>
      </c>
      <c r="C3719" s="84">
        <v>4</v>
      </c>
      <c r="D3719" s="84">
        <v>28</v>
      </c>
      <c r="E3719" s="85">
        <v>12971.34</v>
      </c>
      <c r="F3719" s="85">
        <v>25057.54</v>
      </c>
      <c r="G3719" s="85">
        <v>12086.2</v>
      </c>
    </row>
    <row r="3720" spans="1:7" x14ac:dyDescent="0.3">
      <c r="A3720" s="84">
        <v>2026</v>
      </c>
      <c r="B3720" s="84" t="s">
        <v>398</v>
      </c>
      <c r="C3720" s="84">
        <v>4</v>
      </c>
      <c r="D3720" s="84">
        <v>29</v>
      </c>
      <c r="E3720" s="85">
        <v>12971.34</v>
      </c>
      <c r="F3720" s="85">
        <v>25696.92</v>
      </c>
      <c r="G3720" s="85">
        <v>12725.58</v>
      </c>
    </row>
    <row r="3721" spans="1:7" x14ac:dyDescent="0.3">
      <c r="A3721" s="84">
        <v>2026</v>
      </c>
      <c r="B3721" s="84" t="s">
        <v>398</v>
      </c>
      <c r="C3721" s="84">
        <v>4</v>
      </c>
      <c r="D3721" s="84">
        <v>30</v>
      </c>
      <c r="E3721" s="85">
        <v>12971.34</v>
      </c>
      <c r="F3721" s="85">
        <v>27445.24</v>
      </c>
      <c r="G3721" s="85">
        <v>14473.9</v>
      </c>
    </row>
    <row r="3722" spans="1:7" x14ac:dyDescent="0.3">
      <c r="A3722" s="84">
        <v>2026</v>
      </c>
      <c r="B3722" s="84" t="s">
        <v>398</v>
      </c>
      <c r="C3722" s="84">
        <v>5</v>
      </c>
      <c r="D3722" s="84">
        <v>1</v>
      </c>
      <c r="E3722" s="85">
        <v>13266.04</v>
      </c>
      <c r="F3722" s="85">
        <v>12087.8</v>
      </c>
      <c r="G3722" s="85">
        <v>-1178.24</v>
      </c>
    </row>
    <row r="3723" spans="1:7" x14ac:dyDescent="0.3">
      <c r="A3723" s="84">
        <v>2026</v>
      </c>
      <c r="B3723" s="84" t="s">
        <v>398</v>
      </c>
      <c r="C3723" s="84">
        <v>5</v>
      </c>
      <c r="D3723" s="84">
        <v>2</v>
      </c>
      <c r="E3723" s="85">
        <v>13266.04</v>
      </c>
      <c r="F3723" s="85">
        <v>12382.22</v>
      </c>
      <c r="G3723" s="85">
        <v>-883.82</v>
      </c>
    </row>
    <row r="3724" spans="1:7" x14ac:dyDescent="0.3">
      <c r="A3724" s="84">
        <v>2026</v>
      </c>
      <c r="B3724" s="84" t="s">
        <v>398</v>
      </c>
      <c r="C3724" s="84">
        <v>5</v>
      </c>
      <c r="D3724" s="84">
        <v>3</v>
      </c>
      <c r="E3724" s="85">
        <v>13266.04</v>
      </c>
      <c r="F3724" s="85">
        <v>12677.2</v>
      </c>
      <c r="G3724" s="85">
        <v>-588.84</v>
      </c>
    </row>
    <row r="3725" spans="1:7" x14ac:dyDescent="0.3">
      <c r="A3725" s="84">
        <v>2026</v>
      </c>
      <c r="B3725" s="84" t="s">
        <v>398</v>
      </c>
      <c r="C3725" s="84">
        <v>5</v>
      </c>
      <c r="D3725" s="84">
        <v>4</v>
      </c>
      <c r="E3725" s="85">
        <v>13266.04</v>
      </c>
      <c r="F3725" s="85">
        <v>12971.34</v>
      </c>
      <c r="G3725" s="85">
        <v>-294.7</v>
      </c>
    </row>
    <row r="3726" spans="1:7" x14ac:dyDescent="0.3">
      <c r="A3726" s="84">
        <v>2026</v>
      </c>
      <c r="B3726" s="84" t="s">
        <v>398</v>
      </c>
      <c r="C3726" s="84">
        <v>5</v>
      </c>
      <c r="D3726" s="84">
        <v>5</v>
      </c>
      <c r="E3726" s="85">
        <v>13266.04</v>
      </c>
      <c r="F3726" s="85">
        <v>13266.04</v>
      </c>
      <c r="G3726" s="85">
        <v>0</v>
      </c>
    </row>
    <row r="3727" spans="1:7" x14ac:dyDescent="0.3">
      <c r="A3727" s="84">
        <v>2026</v>
      </c>
      <c r="B3727" s="84" t="s">
        <v>398</v>
      </c>
      <c r="C3727" s="84">
        <v>5</v>
      </c>
      <c r="D3727" s="84">
        <v>6</v>
      </c>
      <c r="E3727" s="85">
        <v>13266.04</v>
      </c>
      <c r="F3727" s="85">
        <v>13462.74</v>
      </c>
      <c r="G3727" s="85">
        <v>196.7</v>
      </c>
    </row>
    <row r="3728" spans="1:7" x14ac:dyDescent="0.3">
      <c r="A3728" s="84">
        <v>2026</v>
      </c>
      <c r="B3728" s="84" t="s">
        <v>398</v>
      </c>
      <c r="C3728" s="84">
        <v>5</v>
      </c>
      <c r="D3728" s="84">
        <v>7</v>
      </c>
      <c r="E3728" s="85">
        <v>13266.04</v>
      </c>
      <c r="F3728" s="85">
        <v>13659.44</v>
      </c>
      <c r="G3728" s="85">
        <v>393.4</v>
      </c>
    </row>
    <row r="3729" spans="1:7" x14ac:dyDescent="0.3">
      <c r="A3729" s="84">
        <v>2026</v>
      </c>
      <c r="B3729" s="84" t="s">
        <v>398</v>
      </c>
      <c r="C3729" s="84">
        <v>5</v>
      </c>
      <c r="D3729" s="84">
        <v>8</v>
      </c>
      <c r="E3729" s="85">
        <v>13266.04</v>
      </c>
      <c r="F3729" s="85">
        <v>13855.72</v>
      </c>
      <c r="G3729" s="85">
        <v>589.67999999999995</v>
      </c>
    </row>
    <row r="3730" spans="1:7" x14ac:dyDescent="0.3">
      <c r="A3730" s="84">
        <v>2026</v>
      </c>
      <c r="B3730" s="84" t="s">
        <v>398</v>
      </c>
      <c r="C3730" s="84">
        <v>5</v>
      </c>
      <c r="D3730" s="84">
        <v>9</v>
      </c>
      <c r="E3730" s="85">
        <v>13266.04</v>
      </c>
      <c r="F3730" s="85">
        <v>14052.84</v>
      </c>
      <c r="G3730" s="85">
        <v>786.8</v>
      </c>
    </row>
    <row r="3731" spans="1:7" x14ac:dyDescent="0.3">
      <c r="A3731" s="84">
        <v>2026</v>
      </c>
      <c r="B3731" s="84" t="s">
        <v>398</v>
      </c>
      <c r="C3731" s="84">
        <v>5</v>
      </c>
      <c r="D3731" s="84">
        <v>10</v>
      </c>
      <c r="E3731" s="85">
        <v>13266.04</v>
      </c>
      <c r="F3731" s="85">
        <v>14249.26</v>
      </c>
      <c r="G3731" s="85">
        <v>983.22</v>
      </c>
    </row>
    <row r="3732" spans="1:7" x14ac:dyDescent="0.3">
      <c r="A3732" s="84">
        <v>2026</v>
      </c>
      <c r="B3732" s="84" t="s">
        <v>398</v>
      </c>
      <c r="C3732" s="84">
        <v>5</v>
      </c>
      <c r="D3732" s="84">
        <v>11</v>
      </c>
      <c r="E3732" s="85">
        <v>13266.04</v>
      </c>
      <c r="F3732" s="85">
        <v>14641.82</v>
      </c>
      <c r="G3732" s="85">
        <v>1375.78</v>
      </c>
    </row>
    <row r="3733" spans="1:7" x14ac:dyDescent="0.3">
      <c r="A3733" s="84">
        <v>2026</v>
      </c>
      <c r="B3733" s="84" t="s">
        <v>398</v>
      </c>
      <c r="C3733" s="84">
        <v>5</v>
      </c>
      <c r="D3733" s="84">
        <v>12</v>
      </c>
      <c r="E3733" s="85">
        <v>13266.04</v>
      </c>
      <c r="F3733" s="85">
        <v>15035.36</v>
      </c>
      <c r="G3733" s="85">
        <v>1769.32</v>
      </c>
    </row>
    <row r="3734" spans="1:7" x14ac:dyDescent="0.3">
      <c r="A3734" s="84">
        <v>2026</v>
      </c>
      <c r="B3734" s="84" t="s">
        <v>398</v>
      </c>
      <c r="C3734" s="84">
        <v>5</v>
      </c>
      <c r="D3734" s="84">
        <v>13</v>
      </c>
      <c r="E3734" s="85">
        <v>13266.04</v>
      </c>
      <c r="F3734" s="85">
        <v>15428.62</v>
      </c>
      <c r="G3734" s="85">
        <v>2162.58</v>
      </c>
    </row>
    <row r="3735" spans="1:7" x14ac:dyDescent="0.3">
      <c r="A3735" s="84">
        <v>2026</v>
      </c>
      <c r="B3735" s="84" t="s">
        <v>398</v>
      </c>
      <c r="C3735" s="84">
        <v>5</v>
      </c>
      <c r="D3735" s="84">
        <v>14</v>
      </c>
      <c r="E3735" s="85">
        <v>13266.04</v>
      </c>
      <c r="F3735" s="85">
        <v>15822.44</v>
      </c>
      <c r="G3735" s="85">
        <v>2556.4</v>
      </c>
    </row>
    <row r="3736" spans="1:7" x14ac:dyDescent="0.3">
      <c r="A3736" s="84">
        <v>2026</v>
      </c>
      <c r="B3736" s="84" t="s">
        <v>398</v>
      </c>
      <c r="C3736" s="84">
        <v>5</v>
      </c>
      <c r="D3736" s="84">
        <v>15</v>
      </c>
      <c r="E3736" s="85">
        <v>13266.04</v>
      </c>
      <c r="F3736" s="85">
        <v>16214.72</v>
      </c>
      <c r="G3736" s="85">
        <v>2948.68</v>
      </c>
    </row>
    <row r="3737" spans="1:7" x14ac:dyDescent="0.3">
      <c r="A3737" s="84">
        <v>2026</v>
      </c>
      <c r="B3737" s="84" t="s">
        <v>398</v>
      </c>
      <c r="C3737" s="84">
        <v>5</v>
      </c>
      <c r="D3737" s="84">
        <v>16</v>
      </c>
      <c r="E3737" s="85">
        <v>13266.04</v>
      </c>
      <c r="F3737" s="85">
        <v>16608.68</v>
      </c>
      <c r="G3737" s="85">
        <v>3342.64</v>
      </c>
    </row>
    <row r="3738" spans="1:7" x14ac:dyDescent="0.3">
      <c r="A3738" s="84">
        <v>2026</v>
      </c>
      <c r="B3738" s="84" t="s">
        <v>398</v>
      </c>
      <c r="C3738" s="84">
        <v>5</v>
      </c>
      <c r="D3738" s="84">
        <v>17</v>
      </c>
      <c r="E3738" s="85">
        <v>13266.04</v>
      </c>
      <c r="F3738" s="85">
        <v>17000.96</v>
      </c>
      <c r="G3738" s="85">
        <v>3734.92</v>
      </c>
    </row>
    <row r="3739" spans="1:7" x14ac:dyDescent="0.3">
      <c r="A3739" s="84">
        <v>2026</v>
      </c>
      <c r="B3739" s="84" t="s">
        <v>398</v>
      </c>
      <c r="C3739" s="84">
        <v>5</v>
      </c>
      <c r="D3739" s="84">
        <v>18</v>
      </c>
      <c r="E3739" s="85">
        <v>13266.04</v>
      </c>
      <c r="F3739" s="85">
        <v>17394.5</v>
      </c>
      <c r="G3739" s="85">
        <v>4128.46</v>
      </c>
    </row>
    <row r="3740" spans="1:7" x14ac:dyDescent="0.3">
      <c r="A3740" s="84">
        <v>2026</v>
      </c>
      <c r="B3740" s="84" t="s">
        <v>398</v>
      </c>
      <c r="C3740" s="84">
        <v>5</v>
      </c>
      <c r="D3740" s="84">
        <v>19</v>
      </c>
      <c r="E3740" s="85">
        <v>13266.04</v>
      </c>
      <c r="F3740" s="85">
        <v>17787.62</v>
      </c>
      <c r="G3740" s="85">
        <v>4521.58</v>
      </c>
    </row>
    <row r="3741" spans="1:7" x14ac:dyDescent="0.3">
      <c r="A3741" s="84">
        <v>2026</v>
      </c>
      <c r="B3741" s="84" t="s">
        <v>398</v>
      </c>
      <c r="C3741" s="84">
        <v>5</v>
      </c>
      <c r="D3741" s="84">
        <v>20</v>
      </c>
      <c r="E3741" s="85">
        <v>13266.04</v>
      </c>
      <c r="F3741" s="85">
        <v>18180.599999999999</v>
      </c>
      <c r="G3741" s="85">
        <v>4914.5600000000004</v>
      </c>
    </row>
    <row r="3742" spans="1:7" x14ac:dyDescent="0.3">
      <c r="A3742" s="84">
        <v>2026</v>
      </c>
      <c r="B3742" s="84" t="s">
        <v>398</v>
      </c>
      <c r="C3742" s="84">
        <v>5</v>
      </c>
      <c r="D3742" s="84">
        <v>21</v>
      </c>
      <c r="E3742" s="85">
        <v>13266.04</v>
      </c>
      <c r="F3742" s="85">
        <v>18770</v>
      </c>
      <c r="G3742" s="85">
        <v>5503.96</v>
      </c>
    </row>
    <row r="3743" spans="1:7" x14ac:dyDescent="0.3">
      <c r="A3743" s="84">
        <v>2026</v>
      </c>
      <c r="B3743" s="84" t="s">
        <v>398</v>
      </c>
      <c r="C3743" s="84">
        <v>5</v>
      </c>
      <c r="D3743" s="84">
        <v>22</v>
      </c>
      <c r="E3743" s="85">
        <v>13266.04</v>
      </c>
      <c r="F3743" s="85">
        <v>19408.68</v>
      </c>
      <c r="G3743" s="85">
        <v>6142.64</v>
      </c>
    </row>
    <row r="3744" spans="1:7" x14ac:dyDescent="0.3">
      <c r="A3744" s="84">
        <v>2026</v>
      </c>
      <c r="B3744" s="84" t="s">
        <v>398</v>
      </c>
      <c r="C3744" s="84">
        <v>5</v>
      </c>
      <c r="D3744" s="84">
        <v>23</v>
      </c>
      <c r="E3744" s="85">
        <v>13266.04</v>
      </c>
      <c r="F3744" s="85">
        <v>20049.18</v>
      </c>
      <c r="G3744" s="85">
        <v>6783.14</v>
      </c>
    </row>
    <row r="3745" spans="1:7" x14ac:dyDescent="0.3">
      <c r="A3745" s="84">
        <v>2026</v>
      </c>
      <c r="B3745" s="84" t="s">
        <v>398</v>
      </c>
      <c r="C3745" s="84">
        <v>5</v>
      </c>
      <c r="D3745" s="84">
        <v>24</v>
      </c>
      <c r="E3745" s="85">
        <v>13266.04</v>
      </c>
      <c r="F3745" s="85">
        <v>20688.419999999998</v>
      </c>
      <c r="G3745" s="85">
        <v>7422.38</v>
      </c>
    </row>
    <row r="3746" spans="1:7" x14ac:dyDescent="0.3">
      <c r="A3746" s="84">
        <v>2026</v>
      </c>
      <c r="B3746" s="84" t="s">
        <v>398</v>
      </c>
      <c r="C3746" s="84">
        <v>5</v>
      </c>
      <c r="D3746" s="84">
        <v>25</v>
      </c>
      <c r="E3746" s="85">
        <v>13266.04</v>
      </c>
      <c r="F3746" s="85">
        <v>21328.5</v>
      </c>
      <c r="G3746" s="85">
        <v>8062.46</v>
      </c>
    </row>
    <row r="3747" spans="1:7" x14ac:dyDescent="0.3">
      <c r="A3747" s="84">
        <v>2026</v>
      </c>
      <c r="B3747" s="84" t="s">
        <v>398</v>
      </c>
      <c r="C3747" s="84">
        <v>5</v>
      </c>
      <c r="D3747" s="84">
        <v>26</v>
      </c>
      <c r="E3747" s="85">
        <v>13266.04</v>
      </c>
      <c r="F3747" s="85">
        <v>22707.78</v>
      </c>
      <c r="G3747" s="85">
        <v>9441.74</v>
      </c>
    </row>
    <row r="3748" spans="1:7" x14ac:dyDescent="0.3">
      <c r="A3748" s="84">
        <v>2026</v>
      </c>
      <c r="B3748" s="84" t="s">
        <v>398</v>
      </c>
      <c r="C3748" s="84">
        <v>5</v>
      </c>
      <c r="D3748" s="84">
        <v>27</v>
      </c>
      <c r="E3748" s="85">
        <v>13266.04</v>
      </c>
      <c r="F3748" s="85">
        <v>24417.040000000001</v>
      </c>
      <c r="G3748" s="85">
        <v>11151</v>
      </c>
    </row>
    <row r="3749" spans="1:7" x14ac:dyDescent="0.3">
      <c r="A3749" s="84">
        <v>2026</v>
      </c>
      <c r="B3749" s="84" t="s">
        <v>398</v>
      </c>
      <c r="C3749" s="84">
        <v>5</v>
      </c>
      <c r="D3749" s="84">
        <v>28</v>
      </c>
      <c r="E3749" s="85">
        <v>13266.04</v>
      </c>
      <c r="F3749" s="85">
        <v>25057.54</v>
      </c>
      <c r="G3749" s="85">
        <v>11791.5</v>
      </c>
    </row>
    <row r="3750" spans="1:7" x14ac:dyDescent="0.3">
      <c r="A3750" s="84">
        <v>2026</v>
      </c>
      <c r="B3750" s="84" t="s">
        <v>398</v>
      </c>
      <c r="C3750" s="84">
        <v>5</v>
      </c>
      <c r="D3750" s="84">
        <v>29</v>
      </c>
      <c r="E3750" s="85">
        <v>13266.04</v>
      </c>
      <c r="F3750" s="85">
        <v>25696.92</v>
      </c>
      <c r="G3750" s="85">
        <v>12430.88</v>
      </c>
    </row>
    <row r="3751" spans="1:7" x14ac:dyDescent="0.3">
      <c r="A3751" s="84">
        <v>2026</v>
      </c>
      <c r="B3751" s="84" t="s">
        <v>398</v>
      </c>
      <c r="C3751" s="84">
        <v>5</v>
      </c>
      <c r="D3751" s="84">
        <v>30</v>
      </c>
      <c r="E3751" s="85">
        <v>13266.04</v>
      </c>
      <c r="F3751" s="85">
        <v>27445.24</v>
      </c>
      <c r="G3751" s="85">
        <v>14179.2</v>
      </c>
    </row>
    <row r="3752" spans="1:7" x14ac:dyDescent="0.3">
      <c r="A3752" s="84">
        <v>2026</v>
      </c>
      <c r="B3752" s="84" t="s">
        <v>398</v>
      </c>
      <c r="C3752" s="84">
        <v>6</v>
      </c>
      <c r="D3752" s="84">
        <v>1</v>
      </c>
      <c r="E3752" s="85">
        <v>13462.74</v>
      </c>
      <c r="F3752" s="85">
        <v>12087.8</v>
      </c>
      <c r="G3752" s="85">
        <v>-1374.94</v>
      </c>
    </row>
    <row r="3753" spans="1:7" x14ac:dyDescent="0.3">
      <c r="A3753" s="84">
        <v>2026</v>
      </c>
      <c r="B3753" s="84" t="s">
        <v>398</v>
      </c>
      <c r="C3753" s="84">
        <v>6</v>
      </c>
      <c r="D3753" s="84">
        <v>2</v>
      </c>
      <c r="E3753" s="85">
        <v>13462.74</v>
      </c>
      <c r="F3753" s="85">
        <v>12382.22</v>
      </c>
      <c r="G3753" s="85">
        <v>-1080.52</v>
      </c>
    </row>
    <row r="3754" spans="1:7" x14ac:dyDescent="0.3">
      <c r="A3754" s="84">
        <v>2026</v>
      </c>
      <c r="B3754" s="84" t="s">
        <v>398</v>
      </c>
      <c r="C3754" s="84">
        <v>6</v>
      </c>
      <c r="D3754" s="84">
        <v>3</v>
      </c>
      <c r="E3754" s="85">
        <v>13462.74</v>
      </c>
      <c r="F3754" s="85">
        <v>12677.2</v>
      </c>
      <c r="G3754" s="85">
        <v>-785.54</v>
      </c>
    </row>
    <row r="3755" spans="1:7" x14ac:dyDescent="0.3">
      <c r="A3755" s="84">
        <v>2026</v>
      </c>
      <c r="B3755" s="84" t="s">
        <v>398</v>
      </c>
      <c r="C3755" s="84">
        <v>6</v>
      </c>
      <c r="D3755" s="84">
        <v>4</v>
      </c>
      <c r="E3755" s="85">
        <v>13462.74</v>
      </c>
      <c r="F3755" s="85">
        <v>12971.34</v>
      </c>
      <c r="G3755" s="85">
        <v>-491.4</v>
      </c>
    </row>
    <row r="3756" spans="1:7" x14ac:dyDescent="0.3">
      <c r="A3756" s="84">
        <v>2026</v>
      </c>
      <c r="B3756" s="84" t="s">
        <v>398</v>
      </c>
      <c r="C3756" s="84">
        <v>6</v>
      </c>
      <c r="D3756" s="84">
        <v>5</v>
      </c>
      <c r="E3756" s="85">
        <v>13462.74</v>
      </c>
      <c r="F3756" s="85">
        <v>13266.04</v>
      </c>
      <c r="G3756" s="85">
        <v>-196.7</v>
      </c>
    </row>
    <row r="3757" spans="1:7" x14ac:dyDescent="0.3">
      <c r="A3757" s="84">
        <v>2026</v>
      </c>
      <c r="B3757" s="84" t="s">
        <v>398</v>
      </c>
      <c r="C3757" s="84">
        <v>6</v>
      </c>
      <c r="D3757" s="84">
        <v>6</v>
      </c>
      <c r="E3757" s="85">
        <v>13462.74</v>
      </c>
      <c r="F3757" s="85">
        <v>13462.74</v>
      </c>
      <c r="G3757" s="85">
        <v>0</v>
      </c>
    </row>
    <row r="3758" spans="1:7" x14ac:dyDescent="0.3">
      <c r="A3758" s="84">
        <v>2026</v>
      </c>
      <c r="B3758" s="84" t="s">
        <v>398</v>
      </c>
      <c r="C3758" s="84">
        <v>6</v>
      </c>
      <c r="D3758" s="84">
        <v>7</v>
      </c>
      <c r="E3758" s="85">
        <v>13462.74</v>
      </c>
      <c r="F3758" s="85">
        <v>13659.44</v>
      </c>
      <c r="G3758" s="85">
        <v>196.7</v>
      </c>
    </row>
    <row r="3759" spans="1:7" x14ac:dyDescent="0.3">
      <c r="A3759" s="84">
        <v>2026</v>
      </c>
      <c r="B3759" s="84" t="s">
        <v>398</v>
      </c>
      <c r="C3759" s="84">
        <v>6</v>
      </c>
      <c r="D3759" s="84">
        <v>8</v>
      </c>
      <c r="E3759" s="85">
        <v>13462.74</v>
      </c>
      <c r="F3759" s="85">
        <v>13855.72</v>
      </c>
      <c r="G3759" s="85">
        <v>392.98</v>
      </c>
    </row>
    <row r="3760" spans="1:7" x14ac:dyDescent="0.3">
      <c r="A3760" s="84">
        <v>2026</v>
      </c>
      <c r="B3760" s="84" t="s">
        <v>398</v>
      </c>
      <c r="C3760" s="84">
        <v>6</v>
      </c>
      <c r="D3760" s="84">
        <v>9</v>
      </c>
      <c r="E3760" s="85">
        <v>13462.74</v>
      </c>
      <c r="F3760" s="85">
        <v>14052.84</v>
      </c>
      <c r="G3760" s="85">
        <v>590.1</v>
      </c>
    </row>
    <row r="3761" spans="1:7" x14ac:dyDescent="0.3">
      <c r="A3761" s="84">
        <v>2026</v>
      </c>
      <c r="B3761" s="84" t="s">
        <v>398</v>
      </c>
      <c r="C3761" s="84">
        <v>6</v>
      </c>
      <c r="D3761" s="84">
        <v>10</v>
      </c>
      <c r="E3761" s="85">
        <v>13462.74</v>
      </c>
      <c r="F3761" s="85">
        <v>14249.26</v>
      </c>
      <c r="G3761" s="85">
        <v>786.52</v>
      </c>
    </row>
    <row r="3762" spans="1:7" x14ac:dyDescent="0.3">
      <c r="A3762" s="84">
        <v>2026</v>
      </c>
      <c r="B3762" s="84" t="s">
        <v>398</v>
      </c>
      <c r="C3762" s="84">
        <v>6</v>
      </c>
      <c r="D3762" s="84">
        <v>11</v>
      </c>
      <c r="E3762" s="85">
        <v>13462.74</v>
      </c>
      <c r="F3762" s="85">
        <v>14641.82</v>
      </c>
      <c r="G3762" s="85">
        <v>1179.08</v>
      </c>
    </row>
    <row r="3763" spans="1:7" x14ac:dyDescent="0.3">
      <c r="A3763" s="84">
        <v>2026</v>
      </c>
      <c r="B3763" s="84" t="s">
        <v>398</v>
      </c>
      <c r="C3763" s="84">
        <v>6</v>
      </c>
      <c r="D3763" s="84">
        <v>12</v>
      </c>
      <c r="E3763" s="85">
        <v>13462.74</v>
      </c>
      <c r="F3763" s="85">
        <v>15035.36</v>
      </c>
      <c r="G3763" s="85">
        <v>1572.62</v>
      </c>
    </row>
    <row r="3764" spans="1:7" x14ac:dyDescent="0.3">
      <c r="A3764" s="84">
        <v>2026</v>
      </c>
      <c r="B3764" s="84" t="s">
        <v>398</v>
      </c>
      <c r="C3764" s="84">
        <v>6</v>
      </c>
      <c r="D3764" s="84">
        <v>13</v>
      </c>
      <c r="E3764" s="85">
        <v>13462.74</v>
      </c>
      <c r="F3764" s="85">
        <v>15428.62</v>
      </c>
      <c r="G3764" s="85">
        <v>1965.88</v>
      </c>
    </row>
    <row r="3765" spans="1:7" x14ac:dyDescent="0.3">
      <c r="A3765" s="84">
        <v>2026</v>
      </c>
      <c r="B3765" s="84" t="s">
        <v>398</v>
      </c>
      <c r="C3765" s="84">
        <v>6</v>
      </c>
      <c r="D3765" s="84">
        <v>14</v>
      </c>
      <c r="E3765" s="85">
        <v>13462.74</v>
      </c>
      <c r="F3765" s="85">
        <v>15822.44</v>
      </c>
      <c r="G3765" s="85">
        <v>2359.6999999999998</v>
      </c>
    </row>
    <row r="3766" spans="1:7" x14ac:dyDescent="0.3">
      <c r="A3766" s="84">
        <v>2026</v>
      </c>
      <c r="B3766" s="84" t="s">
        <v>398</v>
      </c>
      <c r="C3766" s="84">
        <v>6</v>
      </c>
      <c r="D3766" s="84">
        <v>15</v>
      </c>
      <c r="E3766" s="85">
        <v>13462.74</v>
      </c>
      <c r="F3766" s="85">
        <v>16214.72</v>
      </c>
      <c r="G3766" s="85">
        <v>2751.98</v>
      </c>
    </row>
    <row r="3767" spans="1:7" x14ac:dyDescent="0.3">
      <c r="A3767" s="84">
        <v>2026</v>
      </c>
      <c r="B3767" s="84" t="s">
        <v>398</v>
      </c>
      <c r="C3767" s="84">
        <v>6</v>
      </c>
      <c r="D3767" s="84">
        <v>16</v>
      </c>
      <c r="E3767" s="85">
        <v>13462.74</v>
      </c>
      <c r="F3767" s="85">
        <v>16608.68</v>
      </c>
      <c r="G3767" s="85">
        <v>3145.94</v>
      </c>
    </row>
    <row r="3768" spans="1:7" x14ac:dyDescent="0.3">
      <c r="A3768" s="84">
        <v>2026</v>
      </c>
      <c r="B3768" s="84" t="s">
        <v>398</v>
      </c>
      <c r="C3768" s="84">
        <v>6</v>
      </c>
      <c r="D3768" s="84">
        <v>17</v>
      </c>
      <c r="E3768" s="85">
        <v>13462.74</v>
      </c>
      <c r="F3768" s="85">
        <v>17000.96</v>
      </c>
      <c r="G3768" s="85">
        <v>3538.22</v>
      </c>
    </row>
    <row r="3769" spans="1:7" x14ac:dyDescent="0.3">
      <c r="A3769" s="84">
        <v>2026</v>
      </c>
      <c r="B3769" s="84" t="s">
        <v>398</v>
      </c>
      <c r="C3769" s="84">
        <v>6</v>
      </c>
      <c r="D3769" s="84">
        <v>18</v>
      </c>
      <c r="E3769" s="85">
        <v>13462.74</v>
      </c>
      <c r="F3769" s="85">
        <v>17394.5</v>
      </c>
      <c r="G3769" s="85">
        <v>3931.76</v>
      </c>
    </row>
    <row r="3770" spans="1:7" x14ac:dyDescent="0.3">
      <c r="A3770" s="84">
        <v>2026</v>
      </c>
      <c r="B3770" s="84" t="s">
        <v>398</v>
      </c>
      <c r="C3770" s="84">
        <v>6</v>
      </c>
      <c r="D3770" s="84">
        <v>19</v>
      </c>
      <c r="E3770" s="85">
        <v>13462.74</v>
      </c>
      <c r="F3770" s="85">
        <v>17787.62</v>
      </c>
      <c r="G3770" s="85">
        <v>4324.88</v>
      </c>
    </row>
    <row r="3771" spans="1:7" x14ac:dyDescent="0.3">
      <c r="A3771" s="84">
        <v>2026</v>
      </c>
      <c r="B3771" s="84" t="s">
        <v>398</v>
      </c>
      <c r="C3771" s="84">
        <v>6</v>
      </c>
      <c r="D3771" s="84">
        <v>20</v>
      </c>
      <c r="E3771" s="85">
        <v>13462.74</v>
      </c>
      <c r="F3771" s="85">
        <v>18180.599999999999</v>
      </c>
      <c r="G3771" s="85">
        <v>4717.8599999999997</v>
      </c>
    </row>
    <row r="3772" spans="1:7" x14ac:dyDescent="0.3">
      <c r="A3772" s="84">
        <v>2026</v>
      </c>
      <c r="B3772" s="84" t="s">
        <v>398</v>
      </c>
      <c r="C3772" s="84">
        <v>6</v>
      </c>
      <c r="D3772" s="84">
        <v>21</v>
      </c>
      <c r="E3772" s="85">
        <v>13462.74</v>
      </c>
      <c r="F3772" s="85">
        <v>18770</v>
      </c>
      <c r="G3772" s="85">
        <v>5307.26</v>
      </c>
    </row>
    <row r="3773" spans="1:7" x14ac:dyDescent="0.3">
      <c r="A3773" s="84">
        <v>2026</v>
      </c>
      <c r="B3773" s="84" t="s">
        <v>398</v>
      </c>
      <c r="C3773" s="84">
        <v>6</v>
      </c>
      <c r="D3773" s="84">
        <v>22</v>
      </c>
      <c r="E3773" s="85">
        <v>13462.74</v>
      </c>
      <c r="F3773" s="85">
        <v>19408.68</v>
      </c>
      <c r="G3773" s="85">
        <v>5945.94</v>
      </c>
    </row>
    <row r="3774" spans="1:7" x14ac:dyDescent="0.3">
      <c r="A3774" s="84">
        <v>2026</v>
      </c>
      <c r="B3774" s="84" t="s">
        <v>398</v>
      </c>
      <c r="C3774" s="84">
        <v>6</v>
      </c>
      <c r="D3774" s="84">
        <v>23</v>
      </c>
      <c r="E3774" s="85">
        <v>13462.74</v>
      </c>
      <c r="F3774" s="85">
        <v>20049.18</v>
      </c>
      <c r="G3774" s="85">
        <v>6586.44</v>
      </c>
    </row>
    <row r="3775" spans="1:7" x14ac:dyDescent="0.3">
      <c r="A3775" s="84">
        <v>2026</v>
      </c>
      <c r="B3775" s="84" t="s">
        <v>398</v>
      </c>
      <c r="C3775" s="84">
        <v>6</v>
      </c>
      <c r="D3775" s="84">
        <v>24</v>
      </c>
      <c r="E3775" s="85">
        <v>13462.74</v>
      </c>
      <c r="F3775" s="85">
        <v>20688.419999999998</v>
      </c>
      <c r="G3775" s="85">
        <v>7225.68</v>
      </c>
    </row>
    <row r="3776" spans="1:7" x14ac:dyDescent="0.3">
      <c r="A3776" s="84">
        <v>2026</v>
      </c>
      <c r="B3776" s="84" t="s">
        <v>398</v>
      </c>
      <c r="C3776" s="84">
        <v>6</v>
      </c>
      <c r="D3776" s="84">
        <v>25</v>
      </c>
      <c r="E3776" s="85">
        <v>13462.74</v>
      </c>
      <c r="F3776" s="85">
        <v>21328.5</v>
      </c>
      <c r="G3776" s="85">
        <v>7865.76</v>
      </c>
    </row>
    <row r="3777" spans="1:7" x14ac:dyDescent="0.3">
      <c r="A3777" s="84">
        <v>2026</v>
      </c>
      <c r="B3777" s="84" t="s">
        <v>398</v>
      </c>
      <c r="C3777" s="84">
        <v>6</v>
      </c>
      <c r="D3777" s="84">
        <v>26</v>
      </c>
      <c r="E3777" s="85">
        <v>13462.74</v>
      </c>
      <c r="F3777" s="85">
        <v>22707.78</v>
      </c>
      <c r="G3777" s="85">
        <v>9245.0400000000009</v>
      </c>
    </row>
    <row r="3778" spans="1:7" x14ac:dyDescent="0.3">
      <c r="A3778" s="84">
        <v>2026</v>
      </c>
      <c r="B3778" s="84" t="s">
        <v>398</v>
      </c>
      <c r="C3778" s="84">
        <v>6</v>
      </c>
      <c r="D3778" s="84">
        <v>27</v>
      </c>
      <c r="E3778" s="85">
        <v>13462.74</v>
      </c>
      <c r="F3778" s="85">
        <v>24417.040000000001</v>
      </c>
      <c r="G3778" s="85">
        <v>10954.3</v>
      </c>
    </row>
    <row r="3779" spans="1:7" x14ac:dyDescent="0.3">
      <c r="A3779" s="84">
        <v>2026</v>
      </c>
      <c r="B3779" s="84" t="s">
        <v>398</v>
      </c>
      <c r="C3779" s="84">
        <v>6</v>
      </c>
      <c r="D3779" s="84">
        <v>28</v>
      </c>
      <c r="E3779" s="85">
        <v>13462.74</v>
      </c>
      <c r="F3779" s="85">
        <v>25057.54</v>
      </c>
      <c r="G3779" s="85">
        <v>11594.8</v>
      </c>
    </row>
    <row r="3780" spans="1:7" x14ac:dyDescent="0.3">
      <c r="A3780" s="84">
        <v>2026</v>
      </c>
      <c r="B3780" s="84" t="s">
        <v>398</v>
      </c>
      <c r="C3780" s="84">
        <v>6</v>
      </c>
      <c r="D3780" s="84">
        <v>29</v>
      </c>
      <c r="E3780" s="85">
        <v>13462.74</v>
      </c>
      <c r="F3780" s="85">
        <v>25696.92</v>
      </c>
      <c r="G3780" s="85">
        <v>12234.18</v>
      </c>
    </row>
    <row r="3781" spans="1:7" x14ac:dyDescent="0.3">
      <c r="A3781" s="84">
        <v>2026</v>
      </c>
      <c r="B3781" s="84" t="s">
        <v>398</v>
      </c>
      <c r="C3781" s="84">
        <v>6</v>
      </c>
      <c r="D3781" s="84">
        <v>30</v>
      </c>
      <c r="E3781" s="85">
        <v>13462.74</v>
      </c>
      <c r="F3781" s="85">
        <v>27445.24</v>
      </c>
      <c r="G3781" s="85">
        <v>13982.5</v>
      </c>
    </row>
    <row r="3782" spans="1:7" x14ac:dyDescent="0.3">
      <c r="A3782" s="84">
        <v>2026</v>
      </c>
      <c r="B3782" s="84" t="s">
        <v>398</v>
      </c>
      <c r="C3782" s="84">
        <v>7</v>
      </c>
      <c r="D3782" s="84">
        <v>1</v>
      </c>
      <c r="E3782" s="85">
        <v>13659.44</v>
      </c>
      <c r="F3782" s="85">
        <v>12087.8</v>
      </c>
      <c r="G3782" s="85">
        <v>-1571.64</v>
      </c>
    </row>
    <row r="3783" spans="1:7" x14ac:dyDescent="0.3">
      <c r="A3783" s="84">
        <v>2026</v>
      </c>
      <c r="B3783" s="84" t="s">
        <v>398</v>
      </c>
      <c r="C3783" s="84">
        <v>7</v>
      </c>
      <c r="D3783" s="84">
        <v>2</v>
      </c>
      <c r="E3783" s="85">
        <v>13659.44</v>
      </c>
      <c r="F3783" s="85">
        <v>12382.22</v>
      </c>
      <c r="G3783" s="85">
        <v>-1277.22</v>
      </c>
    </row>
    <row r="3784" spans="1:7" x14ac:dyDescent="0.3">
      <c r="A3784" s="84">
        <v>2026</v>
      </c>
      <c r="B3784" s="84" t="s">
        <v>398</v>
      </c>
      <c r="C3784" s="84">
        <v>7</v>
      </c>
      <c r="D3784" s="84">
        <v>3</v>
      </c>
      <c r="E3784" s="85">
        <v>13659.44</v>
      </c>
      <c r="F3784" s="85">
        <v>12677.2</v>
      </c>
      <c r="G3784" s="85">
        <v>-982.24</v>
      </c>
    </row>
    <row r="3785" spans="1:7" x14ac:dyDescent="0.3">
      <c r="A3785" s="84">
        <v>2026</v>
      </c>
      <c r="B3785" s="84" t="s">
        <v>398</v>
      </c>
      <c r="C3785" s="84">
        <v>7</v>
      </c>
      <c r="D3785" s="84">
        <v>4</v>
      </c>
      <c r="E3785" s="85">
        <v>13659.44</v>
      </c>
      <c r="F3785" s="85">
        <v>12971.34</v>
      </c>
      <c r="G3785" s="85">
        <v>-688.1</v>
      </c>
    </row>
    <row r="3786" spans="1:7" x14ac:dyDescent="0.3">
      <c r="A3786" s="84">
        <v>2026</v>
      </c>
      <c r="B3786" s="84" t="s">
        <v>398</v>
      </c>
      <c r="C3786" s="84">
        <v>7</v>
      </c>
      <c r="D3786" s="84">
        <v>5</v>
      </c>
      <c r="E3786" s="85">
        <v>13659.44</v>
      </c>
      <c r="F3786" s="85">
        <v>13266.04</v>
      </c>
      <c r="G3786" s="85">
        <v>-393.4</v>
      </c>
    </row>
    <row r="3787" spans="1:7" x14ac:dyDescent="0.3">
      <c r="A3787" s="84">
        <v>2026</v>
      </c>
      <c r="B3787" s="84" t="s">
        <v>398</v>
      </c>
      <c r="C3787" s="84">
        <v>7</v>
      </c>
      <c r="D3787" s="84">
        <v>6</v>
      </c>
      <c r="E3787" s="85">
        <v>13659.44</v>
      </c>
      <c r="F3787" s="85">
        <v>13462.74</v>
      </c>
      <c r="G3787" s="85">
        <v>-196.7</v>
      </c>
    </row>
    <row r="3788" spans="1:7" x14ac:dyDescent="0.3">
      <c r="A3788" s="84">
        <v>2026</v>
      </c>
      <c r="B3788" s="84" t="s">
        <v>398</v>
      </c>
      <c r="C3788" s="84">
        <v>7</v>
      </c>
      <c r="D3788" s="84">
        <v>7</v>
      </c>
      <c r="E3788" s="85">
        <v>13659.44</v>
      </c>
      <c r="F3788" s="85">
        <v>13659.44</v>
      </c>
      <c r="G3788" s="85">
        <v>0</v>
      </c>
    </row>
    <row r="3789" spans="1:7" x14ac:dyDescent="0.3">
      <c r="A3789" s="84">
        <v>2026</v>
      </c>
      <c r="B3789" s="84" t="s">
        <v>398</v>
      </c>
      <c r="C3789" s="84">
        <v>7</v>
      </c>
      <c r="D3789" s="84">
        <v>8</v>
      </c>
      <c r="E3789" s="85">
        <v>13659.44</v>
      </c>
      <c r="F3789" s="85">
        <v>13855.72</v>
      </c>
      <c r="G3789" s="85">
        <v>196.28</v>
      </c>
    </row>
    <row r="3790" spans="1:7" x14ac:dyDescent="0.3">
      <c r="A3790" s="84">
        <v>2026</v>
      </c>
      <c r="B3790" s="84" t="s">
        <v>398</v>
      </c>
      <c r="C3790" s="84">
        <v>7</v>
      </c>
      <c r="D3790" s="84">
        <v>9</v>
      </c>
      <c r="E3790" s="85">
        <v>13659.44</v>
      </c>
      <c r="F3790" s="85">
        <v>14052.84</v>
      </c>
      <c r="G3790" s="85">
        <v>393.4</v>
      </c>
    </row>
    <row r="3791" spans="1:7" x14ac:dyDescent="0.3">
      <c r="A3791" s="84">
        <v>2026</v>
      </c>
      <c r="B3791" s="84" t="s">
        <v>398</v>
      </c>
      <c r="C3791" s="84">
        <v>7</v>
      </c>
      <c r="D3791" s="84">
        <v>10</v>
      </c>
      <c r="E3791" s="85">
        <v>13659.44</v>
      </c>
      <c r="F3791" s="85">
        <v>14249.26</v>
      </c>
      <c r="G3791" s="85">
        <v>589.82000000000005</v>
      </c>
    </row>
    <row r="3792" spans="1:7" x14ac:dyDescent="0.3">
      <c r="A3792" s="84">
        <v>2026</v>
      </c>
      <c r="B3792" s="84" t="s">
        <v>398</v>
      </c>
      <c r="C3792" s="84">
        <v>7</v>
      </c>
      <c r="D3792" s="84">
        <v>11</v>
      </c>
      <c r="E3792" s="85">
        <v>13659.44</v>
      </c>
      <c r="F3792" s="85">
        <v>14641.82</v>
      </c>
      <c r="G3792" s="85">
        <v>982.38</v>
      </c>
    </row>
    <row r="3793" spans="1:7" x14ac:dyDescent="0.3">
      <c r="A3793" s="84">
        <v>2026</v>
      </c>
      <c r="B3793" s="84" t="s">
        <v>398</v>
      </c>
      <c r="C3793" s="84">
        <v>7</v>
      </c>
      <c r="D3793" s="84">
        <v>12</v>
      </c>
      <c r="E3793" s="85">
        <v>13659.44</v>
      </c>
      <c r="F3793" s="85">
        <v>15035.36</v>
      </c>
      <c r="G3793" s="85">
        <v>1375.92</v>
      </c>
    </row>
    <row r="3794" spans="1:7" x14ac:dyDescent="0.3">
      <c r="A3794" s="84">
        <v>2026</v>
      </c>
      <c r="B3794" s="84" t="s">
        <v>398</v>
      </c>
      <c r="C3794" s="84">
        <v>7</v>
      </c>
      <c r="D3794" s="84">
        <v>13</v>
      </c>
      <c r="E3794" s="85">
        <v>13659.44</v>
      </c>
      <c r="F3794" s="85">
        <v>15428.62</v>
      </c>
      <c r="G3794" s="85">
        <v>1769.18</v>
      </c>
    </row>
    <row r="3795" spans="1:7" x14ac:dyDescent="0.3">
      <c r="A3795" s="84">
        <v>2026</v>
      </c>
      <c r="B3795" s="84" t="s">
        <v>398</v>
      </c>
      <c r="C3795" s="84">
        <v>7</v>
      </c>
      <c r="D3795" s="84">
        <v>14</v>
      </c>
      <c r="E3795" s="85">
        <v>13659.44</v>
      </c>
      <c r="F3795" s="85">
        <v>15822.44</v>
      </c>
      <c r="G3795" s="85">
        <v>2163</v>
      </c>
    </row>
    <row r="3796" spans="1:7" x14ac:dyDescent="0.3">
      <c r="A3796" s="84">
        <v>2026</v>
      </c>
      <c r="B3796" s="84" t="s">
        <v>398</v>
      </c>
      <c r="C3796" s="84">
        <v>7</v>
      </c>
      <c r="D3796" s="84">
        <v>15</v>
      </c>
      <c r="E3796" s="85">
        <v>13659.44</v>
      </c>
      <c r="F3796" s="85">
        <v>16214.72</v>
      </c>
      <c r="G3796" s="85">
        <v>2555.2800000000002</v>
      </c>
    </row>
    <row r="3797" spans="1:7" x14ac:dyDescent="0.3">
      <c r="A3797" s="84">
        <v>2026</v>
      </c>
      <c r="B3797" s="84" t="s">
        <v>398</v>
      </c>
      <c r="C3797" s="84">
        <v>7</v>
      </c>
      <c r="D3797" s="84">
        <v>16</v>
      </c>
      <c r="E3797" s="85">
        <v>13659.44</v>
      </c>
      <c r="F3797" s="85">
        <v>16608.68</v>
      </c>
      <c r="G3797" s="85">
        <v>2949.24</v>
      </c>
    </row>
    <row r="3798" spans="1:7" x14ac:dyDescent="0.3">
      <c r="A3798" s="84">
        <v>2026</v>
      </c>
      <c r="B3798" s="84" t="s">
        <v>398</v>
      </c>
      <c r="C3798" s="84">
        <v>7</v>
      </c>
      <c r="D3798" s="84">
        <v>17</v>
      </c>
      <c r="E3798" s="85">
        <v>13659.44</v>
      </c>
      <c r="F3798" s="85">
        <v>17000.96</v>
      </c>
      <c r="G3798" s="85">
        <v>3341.52</v>
      </c>
    </row>
    <row r="3799" spans="1:7" x14ac:dyDescent="0.3">
      <c r="A3799" s="84">
        <v>2026</v>
      </c>
      <c r="B3799" s="84" t="s">
        <v>398</v>
      </c>
      <c r="C3799" s="84">
        <v>7</v>
      </c>
      <c r="D3799" s="84">
        <v>18</v>
      </c>
      <c r="E3799" s="85">
        <v>13659.44</v>
      </c>
      <c r="F3799" s="85">
        <v>17394.5</v>
      </c>
      <c r="G3799" s="85">
        <v>3735.06</v>
      </c>
    </row>
    <row r="3800" spans="1:7" x14ac:dyDescent="0.3">
      <c r="A3800" s="84">
        <v>2026</v>
      </c>
      <c r="B3800" s="84" t="s">
        <v>398</v>
      </c>
      <c r="C3800" s="84">
        <v>7</v>
      </c>
      <c r="D3800" s="84">
        <v>19</v>
      </c>
      <c r="E3800" s="85">
        <v>13659.44</v>
      </c>
      <c r="F3800" s="85">
        <v>17787.62</v>
      </c>
      <c r="G3800" s="85">
        <v>4128.18</v>
      </c>
    </row>
    <row r="3801" spans="1:7" x14ac:dyDescent="0.3">
      <c r="A3801" s="84">
        <v>2026</v>
      </c>
      <c r="B3801" s="84" t="s">
        <v>398</v>
      </c>
      <c r="C3801" s="84">
        <v>7</v>
      </c>
      <c r="D3801" s="84">
        <v>20</v>
      </c>
      <c r="E3801" s="85">
        <v>13659.44</v>
      </c>
      <c r="F3801" s="85">
        <v>18180.599999999999</v>
      </c>
      <c r="G3801" s="85">
        <v>4521.16</v>
      </c>
    </row>
    <row r="3802" spans="1:7" x14ac:dyDescent="0.3">
      <c r="A3802" s="84">
        <v>2026</v>
      </c>
      <c r="B3802" s="84" t="s">
        <v>398</v>
      </c>
      <c r="C3802" s="84">
        <v>7</v>
      </c>
      <c r="D3802" s="84">
        <v>21</v>
      </c>
      <c r="E3802" s="85">
        <v>13659.44</v>
      </c>
      <c r="F3802" s="85">
        <v>18770</v>
      </c>
      <c r="G3802" s="85">
        <v>5110.5600000000004</v>
      </c>
    </row>
    <row r="3803" spans="1:7" x14ac:dyDescent="0.3">
      <c r="A3803" s="84">
        <v>2026</v>
      </c>
      <c r="B3803" s="84" t="s">
        <v>398</v>
      </c>
      <c r="C3803" s="84">
        <v>7</v>
      </c>
      <c r="D3803" s="84">
        <v>22</v>
      </c>
      <c r="E3803" s="85">
        <v>13659.44</v>
      </c>
      <c r="F3803" s="85">
        <v>19408.68</v>
      </c>
      <c r="G3803" s="85">
        <v>5749.24</v>
      </c>
    </row>
    <row r="3804" spans="1:7" x14ac:dyDescent="0.3">
      <c r="A3804" s="84">
        <v>2026</v>
      </c>
      <c r="B3804" s="84" t="s">
        <v>398</v>
      </c>
      <c r="C3804" s="84">
        <v>7</v>
      </c>
      <c r="D3804" s="84">
        <v>23</v>
      </c>
      <c r="E3804" s="85">
        <v>13659.44</v>
      </c>
      <c r="F3804" s="85">
        <v>20049.18</v>
      </c>
      <c r="G3804" s="85">
        <v>6389.74</v>
      </c>
    </row>
    <row r="3805" spans="1:7" x14ac:dyDescent="0.3">
      <c r="A3805" s="84">
        <v>2026</v>
      </c>
      <c r="B3805" s="84" t="s">
        <v>398</v>
      </c>
      <c r="C3805" s="84">
        <v>7</v>
      </c>
      <c r="D3805" s="84">
        <v>24</v>
      </c>
      <c r="E3805" s="85">
        <v>13659.44</v>
      </c>
      <c r="F3805" s="85">
        <v>20688.419999999998</v>
      </c>
      <c r="G3805" s="85">
        <v>7028.98</v>
      </c>
    </row>
    <row r="3806" spans="1:7" x14ac:dyDescent="0.3">
      <c r="A3806" s="84">
        <v>2026</v>
      </c>
      <c r="B3806" s="84" t="s">
        <v>398</v>
      </c>
      <c r="C3806" s="84">
        <v>7</v>
      </c>
      <c r="D3806" s="84">
        <v>25</v>
      </c>
      <c r="E3806" s="85">
        <v>13659.44</v>
      </c>
      <c r="F3806" s="85">
        <v>21328.5</v>
      </c>
      <c r="G3806" s="85">
        <v>7669.06</v>
      </c>
    </row>
    <row r="3807" spans="1:7" x14ac:dyDescent="0.3">
      <c r="A3807" s="84">
        <v>2026</v>
      </c>
      <c r="B3807" s="84" t="s">
        <v>398</v>
      </c>
      <c r="C3807" s="84">
        <v>7</v>
      </c>
      <c r="D3807" s="84">
        <v>26</v>
      </c>
      <c r="E3807" s="85">
        <v>13659.44</v>
      </c>
      <c r="F3807" s="85">
        <v>22707.78</v>
      </c>
      <c r="G3807" s="85">
        <v>9048.34</v>
      </c>
    </row>
    <row r="3808" spans="1:7" x14ac:dyDescent="0.3">
      <c r="A3808" s="84">
        <v>2026</v>
      </c>
      <c r="B3808" s="84" t="s">
        <v>398</v>
      </c>
      <c r="C3808" s="84">
        <v>7</v>
      </c>
      <c r="D3808" s="84">
        <v>27</v>
      </c>
      <c r="E3808" s="85">
        <v>13659.44</v>
      </c>
      <c r="F3808" s="85">
        <v>24417.040000000001</v>
      </c>
      <c r="G3808" s="85">
        <v>10757.6</v>
      </c>
    </row>
    <row r="3809" spans="1:7" x14ac:dyDescent="0.3">
      <c r="A3809" s="84">
        <v>2026</v>
      </c>
      <c r="B3809" s="84" t="s">
        <v>398</v>
      </c>
      <c r="C3809" s="84">
        <v>7</v>
      </c>
      <c r="D3809" s="84">
        <v>28</v>
      </c>
      <c r="E3809" s="85">
        <v>13659.44</v>
      </c>
      <c r="F3809" s="85">
        <v>25057.54</v>
      </c>
      <c r="G3809" s="85">
        <v>11398.1</v>
      </c>
    </row>
    <row r="3810" spans="1:7" x14ac:dyDescent="0.3">
      <c r="A3810" s="84">
        <v>2026</v>
      </c>
      <c r="B3810" s="84" t="s">
        <v>398</v>
      </c>
      <c r="C3810" s="84">
        <v>7</v>
      </c>
      <c r="D3810" s="84">
        <v>29</v>
      </c>
      <c r="E3810" s="85">
        <v>13659.44</v>
      </c>
      <c r="F3810" s="85">
        <v>25696.92</v>
      </c>
      <c r="G3810" s="85">
        <v>12037.48</v>
      </c>
    </row>
    <row r="3811" spans="1:7" x14ac:dyDescent="0.3">
      <c r="A3811" s="84">
        <v>2026</v>
      </c>
      <c r="B3811" s="84" t="s">
        <v>398</v>
      </c>
      <c r="C3811" s="84">
        <v>7</v>
      </c>
      <c r="D3811" s="84">
        <v>30</v>
      </c>
      <c r="E3811" s="85">
        <v>13659.44</v>
      </c>
      <c r="F3811" s="85">
        <v>27445.24</v>
      </c>
      <c r="G3811" s="85">
        <v>13785.8</v>
      </c>
    </row>
    <row r="3812" spans="1:7" x14ac:dyDescent="0.3">
      <c r="A3812" s="84">
        <v>2026</v>
      </c>
      <c r="B3812" s="84" t="s">
        <v>398</v>
      </c>
      <c r="C3812" s="84">
        <v>8</v>
      </c>
      <c r="D3812" s="84">
        <v>1</v>
      </c>
      <c r="E3812" s="85">
        <v>13855.72</v>
      </c>
      <c r="F3812" s="85">
        <v>12087.8</v>
      </c>
      <c r="G3812" s="85">
        <v>-1767.92</v>
      </c>
    </row>
    <row r="3813" spans="1:7" x14ac:dyDescent="0.3">
      <c r="A3813" s="84">
        <v>2026</v>
      </c>
      <c r="B3813" s="84" t="s">
        <v>398</v>
      </c>
      <c r="C3813" s="84">
        <v>8</v>
      </c>
      <c r="D3813" s="84">
        <v>2</v>
      </c>
      <c r="E3813" s="85">
        <v>13855.72</v>
      </c>
      <c r="F3813" s="85">
        <v>12382.22</v>
      </c>
      <c r="G3813" s="85">
        <v>-1473.5</v>
      </c>
    </row>
    <row r="3814" spans="1:7" x14ac:dyDescent="0.3">
      <c r="A3814" s="84">
        <v>2026</v>
      </c>
      <c r="B3814" s="84" t="s">
        <v>398</v>
      </c>
      <c r="C3814" s="84">
        <v>8</v>
      </c>
      <c r="D3814" s="84">
        <v>3</v>
      </c>
      <c r="E3814" s="85">
        <v>13855.72</v>
      </c>
      <c r="F3814" s="85">
        <v>12677.2</v>
      </c>
      <c r="G3814" s="85">
        <v>-1178.52</v>
      </c>
    </row>
    <row r="3815" spans="1:7" x14ac:dyDescent="0.3">
      <c r="A3815" s="84">
        <v>2026</v>
      </c>
      <c r="B3815" s="84" t="s">
        <v>398</v>
      </c>
      <c r="C3815" s="84">
        <v>8</v>
      </c>
      <c r="D3815" s="84">
        <v>4</v>
      </c>
      <c r="E3815" s="85">
        <v>13855.72</v>
      </c>
      <c r="F3815" s="85">
        <v>12971.34</v>
      </c>
      <c r="G3815" s="85">
        <v>-884.38</v>
      </c>
    </row>
    <row r="3816" spans="1:7" x14ac:dyDescent="0.3">
      <c r="A3816" s="84">
        <v>2026</v>
      </c>
      <c r="B3816" s="84" t="s">
        <v>398</v>
      </c>
      <c r="C3816" s="84">
        <v>8</v>
      </c>
      <c r="D3816" s="84">
        <v>5</v>
      </c>
      <c r="E3816" s="85">
        <v>13855.72</v>
      </c>
      <c r="F3816" s="85">
        <v>13266.04</v>
      </c>
      <c r="G3816" s="85">
        <v>-589.67999999999995</v>
      </c>
    </row>
    <row r="3817" spans="1:7" x14ac:dyDescent="0.3">
      <c r="A3817" s="84">
        <v>2026</v>
      </c>
      <c r="B3817" s="84" t="s">
        <v>398</v>
      </c>
      <c r="C3817" s="84">
        <v>8</v>
      </c>
      <c r="D3817" s="84">
        <v>6</v>
      </c>
      <c r="E3817" s="85">
        <v>13855.72</v>
      </c>
      <c r="F3817" s="85">
        <v>13462.74</v>
      </c>
      <c r="G3817" s="85">
        <v>-392.98</v>
      </c>
    </row>
    <row r="3818" spans="1:7" x14ac:dyDescent="0.3">
      <c r="A3818" s="84">
        <v>2026</v>
      </c>
      <c r="B3818" s="84" t="s">
        <v>398</v>
      </c>
      <c r="C3818" s="84">
        <v>8</v>
      </c>
      <c r="D3818" s="84">
        <v>7</v>
      </c>
      <c r="E3818" s="85">
        <v>13855.72</v>
      </c>
      <c r="F3818" s="85">
        <v>13659.44</v>
      </c>
      <c r="G3818" s="85">
        <v>-196.28</v>
      </c>
    </row>
    <row r="3819" spans="1:7" x14ac:dyDescent="0.3">
      <c r="A3819" s="84">
        <v>2026</v>
      </c>
      <c r="B3819" s="84" t="s">
        <v>398</v>
      </c>
      <c r="C3819" s="84">
        <v>8</v>
      </c>
      <c r="D3819" s="84">
        <v>8</v>
      </c>
      <c r="E3819" s="85">
        <v>13855.72</v>
      </c>
      <c r="F3819" s="85">
        <v>13855.72</v>
      </c>
      <c r="G3819" s="85">
        <v>0</v>
      </c>
    </row>
    <row r="3820" spans="1:7" x14ac:dyDescent="0.3">
      <c r="A3820" s="84">
        <v>2026</v>
      </c>
      <c r="B3820" s="84" t="s">
        <v>398</v>
      </c>
      <c r="C3820" s="84">
        <v>8</v>
      </c>
      <c r="D3820" s="84">
        <v>9</v>
      </c>
      <c r="E3820" s="85">
        <v>13855.72</v>
      </c>
      <c r="F3820" s="85">
        <v>14052.84</v>
      </c>
      <c r="G3820" s="85">
        <v>197.12</v>
      </c>
    </row>
    <row r="3821" spans="1:7" x14ac:dyDescent="0.3">
      <c r="A3821" s="84">
        <v>2026</v>
      </c>
      <c r="B3821" s="84" t="s">
        <v>398</v>
      </c>
      <c r="C3821" s="84">
        <v>8</v>
      </c>
      <c r="D3821" s="84">
        <v>10</v>
      </c>
      <c r="E3821" s="85">
        <v>13855.72</v>
      </c>
      <c r="F3821" s="85">
        <v>14249.26</v>
      </c>
      <c r="G3821" s="85">
        <v>393.54</v>
      </c>
    </row>
    <row r="3822" spans="1:7" x14ac:dyDescent="0.3">
      <c r="A3822" s="84">
        <v>2026</v>
      </c>
      <c r="B3822" s="84" t="s">
        <v>398</v>
      </c>
      <c r="C3822" s="84">
        <v>8</v>
      </c>
      <c r="D3822" s="84">
        <v>11</v>
      </c>
      <c r="E3822" s="85">
        <v>13855.72</v>
      </c>
      <c r="F3822" s="85">
        <v>14641.82</v>
      </c>
      <c r="G3822" s="85">
        <v>786.1</v>
      </c>
    </row>
    <row r="3823" spans="1:7" x14ac:dyDescent="0.3">
      <c r="A3823" s="84">
        <v>2026</v>
      </c>
      <c r="B3823" s="84" t="s">
        <v>398</v>
      </c>
      <c r="C3823" s="84">
        <v>8</v>
      </c>
      <c r="D3823" s="84">
        <v>12</v>
      </c>
      <c r="E3823" s="85">
        <v>13855.72</v>
      </c>
      <c r="F3823" s="85">
        <v>15035.36</v>
      </c>
      <c r="G3823" s="85">
        <v>1179.6400000000001</v>
      </c>
    </row>
    <row r="3824" spans="1:7" x14ac:dyDescent="0.3">
      <c r="A3824" s="84">
        <v>2026</v>
      </c>
      <c r="B3824" s="84" t="s">
        <v>398</v>
      </c>
      <c r="C3824" s="84">
        <v>8</v>
      </c>
      <c r="D3824" s="84">
        <v>13</v>
      </c>
      <c r="E3824" s="85">
        <v>13855.72</v>
      </c>
      <c r="F3824" s="85">
        <v>15428.62</v>
      </c>
      <c r="G3824" s="85">
        <v>1572.9</v>
      </c>
    </row>
    <row r="3825" spans="1:7" x14ac:dyDescent="0.3">
      <c r="A3825" s="84">
        <v>2026</v>
      </c>
      <c r="B3825" s="84" t="s">
        <v>398</v>
      </c>
      <c r="C3825" s="84">
        <v>8</v>
      </c>
      <c r="D3825" s="84">
        <v>14</v>
      </c>
      <c r="E3825" s="85">
        <v>13855.72</v>
      </c>
      <c r="F3825" s="85">
        <v>15822.44</v>
      </c>
      <c r="G3825" s="85">
        <v>1966.72</v>
      </c>
    </row>
    <row r="3826" spans="1:7" x14ac:dyDescent="0.3">
      <c r="A3826" s="84">
        <v>2026</v>
      </c>
      <c r="B3826" s="84" t="s">
        <v>398</v>
      </c>
      <c r="C3826" s="84">
        <v>8</v>
      </c>
      <c r="D3826" s="84">
        <v>15</v>
      </c>
      <c r="E3826" s="85">
        <v>13855.72</v>
      </c>
      <c r="F3826" s="85">
        <v>16214.72</v>
      </c>
      <c r="G3826" s="85">
        <v>2359</v>
      </c>
    </row>
    <row r="3827" spans="1:7" x14ac:dyDescent="0.3">
      <c r="A3827" s="84">
        <v>2026</v>
      </c>
      <c r="B3827" s="84" t="s">
        <v>398</v>
      </c>
      <c r="C3827" s="84">
        <v>8</v>
      </c>
      <c r="D3827" s="84">
        <v>16</v>
      </c>
      <c r="E3827" s="85">
        <v>13855.72</v>
      </c>
      <c r="F3827" s="85">
        <v>16608.68</v>
      </c>
      <c r="G3827" s="85">
        <v>2752.96</v>
      </c>
    </row>
    <row r="3828" spans="1:7" x14ac:dyDescent="0.3">
      <c r="A3828" s="84">
        <v>2026</v>
      </c>
      <c r="B3828" s="84" t="s">
        <v>398</v>
      </c>
      <c r="C3828" s="84">
        <v>8</v>
      </c>
      <c r="D3828" s="84">
        <v>17</v>
      </c>
      <c r="E3828" s="85">
        <v>13855.72</v>
      </c>
      <c r="F3828" s="85">
        <v>17000.96</v>
      </c>
      <c r="G3828" s="85">
        <v>3145.24</v>
      </c>
    </row>
    <row r="3829" spans="1:7" x14ac:dyDescent="0.3">
      <c r="A3829" s="84">
        <v>2026</v>
      </c>
      <c r="B3829" s="84" t="s">
        <v>398</v>
      </c>
      <c r="C3829" s="84">
        <v>8</v>
      </c>
      <c r="D3829" s="84">
        <v>18</v>
      </c>
      <c r="E3829" s="85">
        <v>13855.72</v>
      </c>
      <c r="F3829" s="85">
        <v>17394.5</v>
      </c>
      <c r="G3829" s="85">
        <v>3538.78</v>
      </c>
    </row>
    <row r="3830" spans="1:7" x14ac:dyDescent="0.3">
      <c r="A3830" s="84">
        <v>2026</v>
      </c>
      <c r="B3830" s="84" t="s">
        <v>398</v>
      </c>
      <c r="C3830" s="84">
        <v>8</v>
      </c>
      <c r="D3830" s="84">
        <v>19</v>
      </c>
      <c r="E3830" s="85">
        <v>13855.72</v>
      </c>
      <c r="F3830" s="85">
        <v>17787.62</v>
      </c>
      <c r="G3830" s="85">
        <v>3931.9</v>
      </c>
    </row>
    <row r="3831" spans="1:7" x14ac:dyDescent="0.3">
      <c r="A3831" s="84">
        <v>2026</v>
      </c>
      <c r="B3831" s="84" t="s">
        <v>398</v>
      </c>
      <c r="C3831" s="84">
        <v>8</v>
      </c>
      <c r="D3831" s="84">
        <v>20</v>
      </c>
      <c r="E3831" s="85">
        <v>13855.72</v>
      </c>
      <c r="F3831" s="85">
        <v>18180.599999999999</v>
      </c>
      <c r="G3831" s="85">
        <v>4324.88</v>
      </c>
    </row>
    <row r="3832" spans="1:7" x14ac:dyDescent="0.3">
      <c r="A3832" s="84">
        <v>2026</v>
      </c>
      <c r="B3832" s="84" t="s">
        <v>398</v>
      </c>
      <c r="C3832" s="84">
        <v>8</v>
      </c>
      <c r="D3832" s="84">
        <v>21</v>
      </c>
      <c r="E3832" s="85">
        <v>13855.72</v>
      </c>
      <c r="F3832" s="85">
        <v>18770</v>
      </c>
      <c r="G3832" s="85">
        <v>4914.28</v>
      </c>
    </row>
    <row r="3833" spans="1:7" x14ac:dyDescent="0.3">
      <c r="A3833" s="84">
        <v>2026</v>
      </c>
      <c r="B3833" s="84" t="s">
        <v>398</v>
      </c>
      <c r="C3833" s="84">
        <v>8</v>
      </c>
      <c r="D3833" s="84">
        <v>22</v>
      </c>
      <c r="E3833" s="85">
        <v>13855.72</v>
      </c>
      <c r="F3833" s="85">
        <v>19408.68</v>
      </c>
      <c r="G3833" s="85">
        <v>5552.96</v>
      </c>
    </row>
    <row r="3834" spans="1:7" x14ac:dyDescent="0.3">
      <c r="A3834" s="84">
        <v>2026</v>
      </c>
      <c r="B3834" s="84" t="s">
        <v>398</v>
      </c>
      <c r="C3834" s="84">
        <v>8</v>
      </c>
      <c r="D3834" s="84">
        <v>23</v>
      </c>
      <c r="E3834" s="85">
        <v>13855.72</v>
      </c>
      <c r="F3834" s="85">
        <v>20049.18</v>
      </c>
      <c r="G3834" s="85">
        <v>6193.46</v>
      </c>
    </row>
    <row r="3835" spans="1:7" x14ac:dyDescent="0.3">
      <c r="A3835" s="84">
        <v>2026</v>
      </c>
      <c r="B3835" s="84" t="s">
        <v>398</v>
      </c>
      <c r="C3835" s="84">
        <v>8</v>
      </c>
      <c r="D3835" s="84">
        <v>24</v>
      </c>
      <c r="E3835" s="85">
        <v>13855.72</v>
      </c>
      <c r="F3835" s="85">
        <v>20688.419999999998</v>
      </c>
      <c r="G3835" s="85">
        <v>6832.7</v>
      </c>
    </row>
    <row r="3836" spans="1:7" x14ac:dyDescent="0.3">
      <c r="A3836" s="84">
        <v>2026</v>
      </c>
      <c r="B3836" s="84" t="s">
        <v>398</v>
      </c>
      <c r="C3836" s="84">
        <v>8</v>
      </c>
      <c r="D3836" s="84">
        <v>25</v>
      </c>
      <c r="E3836" s="85">
        <v>13855.72</v>
      </c>
      <c r="F3836" s="85">
        <v>21328.5</v>
      </c>
      <c r="G3836" s="85">
        <v>7472.78</v>
      </c>
    </row>
    <row r="3837" spans="1:7" x14ac:dyDescent="0.3">
      <c r="A3837" s="84">
        <v>2026</v>
      </c>
      <c r="B3837" s="84" t="s">
        <v>398</v>
      </c>
      <c r="C3837" s="84">
        <v>8</v>
      </c>
      <c r="D3837" s="84">
        <v>26</v>
      </c>
      <c r="E3837" s="85">
        <v>13855.72</v>
      </c>
      <c r="F3837" s="85">
        <v>22707.78</v>
      </c>
      <c r="G3837" s="85">
        <v>8852.06</v>
      </c>
    </row>
    <row r="3838" spans="1:7" x14ac:dyDescent="0.3">
      <c r="A3838" s="84">
        <v>2026</v>
      </c>
      <c r="B3838" s="84" t="s">
        <v>398</v>
      </c>
      <c r="C3838" s="84">
        <v>8</v>
      </c>
      <c r="D3838" s="84">
        <v>27</v>
      </c>
      <c r="E3838" s="85">
        <v>13855.72</v>
      </c>
      <c r="F3838" s="85">
        <v>24417.040000000001</v>
      </c>
      <c r="G3838" s="85">
        <v>10561.32</v>
      </c>
    </row>
    <row r="3839" spans="1:7" x14ac:dyDescent="0.3">
      <c r="A3839" s="84">
        <v>2026</v>
      </c>
      <c r="B3839" s="84" t="s">
        <v>398</v>
      </c>
      <c r="C3839" s="84">
        <v>8</v>
      </c>
      <c r="D3839" s="84">
        <v>28</v>
      </c>
      <c r="E3839" s="85">
        <v>13855.72</v>
      </c>
      <c r="F3839" s="85">
        <v>25057.54</v>
      </c>
      <c r="G3839" s="85">
        <v>11201.82</v>
      </c>
    </row>
    <row r="3840" spans="1:7" x14ac:dyDescent="0.3">
      <c r="A3840" s="84">
        <v>2026</v>
      </c>
      <c r="B3840" s="84" t="s">
        <v>398</v>
      </c>
      <c r="C3840" s="84">
        <v>8</v>
      </c>
      <c r="D3840" s="84">
        <v>29</v>
      </c>
      <c r="E3840" s="85">
        <v>13855.72</v>
      </c>
      <c r="F3840" s="85">
        <v>25696.92</v>
      </c>
      <c r="G3840" s="85">
        <v>11841.2</v>
      </c>
    </row>
    <row r="3841" spans="1:7" x14ac:dyDescent="0.3">
      <c r="A3841" s="84">
        <v>2026</v>
      </c>
      <c r="B3841" s="84" t="s">
        <v>398</v>
      </c>
      <c r="C3841" s="84">
        <v>8</v>
      </c>
      <c r="D3841" s="84">
        <v>30</v>
      </c>
      <c r="E3841" s="85">
        <v>13855.72</v>
      </c>
      <c r="F3841" s="85">
        <v>27445.24</v>
      </c>
      <c r="G3841" s="85">
        <v>13589.52</v>
      </c>
    </row>
    <row r="3842" spans="1:7" x14ac:dyDescent="0.3">
      <c r="A3842" s="84">
        <v>2026</v>
      </c>
      <c r="B3842" s="84" t="s">
        <v>398</v>
      </c>
      <c r="C3842" s="84">
        <v>9</v>
      </c>
      <c r="D3842" s="84">
        <v>1</v>
      </c>
      <c r="E3842" s="85">
        <v>14052.84</v>
      </c>
      <c r="F3842" s="85">
        <v>12087.8</v>
      </c>
      <c r="G3842" s="85">
        <v>-1965.04</v>
      </c>
    </row>
    <row r="3843" spans="1:7" x14ac:dyDescent="0.3">
      <c r="A3843" s="84">
        <v>2026</v>
      </c>
      <c r="B3843" s="84" t="s">
        <v>398</v>
      </c>
      <c r="C3843" s="84">
        <v>9</v>
      </c>
      <c r="D3843" s="84">
        <v>2</v>
      </c>
      <c r="E3843" s="85">
        <v>14052.84</v>
      </c>
      <c r="F3843" s="85">
        <v>12382.22</v>
      </c>
      <c r="G3843" s="85">
        <v>-1670.62</v>
      </c>
    </row>
    <row r="3844" spans="1:7" x14ac:dyDescent="0.3">
      <c r="A3844" s="84">
        <v>2026</v>
      </c>
      <c r="B3844" s="84" t="s">
        <v>398</v>
      </c>
      <c r="C3844" s="84">
        <v>9</v>
      </c>
      <c r="D3844" s="84">
        <v>3</v>
      </c>
      <c r="E3844" s="85">
        <v>14052.84</v>
      </c>
      <c r="F3844" s="85">
        <v>12677.2</v>
      </c>
      <c r="G3844" s="85">
        <v>-1375.64</v>
      </c>
    </row>
    <row r="3845" spans="1:7" x14ac:dyDescent="0.3">
      <c r="A3845" s="84">
        <v>2026</v>
      </c>
      <c r="B3845" s="84" t="s">
        <v>398</v>
      </c>
      <c r="C3845" s="84">
        <v>9</v>
      </c>
      <c r="D3845" s="84">
        <v>4</v>
      </c>
      <c r="E3845" s="85">
        <v>14052.84</v>
      </c>
      <c r="F3845" s="85">
        <v>12971.34</v>
      </c>
      <c r="G3845" s="85">
        <v>-1081.5</v>
      </c>
    </row>
    <row r="3846" spans="1:7" x14ac:dyDescent="0.3">
      <c r="A3846" s="84">
        <v>2026</v>
      </c>
      <c r="B3846" s="84" t="s">
        <v>398</v>
      </c>
      <c r="C3846" s="84">
        <v>9</v>
      </c>
      <c r="D3846" s="84">
        <v>5</v>
      </c>
      <c r="E3846" s="85">
        <v>14052.84</v>
      </c>
      <c r="F3846" s="85">
        <v>13266.04</v>
      </c>
      <c r="G3846" s="85">
        <v>-786.8</v>
      </c>
    </row>
    <row r="3847" spans="1:7" x14ac:dyDescent="0.3">
      <c r="A3847" s="84">
        <v>2026</v>
      </c>
      <c r="B3847" s="84" t="s">
        <v>398</v>
      </c>
      <c r="C3847" s="84">
        <v>9</v>
      </c>
      <c r="D3847" s="84">
        <v>6</v>
      </c>
      <c r="E3847" s="85">
        <v>14052.84</v>
      </c>
      <c r="F3847" s="85">
        <v>13462.74</v>
      </c>
      <c r="G3847" s="85">
        <v>-590.1</v>
      </c>
    </row>
    <row r="3848" spans="1:7" x14ac:dyDescent="0.3">
      <c r="A3848" s="84">
        <v>2026</v>
      </c>
      <c r="B3848" s="84" t="s">
        <v>398</v>
      </c>
      <c r="C3848" s="84">
        <v>9</v>
      </c>
      <c r="D3848" s="84">
        <v>7</v>
      </c>
      <c r="E3848" s="85">
        <v>14052.84</v>
      </c>
      <c r="F3848" s="85">
        <v>13659.44</v>
      </c>
      <c r="G3848" s="85">
        <v>-393.4</v>
      </c>
    </row>
    <row r="3849" spans="1:7" x14ac:dyDescent="0.3">
      <c r="A3849" s="84">
        <v>2026</v>
      </c>
      <c r="B3849" s="84" t="s">
        <v>398</v>
      </c>
      <c r="C3849" s="84">
        <v>9</v>
      </c>
      <c r="D3849" s="84">
        <v>8</v>
      </c>
      <c r="E3849" s="85">
        <v>14052.84</v>
      </c>
      <c r="F3849" s="85">
        <v>13855.72</v>
      </c>
      <c r="G3849" s="85">
        <v>-197.12</v>
      </c>
    </row>
    <row r="3850" spans="1:7" x14ac:dyDescent="0.3">
      <c r="A3850" s="84">
        <v>2026</v>
      </c>
      <c r="B3850" s="84" t="s">
        <v>398</v>
      </c>
      <c r="C3850" s="84">
        <v>9</v>
      </c>
      <c r="D3850" s="84">
        <v>9</v>
      </c>
      <c r="E3850" s="85">
        <v>14052.84</v>
      </c>
      <c r="F3850" s="85">
        <v>14052.84</v>
      </c>
      <c r="G3850" s="85">
        <v>0</v>
      </c>
    </row>
    <row r="3851" spans="1:7" x14ac:dyDescent="0.3">
      <c r="A3851" s="84">
        <v>2026</v>
      </c>
      <c r="B3851" s="84" t="s">
        <v>398</v>
      </c>
      <c r="C3851" s="84">
        <v>9</v>
      </c>
      <c r="D3851" s="84">
        <v>10</v>
      </c>
      <c r="E3851" s="85">
        <v>14052.84</v>
      </c>
      <c r="F3851" s="85">
        <v>14249.26</v>
      </c>
      <c r="G3851" s="85">
        <v>196.42</v>
      </c>
    </row>
    <row r="3852" spans="1:7" x14ac:dyDescent="0.3">
      <c r="A3852" s="84">
        <v>2026</v>
      </c>
      <c r="B3852" s="84" t="s">
        <v>398</v>
      </c>
      <c r="C3852" s="84">
        <v>9</v>
      </c>
      <c r="D3852" s="84">
        <v>11</v>
      </c>
      <c r="E3852" s="85">
        <v>14052.84</v>
      </c>
      <c r="F3852" s="85">
        <v>14641.82</v>
      </c>
      <c r="G3852" s="85">
        <v>588.98</v>
      </c>
    </row>
    <row r="3853" spans="1:7" x14ac:dyDescent="0.3">
      <c r="A3853" s="84">
        <v>2026</v>
      </c>
      <c r="B3853" s="84" t="s">
        <v>398</v>
      </c>
      <c r="C3853" s="84">
        <v>9</v>
      </c>
      <c r="D3853" s="84">
        <v>12</v>
      </c>
      <c r="E3853" s="85">
        <v>14052.84</v>
      </c>
      <c r="F3853" s="85">
        <v>15035.36</v>
      </c>
      <c r="G3853" s="85">
        <v>982.52</v>
      </c>
    </row>
    <row r="3854" spans="1:7" x14ac:dyDescent="0.3">
      <c r="A3854" s="84">
        <v>2026</v>
      </c>
      <c r="B3854" s="84" t="s">
        <v>398</v>
      </c>
      <c r="C3854" s="84">
        <v>9</v>
      </c>
      <c r="D3854" s="84">
        <v>13</v>
      </c>
      <c r="E3854" s="85">
        <v>14052.84</v>
      </c>
      <c r="F3854" s="85">
        <v>15428.62</v>
      </c>
      <c r="G3854" s="85">
        <v>1375.78</v>
      </c>
    </row>
    <row r="3855" spans="1:7" x14ac:dyDescent="0.3">
      <c r="A3855" s="84">
        <v>2026</v>
      </c>
      <c r="B3855" s="84" t="s">
        <v>398</v>
      </c>
      <c r="C3855" s="84">
        <v>9</v>
      </c>
      <c r="D3855" s="84">
        <v>14</v>
      </c>
      <c r="E3855" s="85">
        <v>14052.84</v>
      </c>
      <c r="F3855" s="85">
        <v>15822.44</v>
      </c>
      <c r="G3855" s="85">
        <v>1769.6</v>
      </c>
    </row>
    <row r="3856" spans="1:7" x14ac:dyDescent="0.3">
      <c r="A3856" s="84">
        <v>2026</v>
      </c>
      <c r="B3856" s="84" t="s">
        <v>398</v>
      </c>
      <c r="C3856" s="84">
        <v>9</v>
      </c>
      <c r="D3856" s="84">
        <v>15</v>
      </c>
      <c r="E3856" s="85">
        <v>14052.84</v>
      </c>
      <c r="F3856" s="85">
        <v>16214.72</v>
      </c>
      <c r="G3856" s="85">
        <v>2161.88</v>
      </c>
    </row>
    <row r="3857" spans="1:7" x14ac:dyDescent="0.3">
      <c r="A3857" s="84">
        <v>2026</v>
      </c>
      <c r="B3857" s="84" t="s">
        <v>398</v>
      </c>
      <c r="C3857" s="84">
        <v>9</v>
      </c>
      <c r="D3857" s="84">
        <v>16</v>
      </c>
      <c r="E3857" s="85">
        <v>14052.84</v>
      </c>
      <c r="F3857" s="85">
        <v>16608.68</v>
      </c>
      <c r="G3857" s="85">
        <v>2555.84</v>
      </c>
    </row>
    <row r="3858" spans="1:7" x14ac:dyDescent="0.3">
      <c r="A3858" s="84">
        <v>2026</v>
      </c>
      <c r="B3858" s="84" t="s">
        <v>398</v>
      </c>
      <c r="C3858" s="84">
        <v>9</v>
      </c>
      <c r="D3858" s="84">
        <v>17</v>
      </c>
      <c r="E3858" s="85">
        <v>14052.84</v>
      </c>
      <c r="F3858" s="85">
        <v>17000.96</v>
      </c>
      <c r="G3858" s="85">
        <v>2948.12</v>
      </c>
    </row>
    <row r="3859" spans="1:7" x14ac:dyDescent="0.3">
      <c r="A3859" s="84">
        <v>2026</v>
      </c>
      <c r="B3859" s="84" t="s">
        <v>398</v>
      </c>
      <c r="C3859" s="84">
        <v>9</v>
      </c>
      <c r="D3859" s="84">
        <v>18</v>
      </c>
      <c r="E3859" s="85">
        <v>14052.84</v>
      </c>
      <c r="F3859" s="85">
        <v>17394.5</v>
      </c>
      <c r="G3859" s="85">
        <v>3341.66</v>
      </c>
    </row>
    <row r="3860" spans="1:7" x14ac:dyDescent="0.3">
      <c r="A3860" s="84">
        <v>2026</v>
      </c>
      <c r="B3860" s="84" t="s">
        <v>398</v>
      </c>
      <c r="C3860" s="84">
        <v>9</v>
      </c>
      <c r="D3860" s="84">
        <v>19</v>
      </c>
      <c r="E3860" s="85">
        <v>14052.84</v>
      </c>
      <c r="F3860" s="85">
        <v>17787.62</v>
      </c>
      <c r="G3860" s="85">
        <v>3734.78</v>
      </c>
    </row>
    <row r="3861" spans="1:7" x14ac:dyDescent="0.3">
      <c r="A3861" s="84">
        <v>2026</v>
      </c>
      <c r="B3861" s="84" t="s">
        <v>398</v>
      </c>
      <c r="C3861" s="84">
        <v>9</v>
      </c>
      <c r="D3861" s="84">
        <v>20</v>
      </c>
      <c r="E3861" s="85">
        <v>14052.84</v>
      </c>
      <c r="F3861" s="85">
        <v>18180.599999999999</v>
      </c>
      <c r="G3861" s="85">
        <v>4127.76</v>
      </c>
    </row>
    <row r="3862" spans="1:7" x14ac:dyDescent="0.3">
      <c r="A3862" s="84">
        <v>2026</v>
      </c>
      <c r="B3862" s="84" t="s">
        <v>398</v>
      </c>
      <c r="C3862" s="84">
        <v>9</v>
      </c>
      <c r="D3862" s="84">
        <v>21</v>
      </c>
      <c r="E3862" s="85">
        <v>14052.84</v>
      </c>
      <c r="F3862" s="85">
        <v>18770</v>
      </c>
      <c r="G3862" s="85">
        <v>4717.16</v>
      </c>
    </row>
    <row r="3863" spans="1:7" x14ac:dyDescent="0.3">
      <c r="A3863" s="84">
        <v>2026</v>
      </c>
      <c r="B3863" s="84" t="s">
        <v>398</v>
      </c>
      <c r="C3863" s="84">
        <v>9</v>
      </c>
      <c r="D3863" s="84">
        <v>22</v>
      </c>
      <c r="E3863" s="85">
        <v>14052.84</v>
      </c>
      <c r="F3863" s="85">
        <v>19408.68</v>
      </c>
      <c r="G3863" s="85">
        <v>5355.84</v>
      </c>
    </row>
    <row r="3864" spans="1:7" x14ac:dyDescent="0.3">
      <c r="A3864" s="84">
        <v>2026</v>
      </c>
      <c r="B3864" s="84" t="s">
        <v>398</v>
      </c>
      <c r="C3864" s="84">
        <v>9</v>
      </c>
      <c r="D3864" s="84">
        <v>23</v>
      </c>
      <c r="E3864" s="85">
        <v>14052.84</v>
      </c>
      <c r="F3864" s="85">
        <v>20049.18</v>
      </c>
      <c r="G3864" s="85">
        <v>5996.34</v>
      </c>
    </row>
    <row r="3865" spans="1:7" x14ac:dyDescent="0.3">
      <c r="A3865" s="84">
        <v>2026</v>
      </c>
      <c r="B3865" s="84" t="s">
        <v>398</v>
      </c>
      <c r="C3865" s="84">
        <v>9</v>
      </c>
      <c r="D3865" s="84">
        <v>24</v>
      </c>
      <c r="E3865" s="85">
        <v>14052.84</v>
      </c>
      <c r="F3865" s="85">
        <v>20688.419999999998</v>
      </c>
      <c r="G3865" s="85">
        <v>6635.58</v>
      </c>
    </row>
    <row r="3866" spans="1:7" x14ac:dyDescent="0.3">
      <c r="A3866" s="84">
        <v>2026</v>
      </c>
      <c r="B3866" s="84" t="s">
        <v>398</v>
      </c>
      <c r="C3866" s="84">
        <v>9</v>
      </c>
      <c r="D3866" s="84">
        <v>25</v>
      </c>
      <c r="E3866" s="85">
        <v>14052.84</v>
      </c>
      <c r="F3866" s="85">
        <v>21328.5</v>
      </c>
      <c r="G3866" s="85">
        <v>7275.66</v>
      </c>
    </row>
    <row r="3867" spans="1:7" x14ac:dyDescent="0.3">
      <c r="A3867" s="84">
        <v>2026</v>
      </c>
      <c r="B3867" s="84" t="s">
        <v>398</v>
      </c>
      <c r="C3867" s="84">
        <v>9</v>
      </c>
      <c r="D3867" s="84">
        <v>26</v>
      </c>
      <c r="E3867" s="85">
        <v>14052.84</v>
      </c>
      <c r="F3867" s="85">
        <v>22707.78</v>
      </c>
      <c r="G3867" s="85">
        <v>8654.94</v>
      </c>
    </row>
    <row r="3868" spans="1:7" x14ac:dyDescent="0.3">
      <c r="A3868" s="84">
        <v>2026</v>
      </c>
      <c r="B3868" s="84" t="s">
        <v>398</v>
      </c>
      <c r="C3868" s="84">
        <v>9</v>
      </c>
      <c r="D3868" s="84">
        <v>27</v>
      </c>
      <c r="E3868" s="85">
        <v>14052.84</v>
      </c>
      <c r="F3868" s="85">
        <v>24417.040000000001</v>
      </c>
      <c r="G3868" s="85">
        <v>10364.200000000001</v>
      </c>
    </row>
    <row r="3869" spans="1:7" x14ac:dyDescent="0.3">
      <c r="A3869" s="84">
        <v>2026</v>
      </c>
      <c r="B3869" s="84" t="s">
        <v>398</v>
      </c>
      <c r="C3869" s="84">
        <v>9</v>
      </c>
      <c r="D3869" s="84">
        <v>28</v>
      </c>
      <c r="E3869" s="85">
        <v>14052.84</v>
      </c>
      <c r="F3869" s="85">
        <v>25057.54</v>
      </c>
      <c r="G3869" s="85">
        <v>11004.7</v>
      </c>
    </row>
    <row r="3870" spans="1:7" x14ac:dyDescent="0.3">
      <c r="A3870" s="84">
        <v>2026</v>
      </c>
      <c r="B3870" s="84" t="s">
        <v>398</v>
      </c>
      <c r="C3870" s="84">
        <v>9</v>
      </c>
      <c r="D3870" s="84">
        <v>29</v>
      </c>
      <c r="E3870" s="85">
        <v>14052.84</v>
      </c>
      <c r="F3870" s="85">
        <v>25696.92</v>
      </c>
      <c r="G3870" s="85">
        <v>11644.08</v>
      </c>
    </row>
    <row r="3871" spans="1:7" x14ac:dyDescent="0.3">
      <c r="A3871" s="84">
        <v>2026</v>
      </c>
      <c r="B3871" s="84" t="s">
        <v>398</v>
      </c>
      <c r="C3871" s="84">
        <v>9</v>
      </c>
      <c r="D3871" s="84">
        <v>30</v>
      </c>
      <c r="E3871" s="85">
        <v>14052.84</v>
      </c>
      <c r="F3871" s="85">
        <v>27445.24</v>
      </c>
      <c r="G3871" s="85">
        <v>13392.4</v>
      </c>
    </row>
    <row r="3872" spans="1:7" x14ac:dyDescent="0.3">
      <c r="A3872" s="84">
        <v>2026</v>
      </c>
      <c r="B3872" s="84" t="s">
        <v>398</v>
      </c>
      <c r="C3872" s="84">
        <v>10</v>
      </c>
      <c r="D3872" s="84">
        <v>1</v>
      </c>
      <c r="E3872" s="85">
        <v>14249.26</v>
      </c>
      <c r="F3872" s="85">
        <v>12087.8</v>
      </c>
      <c r="G3872" s="85">
        <v>-2161.46</v>
      </c>
    </row>
    <row r="3873" spans="1:7" x14ac:dyDescent="0.3">
      <c r="A3873" s="84">
        <v>2026</v>
      </c>
      <c r="B3873" s="84" t="s">
        <v>398</v>
      </c>
      <c r="C3873" s="84">
        <v>10</v>
      </c>
      <c r="D3873" s="84">
        <v>2</v>
      </c>
      <c r="E3873" s="85">
        <v>14249.26</v>
      </c>
      <c r="F3873" s="85">
        <v>12382.22</v>
      </c>
      <c r="G3873" s="85">
        <v>-1867.04</v>
      </c>
    </row>
    <row r="3874" spans="1:7" x14ac:dyDescent="0.3">
      <c r="A3874" s="84">
        <v>2026</v>
      </c>
      <c r="B3874" s="84" t="s">
        <v>398</v>
      </c>
      <c r="C3874" s="84">
        <v>10</v>
      </c>
      <c r="D3874" s="84">
        <v>3</v>
      </c>
      <c r="E3874" s="85">
        <v>14249.26</v>
      </c>
      <c r="F3874" s="85">
        <v>12677.2</v>
      </c>
      <c r="G3874" s="85">
        <v>-1572.06</v>
      </c>
    </row>
    <row r="3875" spans="1:7" x14ac:dyDescent="0.3">
      <c r="A3875" s="84">
        <v>2026</v>
      </c>
      <c r="B3875" s="84" t="s">
        <v>398</v>
      </c>
      <c r="C3875" s="84">
        <v>10</v>
      </c>
      <c r="D3875" s="84">
        <v>4</v>
      </c>
      <c r="E3875" s="85">
        <v>14249.26</v>
      </c>
      <c r="F3875" s="85">
        <v>12971.34</v>
      </c>
      <c r="G3875" s="85">
        <v>-1277.92</v>
      </c>
    </row>
    <row r="3876" spans="1:7" x14ac:dyDescent="0.3">
      <c r="A3876" s="84">
        <v>2026</v>
      </c>
      <c r="B3876" s="84" t="s">
        <v>398</v>
      </c>
      <c r="C3876" s="84">
        <v>10</v>
      </c>
      <c r="D3876" s="84">
        <v>5</v>
      </c>
      <c r="E3876" s="85">
        <v>14249.26</v>
      </c>
      <c r="F3876" s="85">
        <v>13266.04</v>
      </c>
      <c r="G3876" s="85">
        <v>-983.22</v>
      </c>
    </row>
    <row r="3877" spans="1:7" x14ac:dyDescent="0.3">
      <c r="A3877" s="84">
        <v>2026</v>
      </c>
      <c r="B3877" s="84" t="s">
        <v>398</v>
      </c>
      <c r="C3877" s="84">
        <v>10</v>
      </c>
      <c r="D3877" s="84">
        <v>6</v>
      </c>
      <c r="E3877" s="85">
        <v>14249.26</v>
      </c>
      <c r="F3877" s="85">
        <v>13462.74</v>
      </c>
      <c r="G3877" s="85">
        <v>-786.52</v>
      </c>
    </row>
    <row r="3878" spans="1:7" x14ac:dyDescent="0.3">
      <c r="A3878" s="84">
        <v>2026</v>
      </c>
      <c r="B3878" s="84" t="s">
        <v>398</v>
      </c>
      <c r="C3878" s="84">
        <v>10</v>
      </c>
      <c r="D3878" s="84">
        <v>7</v>
      </c>
      <c r="E3878" s="85">
        <v>14249.26</v>
      </c>
      <c r="F3878" s="85">
        <v>13659.44</v>
      </c>
      <c r="G3878" s="85">
        <v>-589.82000000000005</v>
      </c>
    </row>
    <row r="3879" spans="1:7" x14ac:dyDescent="0.3">
      <c r="A3879" s="84">
        <v>2026</v>
      </c>
      <c r="B3879" s="84" t="s">
        <v>398</v>
      </c>
      <c r="C3879" s="84">
        <v>10</v>
      </c>
      <c r="D3879" s="84">
        <v>8</v>
      </c>
      <c r="E3879" s="85">
        <v>14249.26</v>
      </c>
      <c r="F3879" s="85">
        <v>13855.72</v>
      </c>
      <c r="G3879" s="85">
        <v>-393.54</v>
      </c>
    </row>
    <row r="3880" spans="1:7" x14ac:dyDescent="0.3">
      <c r="A3880" s="84">
        <v>2026</v>
      </c>
      <c r="B3880" s="84" t="s">
        <v>398</v>
      </c>
      <c r="C3880" s="84">
        <v>10</v>
      </c>
      <c r="D3880" s="84">
        <v>9</v>
      </c>
      <c r="E3880" s="85">
        <v>14249.26</v>
      </c>
      <c r="F3880" s="85">
        <v>14052.84</v>
      </c>
      <c r="G3880" s="85">
        <v>-196.42</v>
      </c>
    </row>
    <row r="3881" spans="1:7" x14ac:dyDescent="0.3">
      <c r="A3881" s="84">
        <v>2026</v>
      </c>
      <c r="B3881" s="84" t="s">
        <v>398</v>
      </c>
      <c r="C3881" s="84">
        <v>10</v>
      </c>
      <c r="D3881" s="84">
        <v>10</v>
      </c>
      <c r="E3881" s="85">
        <v>14249.26</v>
      </c>
      <c r="F3881" s="85">
        <v>14249.26</v>
      </c>
      <c r="G3881" s="85">
        <v>0</v>
      </c>
    </row>
    <row r="3882" spans="1:7" x14ac:dyDescent="0.3">
      <c r="A3882" s="84">
        <v>2026</v>
      </c>
      <c r="B3882" s="84" t="s">
        <v>398</v>
      </c>
      <c r="C3882" s="84">
        <v>10</v>
      </c>
      <c r="D3882" s="84">
        <v>11</v>
      </c>
      <c r="E3882" s="85">
        <v>14249.26</v>
      </c>
      <c r="F3882" s="85">
        <v>14641.82</v>
      </c>
      <c r="G3882" s="85">
        <v>392.56</v>
      </c>
    </row>
    <row r="3883" spans="1:7" x14ac:dyDescent="0.3">
      <c r="A3883" s="84">
        <v>2026</v>
      </c>
      <c r="B3883" s="84" t="s">
        <v>398</v>
      </c>
      <c r="C3883" s="84">
        <v>10</v>
      </c>
      <c r="D3883" s="84">
        <v>12</v>
      </c>
      <c r="E3883" s="85">
        <v>14249.26</v>
      </c>
      <c r="F3883" s="85">
        <v>15035.36</v>
      </c>
      <c r="G3883" s="85">
        <v>786.1</v>
      </c>
    </row>
    <row r="3884" spans="1:7" x14ac:dyDescent="0.3">
      <c r="A3884" s="84">
        <v>2026</v>
      </c>
      <c r="B3884" s="84" t="s">
        <v>398</v>
      </c>
      <c r="C3884" s="84">
        <v>10</v>
      </c>
      <c r="D3884" s="84">
        <v>13</v>
      </c>
      <c r="E3884" s="85">
        <v>14249.26</v>
      </c>
      <c r="F3884" s="85">
        <v>15428.62</v>
      </c>
      <c r="G3884" s="85">
        <v>1179.3599999999999</v>
      </c>
    </row>
    <row r="3885" spans="1:7" x14ac:dyDescent="0.3">
      <c r="A3885" s="84">
        <v>2026</v>
      </c>
      <c r="B3885" s="84" t="s">
        <v>398</v>
      </c>
      <c r="C3885" s="84">
        <v>10</v>
      </c>
      <c r="D3885" s="84">
        <v>14</v>
      </c>
      <c r="E3885" s="85">
        <v>14249.26</v>
      </c>
      <c r="F3885" s="85">
        <v>15822.44</v>
      </c>
      <c r="G3885" s="85">
        <v>1573.18</v>
      </c>
    </row>
    <row r="3886" spans="1:7" x14ac:dyDescent="0.3">
      <c r="A3886" s="84">
        <v>2026</v>
      </c>
      <c r="B3886" s="84" t="s">
        <v>398</v>
      </c>
      <c r="C3886" s="84">
        <v>10</v>
      </c>
      <c r="D3886" s="84">
        <v>15</v>
      </c>
      <c r="E3886" s="85">
        <v>14249.26</v>
      </c>
      <c r="F3886" s="85">
        <v>16214.72</v>
      </c>
      <c r="G3886" s="85">
        <v>1965.46</v>
      </c>
    </row>
    <row r="3887" spans="1:7" x14ac:dyDescent="0.3">
      <c r="A3887" s="84">
        <v>2026</v>
      </c>
      <c r="B3887" s="84" t="s">
        <v>398</v>
      </c>
      <c r="C3887" s="84">
        <v>10</v>
      </c>
      <c r="D3887" s="84">
        <v>16</v>
      </c>
      <c r="E3887" s="85">
        <v>14249.26</v>
      </c>
      <c r="F3887" s="85">
        <v>16608.68</v>
      </c>
      <c r="G3887" s="85">
        <v>2359.42</v>
      </c>
    </row>
    <row r="3888" spans="1:7" x14ac:dyDescent="0.3">
      <c r="A3888" s="84">
        <v>2026</v>
      </c>
      <c r="B3888" s="84" t="s">
        <v>398</v>
      </c>
      <c r="C3888" s="84">
        <v>10</v>
      </c>
      <c r="D3888" s="84">
        <v>17</v>
      </c>
      <c r="E3888" s="85">
        <v>14249.26</v>
      </c>
      <c r="F3888" s="85">
        <v>17000.96</v>
      </c>
      <c r="G3888" s="85">
        <v>2751.7</v>
      </c>
    </row>
    <row r="3889" spans="1:7" x14ac:dyDescent="0.3">
      <c r="A3889" s="84">
        <v>2026</v>
      </c>
      <c r="B3889" s="84" t="s">
        <v>398</v>
      </c>
      <c r="C3889" s="84">
        <v>10</v>
      </c>
      <c r="D3889" s="84">
        <v>18</v>
      </c>
      <c r="E3889" s="85">
        <v>14249.26</v>
      </c>
      <c r="F3889" s="85">
        <v>17394.5</v>
      </c>
      <c r="G3889" s="85">
        <v>3145.24</v>
      </c>
    </row>
    <row r="3890" spans="1:7" x14ac:dyDescent="0.3">
      <c r="A3890" s="84">
        <v>2026</v>
      </c>
      <c r="B3890" s="84" t="s">
        <v>398</v>
      </c>
      <c r="C3890" s="84">
        <v>10</v>
      </c>
      <c r="D3890" s="84">
        <v>19</v>
      </c>
      <c r="E3890" s="85">
        <v>14249.26</v>
      </c>
      <c r="F3890" s="85">
        <v>17787.62</v>
      </c>
      <c r="G3890" s="85">
        <v>3538.36</v>
      </c>
    </row>
    <row r="3891" spans="1:7" x14ac:dyDescent="0.3">
      <c r="A3891" s="84">
        <v>2026</v>
      </c>
      <c r="B3891" s="84" t="s">
        <v>398</v>
      </c>
      <c r="C3891" s="84">
        <v>10</v>
      </c>
      <c r="D3891" s="84">
        <v>20</v>
      </c>
      <c r="E3891" s="85">
        <v>14249.26</v>
      </c>
      <c r="F3891" s="85">
        <v>18180.599999999999</v>
      </c>
      <c r="G3891" s="85">
        <v>3931.34</v>
      </c>
    </row>
    <row r="3892" spans="1:7" x14ac:dyDescent="0.3">
      <c r="A3892" s="84">
        <v>2026</v>
      </c>
      <c r="B3892" s="84" t="s">
        <v>398</v>
      </c>
      <c r="C3892" s="84">
        <v>10</v>
      </c>
      <c r="D3892" s="84">
        <v>21</v>
      </c>
      <c r="E3892" s="85">
        <v>14249.26</v>
      </c>
      <c r="F3892" s="85">
        <v>18770</v>
      </c>
      <c r="G3892" s="85">
        <v>4520.74</v>
      </c>
    </row>
    <row r="3893" spans="1:7" x14ac:dyDescent="0.3">
      <c r="A3893" s="84">
        <v>2026</v>
      </c>
      <c r="B3893" s="84" t="s">
        <v>398</v>
      </c>
      <c r="C3893" s="84">
        <v>10</v>
      </c>
      <c r="D3893" s="84">
        <v>22</v>
      </c>
      <c r="E3893" s="85">
        <v>14249.26</v>
      </c>
      <c r="F3893" s="85">
        <v>19408.68</v>
      </c>
      <c r="G3893" s="85">
        <v>5159.42</v>
      </c>
    </row>
    <row r="3894" spans="1:7" x14ac:dyDescent="0.3">
      <c r="A3894" s="84">
        <v>2026</v>
      </c>
      <c r="B3894" s="84" t="s">
        <v>398</v>
      </c>
      <c r="C3894" s="84">
        <v>10</v>
      </c>
      <c r="D3894" s="84">
        <v>23</v>
      </c>
      <c r="E3894" s="85">
        <v>14249.26</v>
      </c>
      <c r="F3894" s="85">
        <v>20049.18</v>
      </c>
      <c r="G3894" s="85">
        <v>5799.92</v>
      </c>
    </row>
    <row r="3895" spans="1:7" x14ac:dyDescent="0.3">
      <c r="A3895" s="84">
        <v>2026</v>
      </c>
      <c r="B3895" s="84" t="s">
        <v>398</v>
      </c>
      <c r="C3895" s="84">
        <v>10</v>
      </c>
      <c r="D3895" s="84">
        <v>24</v>
      </c>
      <c r="E3895" s="85">
        <v>14249.26</v>
      </c>
      <c r="F3895" s="85">
        <v>20688.419999999998</v>
      </c>
      <c r="G3895" s="85">
        <v>6439.16</v>
      </c>
    </row>
    <row r="3896" spans="1:7" x14ac:dyDescent="0.3">
      <c r="A3896" s="84">
        <v>2026</v>
      </c>
      <c r="B3896" s="84" t="s">
        <v>398</v>
      </c>
      <c r="C3896" s="84">
        <v>10</v>
      </c>
      <c r="D3896" s="84">
        <v>25</v>
      </c>
      <c r="E3896" s="85">
        <v>14249.26</v>
      </c>
      <c r="F3896" s="85">
        <v>21328.5</v>
      </c>
      <c r="G3896" s="85">
        <v>7079.24</v>
      </c>
    </row>
    <row r="3897" spans="1:7" x14ac:dyDescent="0.3">
      <c r="A3897" s="84">
        <v>2026</v>
      </c>
      <c r="B3897" s="84" t="s">
        <v>398</v>
      </c>
      <c r="C3897" s="84">
        <v>10</v>
      </c>
      <c r="D3897" s="84">
        <v>26</v>
      </c>
      <c r="E3897" s="85">
        <v>14249.26</v>
      </c>
      <c r="F3897" s="85">
        <v>22707.78</v>
      </c>
      <c r="G3897" s="85">
        <v>8458.52</v>
      </c>
    </row>
    <row r="3898" spans="1:7" x14ac:dyDescent="0.3">
      <c r="A3898" s="84">
        <v>2026</v>
      </c>
      <c r="B3898" s="84" t="s">
        <v>398</v>
      </c>
      <c r="C3898" s="84">
        <v>10</v>
      </c>
      <c r="D3898" s="84">
        <v>27</v>
      </c>
      <c r="E3898" s="85">
        <v>14249.26</v>
      </c>
      <c r="F3898" s="85">
        <v>24417.040000000001</v>
      </c>
      <c r="G3898" s="85">
        <v>10167.780000000001</v>
      </c>
    </row>
    <row r="3899" spans="1:7" x14ac:dyDescent="0.3">
      <c r="A3899" s="84">
        <v>2026</v>
      </c>
      <c r="B3899" s="84" t="s">
        <v>398</v>
      </c>
      <c r="C3899" s="84">
        <v>10</v>
      </c>
      <c r="D3899" s="84">
        <v>28</v>
      </c>
      <c r="E3899" s="85">
        <v>14249.26</v>
      </c>
      <c r="F3899" s="85">
        <v>25057.54</v>
      </c>
      <c r="G3899" s="85">
        <v>10808.28</v>
      </c>
    </row>
    <row r="3900" spans="1:7" x14ac:dyDescent="0.3">
      <c r="A3900" s="84">
        <v>2026</v>
      </c>
      <c r="B3900" s="84" t="s">
        <v>398</v>
      </c>
      <c r="C3900" s="84">
        <v>10</v>
      </c>
      <c r="D3900" s="84">
        <v>29</v>
      </c>
      <c r="E3900" s="85">
        <v>14249.26</v>
      </c>
      <c r="F3900" s="85">
        <v>25696.92</v>
      </c>
      <c r="G3900" s="85">
        <v>11447.66</v>
      </c>
    </row>
    <row r="3901" spans="1:7" x14ac:dyDescent="0.3">
      <c r="A3901" s="84">
        <v>2026</v>
      </c>
      <c r="B3901" s="84" t="s">
        <v>398</v>
      </c>
      <c r="C3901" s="84">
        <v>10</v>
      </c>
      <c r="D3901" s="84">
        <v>30</v>
      </c>
      <c r="E3901" s="85">
        <v>14249.26</v>
      </c>
      <c r="F3901" s="85">
        <v>27445.24</v>
      </c>
      <c r="G3901" s="85">
        <v>13195.98</v>
      </c>
    </row>
    <row r="3902" spans="1:7" x14ac:dyDescent="0.3">
      <c r="A3902" s="84">
        <v>2026</v>
      </c>
      <c r="B3902" s="84" t="s">
        <v>398</v>
      </c>
      <c r="C3902" s="84">
        <v>11</v>
      </c>
      <c r="D3902" s="84">
        <v>1</v>
      </c>
      <c r="E3902" s="85">
        <v>14641.82</v>
      </c>
      <c r="F3902" s="85">
        <v>12087.8</v>
      </c>
      <c r="G3902" s="85">
        <v>-2554.02</v>
      </c>
    </row>
    <row r="3903" spans="1:7" x14ac:dyDescent="0.3">
      <c r="A3903" s="84">
        <v>2026</v>
      </c>
      <c r="B3903" s="84" t="s">
        <v>398</v>
      </c>
      <c r="C3903" s="84">
        <v>11</v>
      </c>
      <c r="D3903" s="84">
        <v>2</v>
      </c>
      <c r="E3903" s="85">
        <v>14641.82</v>
      </c>
      <c r="F3903" s="85">
        <v>12382.22</v>
      </c>
      <c r="G3903" s="85">
        <v>-2259.6</v>
      </c>
    </row>
    <row r="3904" spans="1:7" x14ac:dyDescent="0.3">
      <c r="A3904" s="84">
        <v>2026</v>
      </c>
      <c r="B3904" s="84" t="s">
        <v>398</v>
      </c>
      <c r="C3904" s="84">
        <v>11</v>
      </c>
      <c r="D3904" s="84">
        <v>3</v>
      </c>
      <c r="E3904" s="85">
        <v>14641.82</v>
      </c>
      <c r="F3904" s="85">
        <v>12677.2</v>
      </c>
      <c r="G3904" s="85">
        <v>-1964.62</v>
      </c>
    </row>
    <row r="3905" spans="1:7" x14ac:dyDescent="0.3">
      <c r="A3905" s="84">
        <v>2026</v>
      </c>
      <c r="B3905" s="84" t="s">
        <v>398</v>
      </c>
      <c r="C3905" s="84">
        <v>11</v>
      </c>
      <c r="D3905" s="84">
        <v>4</v>
      </c>
      <c r="E3905" s="85">
        <v>14641.82</v>
      </c>
      <c r="F3905" s="85">
        <v>12971.34</v>
      </c>
      <c r="G3905" s="85">
        <v>-1670.48</v>
      </c>
    </row>
    <row r="3906" spans="1:7" x14ac:dyDescent="0.3">
      <c r="A3906" s="84">
        <v>2026</v>
      </c>
      <c r="B3906" s="84" t="s">
        <v>398</v>
      </c>
      <c r="C3906" s="84">
        <v>11</v>
      </c>
      <c r="D3906" s="84">
        <v>5</v>
      </c>
      <c r="E3906" s="85">
        <v>14641.82</v>
      </c>
      <c r="F3906" s="85">
        <v>13266.04</v>
      </c>
      <c r="G3906" s="85">
        <v>-1375.78</v>
      </c>
    </row>
    <row r="3907" spans="1:7" x14ac:dyDescent="0.3">
      <c r="A3907" s="84">
        <v>2026</v>
      </c>
      <c r="B3907" s="84" t="s">
        <v>398</v>
      </c>
      <c r="C3907" s="84">
        <v>11</v>
      </c>
      <c r="D3907" s="84">
        <v>6</v>
      </c>
      <c r="E3907" s="85">
        <v>14641.82</v>
      </c>
      <c r="F3907" s="85">
        <v>13462.74</v>
      </c>
      <c r="G3907" s="85">
        <v>-1179.08</v>
      </c>
    </row>
    <row r="3908" spans="1:7" x14ac:dyDescent="0.3">
      <c r="A3908" s="84">
        <v>2026</v>
      </c>
      <c r="B3908" s="84" t="s">
        <v>398</v>
      </c>
      <c r="C3908" s="84">
        <v>11</v>
      </c>
      <c r="D3908" s="84">
        <v>7</v>
      </c>
      <c r="E3908" s="85">
        <v>14641.82</v>
      </c>
      <c r="F3908" s="85">
        <v>13659.44</v>
      </c>
      <c r="G3908" s="85">
        <v>-982.38</v>
      </c>
    </row>
    <row r="3909" spans="1:7" x14ac:dyDescent="0.3">
      <c r="A3909" s="84">
        <v>2026</v>
      </c>
      <c r="B3909" s="84" t="s">
        <v>398</v>
      </c>
      <c r="C3909" s="84">
        <v>11</v>
      </c>
      <c r="D3909" s="84">
        <v>8</v>
      </c>
      <c r="E3909" s="85">
        <v>14641.82</v>
      </c>
      <c r="F3909" s="85">
        <v>13855.72</v>
      </c>
      <c r="G3909" s="85">
        <v>-786.1</v>
      </c>
    </row>
    <row r="3910" spans="1:7" x14ac:dyDescent="0.3">
      <c r="A3910" s="84">
        <v>2026</v>
      </c>
      <c r="B3910" s="84" t="s">
        <v>398</v>
      </c>
      <c r="C3910" s="84">
        <v>11</v>
      </c>
      <c r="D3910" s="84">
        <v>9</v>
      </c>
      <c r="E3910" s="85">
        <v>14641.82</v>
      </c>
      <c r="F3910" s="85">
        <v>14052.84</v>
      </c>
      <c r="G3910" s="85">
        <v>-588.98</v>
      </c>
    </row>
    <row r="3911" spans="1:7" x14ac:dyDescent="0.3">
      <c r="A3911" s="84">
        <v>2026</v>
      </c>
      <c r="B3911" s="84" t="s">
        <v>398</v>
      </c>
      <c r="C3911" s="84">
        <v>11</v>
      </c>
      <c r="D3911" s="84">
        <v>10</v>
      </c>
      <c r="E3911" s="85">
        <v>14641.82</v>
      </c>
      <c r="F3911" s="85">
        <v>14249.26</v>
      </c>
      <c r="G3911" s="85">
        <v>-392.56</v>
      </c>
    </row>
    <row r="3912" spans="1:7" x14ac:dyDescent="0.3">
      <c r="A3912" s="84">
        <v>2026</v>
      </c>
      <c r="B3912" s="84" t="s">
        <v>398</v>
      </c>
      <c r="C3912" s="84">
        <v>11</v>
      </c>
      <c r="D3912" s="84">
        <v>11</v>
      </c>
      <c r="E3912" s="85">
        <v>14641.82</v>
      </c>
      <c r="F3912" s="85">
        <v>14641.82</v>
      </c>
      <c r="G3912" s="85">
        <v>0</v>
      </c>
    </row>
    <row r="3913" spans="1:7" x14ac:dyDescent="0.3">
      <c r="A3913" s="84">
        <v>2026</v>
      </c>
      <c r="B3913" s="84" t="s">
        <v>398</v>
      </c>
      <c r="C3913" s="84">
        <v>11</v>
      </c>
      <c r="D3913" s="84">
        <v>12</v>
      </c>
      <c r="E3913" s="85">
        <v>14641.82</v>
      </c>
      <c r="F3913" s="85">
        <v>15035.36</v>
      </c>
      <c r="G3913" s="85">
        <v>393.54</v>
      </c>
    </row>
    <row r="3914" spans="1:7" x14ac:dyDescent="0.3">
      <c r="A3914" s="84">
        <v>2026</v>
      </c>
      <c r="B3914" s="84" t="s">
        <v>398</v>
      </c>
      <c r="C3914" s="84">
        <v>11</v>
      </c>
      <c r="D3914" s="84">
        <v>13</v>
      </c>
      <c r="E3914" s="85">
        <v>14641.82</v>
      </c>
      <c r="F3914" s="85">
        <v>15428.62</v>
      </c>
      <c r="G3914" s="85">
        <v>786.8</v>
      </c>
    </row>
    <row r="3915" spans="1:7" x14ac:dyDescent="0.3">
      <c r="A3915" s="84">
        <v>2026</v>
      </c>
      <c r="B3915" s="84" t="s">
        <v>398</v>
      </c>
      <c r="C3915" s="84">
        <v>11</v>
      </c>
      <c r="D3915" s="84">
        <v>14</v>
      </c>
      <c r="E3915" s="85">
        <v>14641.82</v>
      </c>
      <c r="F3915" s="85">
        <v>15822.44</v>
      </c>
      <c r="G3915" s="85">
        <v>1180.6199999999999</v>
      </c>
    </row>
    <row r="3916" spans="1:7" x14ac:dyDescent="0.3">
      <c r="A3916" s="84">
        <v>2026</v>
      </c>
      <c r="B3916" s="84" t="s">
        <v>398</v>
      </c>
      <c r="C3916" s="84">
        <v>11</v>
      </c>
      <c r="D3916" s="84">
        <v>15</v>
      </c>
      <c r="E3916" s="85">
        <v>14641.82</v>
      </c>
      <c r="F3916" s="85">
        <v>16214.72</v>
      </c>
      <c r="G3916" s="85">
        <v>1572.9</v>
      </c>
    </row>
    <row r="3917" spans="1:7" x14ac:dyDescent="0.3">
      <c r="A3917" s="84">
        <v>2026</v>
      </c>
      <c r="B3917" s="84" t="s">
        <v>398</v>
      </c>
      <c r="C3917" s="84">
        <v>11</v>
      </c>
      <c r="D3917" s="84">
        <v>16</v>
      </c>
      <c r="E3917" s="85">
        <v>14641.82</v>
      </c>
      <c r="F3917" s="85">
        <v>16608.68</v>
      </c>
      <c r="G3917" s="85">
        <v>1966.86</v>
      </c>
    </row>
    <row r="3918" spans="1:7" x14ac:dyDescent="0.3">
      <c r="A3918" s="84">
        <v>2026</v>
      </c>
      <c r="B3918" s="84" t="s">
        <v>398</v>
      </c>
      <c r="C3918" s="84">
        <v>11</v>
      </c>
      <c r="D3918" s="84">
        <v>17</v>
      </c>
      <c r="E3918" s="85">
        <v>14641.82</v>
      </c>
      <c r="F3918" s="85">
        <v>17000.96</v>
      </c>
      <c r="G3918" s="85">
        <v>2359.14</v>
      </c>
    </row>
    <row r="3919" spans="1:7" x14ac:dyDescent="0.3">
      <c r="A3919" s="84">
        <v>2026</v>
      </c>
      <c r="B3919" s="84" t="s">
        <v>398</v>
      </c>
      <c r="C3919" s="84">
        <v>11</v>
      </c>
      <c r="D3919" s="84">
        <v>18</v>
      </c>
      <c r="E3919" s="85">
        <v>14641.82</v>
      </c>
      <c r="F3919" s="85">
        <v>17394.5</v>
      </c>
      <c r="G3919" s="85">
        <v>2752.68</v>
      </c>
    </row>
    <row r="3920" spans="1:7" x14ac:dyDescent="0.3">
      <c r="A3920" s="84">
        <v>2026</v>
      </c>
      <c r="B3920" s="84" t="s">
        <v>398</v>
      </c>
      <c r="C3920" s="84">
        <v>11</v>
      </c>
      <c r="D3920" s="84">
        <v>19</v>
      </c>
      <c r="E3920" s="85">
        <v>14641.82</v>
      </c>
      <c r="F3920" s="85">
        <v>17787.62</v>
      </c>
      <c r="G3920" s="85">
        <v>3145.8</v>
      </c>
    </row>
    <row r="3921" spans="1:7" x14ac:dyDescent="0.3">
      <c r="A3921" s="84">
        <v>2026</v>
      </c>
      <c r="B3921" s="84" t="s">
        <v>398</v>
      </c>
      <c r="C3921" s="84">
        <v>11</v>
      </c>
      <c r="D3921" s="84">
        <v>20</v>
      </c>
      <c r="E3921" s="85">
        <v>14641.82</v>
      </c>
      <c r="F3921" s="85">
        <v>18180.599999999999</v>
      </c>
      <c r="G3921" s="85">
        <v>3538.78</v>
      </c>
    </row>
    <row r="3922" spans="1:7" x14ac:dyDescent="0.3">
      <c r="A3922" s="84">
        <v>2026</v>
      </c>
      <c r="B3922" s="84" t="s">
        <v>398</v>
      </c>
      <c r="C3922" s="84">
        <v>11</v>
      </c>
      <c r="D3922" s="84">
        <v>21</v>
      </c>
      <c r="E3922" s="85">
        <v>14641.82</v>
      </c>
      <c r="F3922" s="85">
        <v>18770</v>
      </c>
      <c r="G3922" s="85">
        <v>4128.18</v>
      </c>
    </row>
    <row r="3923" spans="1:7" x14ac:dyDescent="0.3">
      <c r="A3923" s="84">
        <v>2026</v>
      </c>
      <c r="B3923" s="84" t="s">
        <v>398</v>
      </c>
      <c r="C3923" s="84">
        <v>11</v>
      </c>
      <c r="D3923" s="84">
        <v>22</v>
      </c>
      <c r="E3923" s="85">
        <v>14641.82</v>
      </c>
      <c r="F3923" s="85">
        <v>19408.68</v>
      </c>
      <c r="G3923" s="85">
        <v>4766.8599999999997</v>
      </c>
    </row>
    <row r="3924" spans="1:7" x14ac:dyDescent="0.3">
      <c r="A3924" s="84">
        <v>2026</v>
      </c>
      <c r="B3924" s="84" t="s">
        <v>398</v>
      </c>
      <c r="C3924" s="84">
        <v>11</v>
      </c>
      <c r="D3924" s="84">
        <v>23</v>
      </c>
      <c r="E3924" s="85">
        <v>14641.82</v>
      </c>
      <c r="F3924" s="85">
        <v>20049.18</v>
      </c>
      <c r="G3924" s="85">
        <v>5407.36</v>
      </c>
    </row>
    <row r="3925" spans="1:7" x14ac:dyDescent="0.3">
      <c r="A3925" s="84">
        <v>2026</v>
      </c>
      <c r="B3925" s="84" t="s">
        <v>398</v>
      </c>
      <c r="C3925" s="84">
        <v>11</v>
      </c>
      <c r="D3925" s="84">
        <v>24</v>
      </c>
      <c r="E3925" s="85">
        <v>14641.82</v>
      </c>
      <c r="F3925" s="85">
        <v>20688.419999999998</v>
      </c>
      <c r="G3925" s="85">
        <v>6046.6</v>
      </c>
    </row>
    <row r="3926" spans="1:7" x14ac:dyDescent="0.3">
      <c r="A3926" s="84">
        <v>2026</v>
      </c>
      <c r="B3926" s="84" t="s">
        <v>398</v>
      </c>
      <c r="C3926" s="84">
        <v>11</v>
      </c>
      <c r="D3926" s="84">
        <v>25</v>
      </c>
      <c r="E3926" s="85">
        <v>14641.82</v>
      </c>
      <c r="F3926" s="85">
        <v>21328.5</v>
      </c>
      <c r="G3926" s="85">
        <v>6686.68</v>
      </c>
    </row>
    <row r="3927" spans="1:7" x14ac:dyDescent="0.3">
      <c r="A3927" s="84">
        <v>2026</v>
      </c>
      <c r="B3927" s="84" t="s">
        <v>398</v>
      </c>
      <c r="C3927" s="84">
        <v>11</v>
      </c>
      <c r="D3927" s="84">
        <v>26</v>
      </c>
      <c r="E3927" s="85">
        <v>14641.82</v>
      </c>
      <c r="F3927" s="85">
        <v>22707.78</v>
      </c>
      <c r="G3927" s="85">
        <v>8065.96</v>
      </c>
    </row>
    <row r="3928" spans="1:7" x14ac:dyDescent="0.3">
      <c r="A3928" s="84">
        <v>2026</v>
      </c>
      <c r="B3928" s="84" t="s">
        <v>398</v>
      </c>
      <c r="C3928" s="84">
        <v>11</v>
      </c>
      <c r="D3928" s="84">
        <v>27</v>
      </c>
      <c r="E3928" s="85">
        <v>14641.82</v>
      </c>
      <c r="F3928" s="85">
        <v>24417.040000000001</v>
      </c>
      <c r="G3928" s="85">
        <v>9775.2199999999993</v>
      </c>
    </row>
    <row r="3929" spans="1:7" x14ac:dyDescent="0.3">
      <c r="A3929" s="84">
        <v>2026</v>
      </c>
      <c r="B3929" s="84" t="s">
        <v>398</v>
      </c>
      <c r="C3929" s="84">
        <v>11</v>
      </c>
      <c r="D3929" s="84">
        <v>28</v>
      </c>
      <c r="E3929" s="85">
        <v>14641.82</v>
      </c>
      <c r="F3929" s="85">
        <v>25057.54</v>
      </c>
      <c r="G3929" s="85">
        <v>10415.719999999999</v>
      </c>
    </row>
    <row r="3930" spans="1:7" x14ac:dyDescent="0.3">
      <c r="A3930" s="84">
        <v>2026</v>
      </c>
      <c r="B3930" s="84" t="s">
        <v>398</v>
      </c>
      <c r="C3930" s="84">
        <v>11</v>
      </c>
      <c r="D3930" s="84">
        <v>29</v>
      </c>
      <c r="E3930" s="85">
        <v>14641.82</v>
      </c>
      <c r="F3930" s="85">
        <v>25696.92</v>
      </c>
      <c r="G3930" s="85">
        <v>11055.1</v>
      </c>
    </row>
    <row r="3931" spans="1:7" x14ac:dyDescent="0.3">
      <c r="A3931" s="84">
        <v>2026</v>
      </c>
      <c r="B3931" s="84" t="s">
        <v>398</v>
      </c>
      <c r="C3931" s="84">
        <v>11</v>
      </c>
      <c r="D3931" s="84">
        <v>30</v>
      </c>
      <c r="E3931" s="85">
        <v>14641.82</v>
      </c>
      <c r="F3931" s="85">
        <v>27445.24</v>
      </c>
      <c r="G3931" s="85">
        <v>12803.42</v>
      </c>
    </row>
    <row r="3932" spans="1:7" x14ac:dyDescent="0.3">
      <c r="A3932" s="84">
        <v>2026</v>
      </c>
      <c r="B3932" s="84" t="s">
        <v>398</v>
      </c>
      <c r="C3932" s="84">
        <v>12</v>
      </c>
      <c r="D3932" s="84">
        <v>1</v>
      </c>
      <c r="E3932" s="85">
        <v>15035.36</v>
      </c>
      <c r="F3932" s="85">
        <v>12087.8</v>
      </c>
      <c r="G3932" s="85">
        <v>-2947.56</v>
      </c>
    </row>
    <row r="3933" spans="1:7" x14ac:dyDescent="0.3">
      <c r="A3933" s="84">
        <v>2026</v>
      </c>
      <c r="B3933" s="84" t="s">
        <v>398</v>
      </c>
      <c r="C3933" s="84">
        <v>12</v>
      </c>
      <c r="D3933" s="84">
        <v>2</v>
      </c>
      <c r="E3933" s="85">
        <v>15035.36</v>
      </c>
      <c r="F3933" s="85">
        <v>12382.22</v>
      </c>
      <c r="G3933" s="85">
        <v>-2653.14</v>
      </c>
    </row>
    <row r="3934" spans="1:7" x14ac:dyDescent="0.3">
      <c r="A3934" s="84">
        <v>2026</v>
      </c>
      <c r="B3934" s="84" t="s">
        <v>398</v>
      </c>
      <c r="C3934" s="84">
        <v>12</v>
      </c>
      <c r="D3934" s="84">
        <v>3</v>
      </c>
      <c r="E3934" s="85">
        <v>15035.36</v>
      </c>
      <c r="F3934" s="85">
        <v>12677.2</v>
      </c>
      <c r="G3934" s="85">
        <v>-2358.16</v>
      </c>
    </row>
    <row r="3935" spans="1:7" x14ac:dyDescent="0.3">
      <c r="A3935" s="84">
        <v>2026</v>
      </c>
      <c r="B3935" s="84" t="s">
        <v>398</v>
      </c>
      <c r="C3935" s="84">
        <v>12</v>
      </c>
      <c r="D3935" s="84">
        <v>4</v>
      </c>
      <c r="E3935" s="85">
        <v>15035.36</v>
      </c>
      <c r="F3935" s="85">
        <v>12971.34</v>
      </c>
      <c r="G3935" s="85">
        <v>-2064.02</v>
      </c>
    </row>
    <row r="3936" spans="1:7" x14ac:dyDescent="0.3">
      <c r="A3936" s="84">
        <v>2026</v>
      </c>
      <c r="B3936" s="84" t="s">
        <v>398</v>
      </c>
      <c r="C3936" s="84">
        <v>12</v>
      </c>
      <c r="D3936" s="84">
        <v>5</v>
      </c>
      <c r="E3936" s="85">
        <v>15035.36</v>
      </c>
      <c r="F3936" s="85">
        <v>13266.04</v>
      </c>
      <c r="G3936" s="85">
        <v>-1769.32</v>
      </c>
    </row>
    <row r="3937" spans="1:7" x14ac:dyDescent="0.3">
      <c r="A3937" s="84">
        <v>2026</v>
      </c>
      <c r="B3937" s="84" t="s">
        <v>398</v>
      </c>
      <c r="C3937" s="84">
        <v>12</v>
      </c>
      <c r="D3937" s="84">
        <v>6</v>
      </c>
      <c r="E3937" s="85">
        <v>15035.36</v>
      </c>
      <c r="F3937" s="85">
        <v>13462.74</v>
      </c>
      <c r="G3937" s="85">
        <v>-1572.62</v>
      </c>
    </row>
    <row r="3938" spans="1:7" x14ac:dyDescent="0.3">
      <c r="A3938" s="84">
        <v>2026</v>
      </c>
      <c r="B3938" s="84" t="s">
        <v>398</v>
      </c>
      <c r="C3938" s="84">
        <v>12</v>
      </c>
      <c r="D3938" s="84">
        <v>7</v>
      </c>
      <c r="E3938" s="85">
        <v>15035.36</v>
      </c>
      <c r="F3938" s="85">
        <v>13659.44</v>
      </c>
      <c r="G3938" s="85">
        <v>-1375.92</v>
      </c>
    </row>
    <row r="3939" spans="1:7" x14ac:dyDescent="0.3">
      <c r="A3939" s="84">
        <v>2026</v>
      </c>
      <c r="B3939" s="84" t="s">
        <v>398</v>
      </c>
      <c r="C3939" s="84">
        <v>12</v>
      </c>
      <c r="D3939" s="84">
        <v>8</v>
      </c>
      <c r="E3939" s="85">
        <v>15035.36</v>
      </c>
      <c r="F3939" s="85">
        <v>13855.72</v>
      </c>
      <c r="G3939" s="85">
        <v>-1179.6400000000001</v>
      </c>
    </row>
    <row r="3940" spans="1:7" x14ac:dyDescent="0.3">
      <c r="A3940" s="84">
        <v>2026</v>
      </c>
      <c r="B3940" s="84" t="s">
        <v>398</v>
      </c>
      <c r="C3940" s="84">
        <v>12</v>
      </c>
      <c r="D3940" s="84">
        <v>9</v>
      </c>
      <c r="E3940" s="85">
        <v>15035.36</v>
      </c>
      <c r="F3940" s="85">
        <v>14052.84</v>
      </c>
      <c r="G3940" s="85">
        <v>-982.52</v>
      </c>
    </row>
    <row r="3941" spans="1:7" x14ac:dyDescent="0.3">
      <c r="A3941" s="84">
        <v>2026</v>
      </c>
      <c r="B3941" s="84" t="s">
        <v>398</v>
      </c>
      <c r="C3941" s="84">
        <v>12</v>
      </c>
      <c r="D3941" s="84">
        <v>10</v>
      </c>
      <c r="E3941" s="85">
        <v>15035.36</v>
      </c>
      <c r="F3941" s="85">
        <v>14249.26</v>
      </c>
      <c r="G3941" s="85">
        <v>-786.1</v>
      </c>
    </row>
    <row r="3942" spans="1:7" x14ac:dyDescent="0.3">
      <c r="A3942" s="84">
        <v>2026</v>
      </c>
      <c r="B3942" s="84" t="s">
        <v>398</v>
      </c>
      <c r="C3942" s="84">
        <v>12</v>
      </c>
      <c r="D3942" s="84">
        <v>11</v>
      </c>
      <c r="E3942" s="85">
        <v>15035.36</v>
      </c>
      <c r="F3942" s="85">
        <v>14641.82</v>
      </c>
      <c r="G3942" s="85">
        <v>-393.54</v>
      </c>
    </row>
    <row r="3943" spans="1:7" x14ac:dyDescent="0.3">
      <c r="A3943" s="84">
        <v>2026</v>
      </c>
      <c r="B3943" s="84" t="s">
        <v>398</v>
      </c>
      <c r="C3943" s="84">
        <v>12</v>
      </c>
      <c r="D3943" s="84">
        <v>12</v>
      </c>
      <c r="E3943" s="85">
        <v>15035.36</v>
      </c>
      <c r="F3943" s="85">
        <v>15035.36</v>
      </c>
      <c r="G3943" s="85">
        <v>0</v>
      </c>
    </row>
    <row r="3944" spans="1:7" x14ac:dyDescent="0.3">
      <c r="A3944" s="84">
        <v>2026</v>
      </c>
      <c r="B3944" s="84" t="s">
        <v>398</v>
      </c>
      <c r="C3944" s="84">
        <v>12</v>
      </c>
      <c r="D3944" s="84">
        <v>13</v>
      </c>
      <c r="E3944" s="85">
        <v>15035.36</v>
      </c>
      <c r="F3944" s="85">
        <v>15428.62</v>
      </c>
      <c r="G3944" s="85">
        <v>393.26</v>
      </c>
    </row>
    <row r="3945" spans="1:7" x14ac:dyDescent="0.3">
      <c r="A3945" s="84">
        <v>2026</v>
      </c>
      <c r="B3945" s="84" t="s">
        <v>398</v>
      </c>
      <c r="C3945" s="84">
        <v>12</v>
      </c>
      <c r="D3945" s="84">
        <v>14</v>
      </c>
      <c r="E3945" s="85">
        <v>15035.36</v>
      </c>
      <c r="F3945" s="85">
        <v>15822.44</v>
      </c>
      <c r="G3945" s="85">
        <v>787.08</v>
      </c>
    </row>
    <row r="3946" spans="1:7" x14ac:dyDescent="0.3">
      <c r="A3946" s="84">
        <v>2026</v>
      </c>
      <c r="B3946" s="84" t="s">
        <v>398</v>
      </c>
      <c r="C3946" s="84">
        <v>12</v>
      </c>
      <c r="D3946" s="84">
        <v>15</v>
      </c>
      <c r="E3946" s="85">
        <v>15035.36</v>
      </c>
      <c r="F3946" s="85">
        <v>16214.72</v>
      </c>
      <c r="G3946" s="85">
        <v>1179.3599999999999</v>
      </c>
    </row>
    <row r="3947" spans="1:7" x14ac:dyDescent="0.3">
      <c r="A3947" s="84">
        <v>2026</v>
      </c>
      <c r="B3947" s="84" t="s">
        <v>398</v>
      </c>
      <c r="C3947" s="84">
        <v>12</v>
      </c>
      <c r="D3947" s="84">
        <v>16</v>
      </c>
      <c r="E3947" s="85">
        <v>15035.36</v>
      </c>
      <c r="F3947" s="85">
        <v>16608.68</v>
      </c>
      <c r="G3947" s="85">
        <v>1573.32</v>
      </c>
    </row>
    <row r="3948" spans="1:7" x14ac:dyDescent="0.3">
      <c r="A3948" s="84">
        <v>2026</v>
      </c>
      <c r="B3948" s="84" t="s">
        <v>398</v>
      </c>
      <c r="C3948" s="84">
        <v>12</v>
      </c>
      <c r="D3948" s="84">
        <v>17</v>
      </c>
      <c r="E3948" s="85">
        <v>15035.36</v>
      </c>
      <c r="F3948" s="85">
        <v>17000.96</v>
      </c>
      <c r="G3948" s="85">
        <v>1965.6</v>
      </c>
    </row>
    <row r="3949" spans="1:7" x14ac:dyDescent="0.3">
      <c r="A3949" s="84">
        <v>2026</v>
      </c>
      <c r="B3949" s="84" t="s">
        <v>398</v>
      </c>
      <c r="C3949" s="84">
        <v>12</v>
      </c>
      <c r="D3949" s="84">
        <v>18</v>
      </c>
      <c r="E3949" s="85">
        <v>15035.36</v>
      </c>
      <c r="F3949" s="85">
        <v>17394.5</v>
      </c>
      <c r="G3949" s="85">
        <v>2359.14</v>
      </c>
    </row>
    <row r="3950" spans="1:7" x14ac:dyDescent="0.3">
      <c r="A3950" s="84">
        <v>2026</v>
      </c>
      <c r="B3950" s="84" t="s">
        <v>398</v>
      </c>
      <c r="C3950" s="84">
        <v>12</v>
      </c>
      <c r="D3950" s="84">
        <v>19</v>
      </c>
      <c r="E3950" s="85">
        <v>15035.36</v>
      </c>
      <c r="F3950" s="85">
        <v>17787.62</v>
      </c>
      <c r="G3950" s="85">
        <v>2752.26</v>
      </c>
    </row>
    <row r="3951" spans="1:7" x14ac:dyDescent="0.3">
      <c r="A3951" s="84">
        <v>2026</v>
      </c>
      <c r="B3951" s="84" t="s">
        <v>398</v>
      </c>
      <c r="C3951" s="84">
        <v>12</v>
      </c>
      <c r="D3951" s="84">
        <v>20</v>
      </c>
      <c r="E3951" s="85">
        <v>15035.36</v>
      </c>
      <c r="F3951" s="85">
        <v>18180.599999999999</v>
      </c>
      <c r="G3951" s="85">
        <v>3145.24</v>
      </c>
    </row>
    <row r="3952" spans="1:7" x14ac:dyDescent="0.3">
      <c r="A3952" s="84">
        <v>2026</v>
      </c>
      <c r="B3952" s="84" t="s">
        <v>398</v>
      </c>
      <c r="C3952" s="84">
        <v>12</v>
      </c>
      <c r="D3952" s="84">
        <v>21</v>
      </c>
      <c r="E3952" s="85">
        <v>15035.36</v>
      </c>
      <c r="F3952" s="85">
        <v>18770</v>
      </c>
      <c r="G3952" s="85">
        <v>3734.64</v>
      </c>
    </row>
    <row r="3953" spans="1:7" x14ac:dyDescent="0.3">
      <c r="A3953" s="84">
        <v>2026</v>
      </c>
      <c r="B3953" s="84" t="s">
        <v>398</v>
      </c>
      <c r="C3953" s="84">
        <v>12</v>
      </c>
      <c r="D3953" s="84">
        <v>22</v>
      </c>
      <c r="E3953" s="85">
        <v>15035.36</v>
      </c>
      <c r="F3953" s="85">
        <v>19408.68</v>
      </c>
      <c r="G3953" s="85">
        <v>4373.32</v>
      </c>
    </row>
    <row r="3954" spans="1:7" x14ac:dyDescent="0.3">
      <c r="A3954" s="84">
        <v>2026</v>
      </c>
      <c r="B3954" s="84" t="s">
        <v>398</v>
      </c>
      <c r="C3954" s="84">
        <v>12</v>
      </c>
      <c r="D3954" s="84">
        <v>23</v>
      </c>
      <c r="E3954" s="85">
        <v>15035.36</v>
      </c>
      <c r="F3954" s="85">
        <v>20049.18</v>
      </c>
      <c r="G3954" s="85">
        <v>5013.82</v>
      </c>
    </row>
    <row r="3955" spans="1:7" x14ac:dyDescent="0.3">
      <c r="A3955" s="84">
        <v>2026</v>
      </c>
      <c r="B3955" s="84" t="s">
        <v>398</v>
      </c>
      <c r="C3955" s="84">
        <v>12</v>
      </c>
      <c r="D3955" s="84">
        <v>24</v>
      </c>
      <c r="E3955" s="85">
        <v>15035.36</v>
      </c>
      <c r="F3955" s="85">
        <v>20688.419999999998</v>
      </c>
      <c r="G3955" s="85">
        <v>5653.06</v>
      </c>
    </row>
    <row r="3956" spans="1:7" x14ac:dyDescent="0.3">
      <c r="A3956" s="84">
        <v>2026</v>
      </c>
      <c r="B3956" s="84" t="s">
        <v>398</v>
      </c>
      <c r="C3956" s="84">
        <v>12</v>
      </c>
      <c r="D3956" s="84">
        <v>25</v>
      </c>
      <c r="E3956" s="85">
        <v>15035.36</v>
      </c>
      <c r="F3956" s="85">
        <v>21328.5</v>
      </c>
      <c r="G3956" s="85">
        <v>6293.14</v>
      </c>
    </row>
    <row r="3957" spans="1:7" x14ac:dyDescent="0.3">
      <c r="A3957" s="84">
        <v>2026</v>
      </c>
      <c r="B3957" s="84" t="s">
        <v>398</v>
      </c>
      <c r="C3957" s="84">
        <v>12</v>
      </c>
      <c r="D3957" s="84">
        <v>26</v>
      </c>
      <c r="E3957" s="85">
        <v>15035.36</v>
      </c>
      <c r="F3957" s="85">
        <v>22707.78</v>
      </c>
      <c r="G3957" s="85">
        <v>7672.42</v>
      </c>
    </row>
    <row r="3958" spans="1:7" x14ac:dyDescent="0.3">
      <c r="A3958" s="84">
        <v>2026</v>
      </c>
      <c r="B3958" s="84" t="s">
        <v>398</v>
      </c>
      <c r="C3958" s="84">
        <v>12</v>
      </c>
      <c r="D3958" s="84">
        <v>27</v>
      </c>
      <c r="E3958" s="85">
        <v>15035.36</v>
      </c>
      <c r="F3958" s="85">
        <v>24417.040000000001</v>
      </c>
      <c r="G3958" s="85">
        <v>9381.68</v>
      </c>
    </row>
    <row r="3959" spans="1:7" x14ac:dyDescent="0.3">
      <c r="A3959" s="84">
        <v>2026</v>
      </c>
      <c r="B3959" s="84" t="s">
        <v>398</v>
      </c>
      <c r="C3959" s="84">
        <v>12</v>
      </c>
      <c r="D3959" s="84">
        <v>28</v>
      </c>
      <c r="E3959" s="85">
        <v>15035.36</v>
      </c>
      <c r="F3959" s="85">
        <v>25057.54</v>
      </c>
      <c r="G3959" s="85">
        <v>10022.18</v>
      </c>
    </row>
    <row r="3960" spans="1:7" x14ac:dyDescent="0.3">
      <c r="A3960" s="84">
        <v>2026</v>
      </c>
      <c r="B3960" s="84" t="s">
        <v>398</v>
      </c>
      <c r="C3960" s="84">
        <v>12</v>
      </c>
      <c r="D3960" s="84">
        <v>29</v>
      </c>
      <c r="E3960" s="85">
        <v>15035.36</v>
      </c>
      <c r="F3960" s="85">
        <v>25696.92</v>
      </c>
      <c r="G3960" s="85">
        <v>10661.56</v>
      </c>
    </row>
    <row r="3961" spans="1:7" x14ac:dyDescent="0.3">
      <c r="A3961" s="84">
        <v>2026</v>
      </c>
      <c r="B3961" s="84" t="s">
        <v>398</v>
      </c>
      <c r="C3961" s="84">
        <v>12</v>
      </c>
      <c r="D3961" s="84">
        <v>30</v>
      </c>
      <c r="E3961" s="85">
        <v>15035.36</v>
      </c>
      <c r="F3961" s="85">
        <v>27445.24</v>
      </c>
      <c r="G3961" s="85">
        <v>12409.88</v>
      </c>
    </row>
    <row r="3962" spans="1:7" x14ac:dyDescent="0.3">
      <c r="A3962" s="84">
        <v>2026</v>
      </c>
      <c r="B3962" s="84" t="s">
        <v>398</v>
      </c>
      <c r="C3962" s="84">
        <v>13</v>
      </c>
      <c r="D3962" s="84">
        <v>1</v>
      </c>
      <c r="E3962" s="85">
        <v>15428.62</v>
      </c>
      <c r="F3962" s="85">
        <v>12087.8</v>
      </c>
      <c r="G3962" s="85">
        <v>-3340.82</v>
      </c>
    </row>
    <row r="3963" spans="1:7" x14ac:dyDescent="0.3">
      <c r="A3963" s="84">
        <v>2026</v>
      </c>
      <c r="B3963" s="84" t="s">
        <v>398</v>
      </c>
      <c r="C3963" s="84">
        <v>13</v>
      </c>
      <c r="D3963" s="84">
        <v>2</v>
      </c>
      <c r="E3963" s="85">
        <v>15428.62</v>
      </c>
      <c r="F3963" s="85">
        <v>12382.22</v>
      </c>
      <c r="G3963" s="85">
        <v>-3046.4</v>
      </c>
    </row>
    <row r="3964" spans="1:7" x14ac:dyDescent="0.3">
      <c r="A3964" s="84">
        <v>2026</v>
      </c>
      <c r="B3964" s="84" t="s">
        <v>398</v>
      </c>
      <c r="C3964" s="84">
        <v>13</v>
      </c>
      <c r="D3964" s="84">
        <v>3</v>
      </c>
      <c r="E3964" s="85">
        <v>15428.62</v>
      </c>
      <c r="F3964" s="85">
        <v>12677.2</v>
      </c>
      <c r="G3964" s="85">
        <v>-2751.42</v>
      </c>
    </row>
    <row r="3965" spans="1:7" x14ac:dyDescent="0.3">
      <c r="A3965" s="84">
        <v>2026</v>
      </c>
      <c r="B3965" s="84" t="s">
        <v>398</v>
      </c>
      <c r="C3965" s="84">
        <v>13</v>
      </c>
      <c r="D3965" s="84">
        <v>4</v>
      </c>
      <c r="E3965" s="85">
        <v>15428.62</v>
      </c>
      <c r="F3965" s="85">
        <v>12971.34</v>
      </c>
      <c r="G3965" s="85">
        <v>-2457.2800000000002</v>
      </c>
    </row>
    <row r="3966" spans="1:7" x14ac:dyDescent="0.3">
      <c r="A3966" s="84">
        <v>2026</v>
      </c>
      <c r="B3966" s="84" t="s">
        <v>398</v>
      </c>
      <c r="C3966" s="84">
        <v>13</v>
      </c>
      <c r="D3966" s="84">
        <v>5</v>
      </c>
      <c r="E3966" s="85">
        <v>15428.62</v>
      </c>
      <c r="F3966" s="85">
        <v>13266.04</v>
      </c>
      <c r="G3966" s="85">
        <v>-2162.58</v>
      </c>
    </row>
    <row r="3967" spans="1:7" x14ac:dyDescent="0.3">
      <c r="A3967" s="84">
        <v>2026</v>
      </c>
      <c r="B3967" s="84" t="s">
        <v>398</v>
      </c>
      <c r="C3967" s="84">
        <v>13</v>
      </c>
      <c r="D3967" s="84">
        <v>6</v>
      </c>
      <c r="E3967" s="85">
        <v>15428.62</v>
      </c>
      <c r="F3967" s="85">
        <v>13462.74</v>
      </c>
      <c r="G3967" s="85">
        <v>-1965.88</v>
      </c>
    </row>
    <row r="3968" spans="1:7" x14ac:dyDescent="0.3">
      <c r="A3968" s="84">
        <v>2026</v>
      </c>
      <c r="B3968" s="84" t="s">
        <v>398</v>
      </c>
      <c r="C3968" s="84">
        <v>13</v>
      </c>
      <c r="D3968" s="84">
        <v>7</v>
      </c>
      <c r="E3968" s="85">
        <v>15428.62</v>
      </c>
      <c r="F3968" s="85">
        <v>13659.44</v>
      </c>
      <c r="G3968" s="85">
        <v>-1769.18</v>
      </c>
    </row>
    <row r="3969" spans="1:7" x14ac:dyDescent="0.3">
      <c r="A3969" s="84">
        <v>2026</v>
      </c>
      <c r="B3969" s="84" t="s">
        <v>398</v>
      </c>
      <c r="C3969" s="84">
        <v>13</v>
      </c>
      <c r="D3969" s="84">
        <v>8</v>
      </c>
      <c r="E3969" s="85">
        <v>15428.62</v>
      </c>
      <c r="F3969" s="85">
        <v>13855.72</v>
      </c>
      <c r="G3969" s="85">
        <v>-1572.9</v>
      </c>
    </row>
    <row r="3970" spans="1:7" x14ac:dyDescent="0.3">
      <c r="A3970" s="84">
        <v>2026</v>
      </c>
      <c r="B3970" s="84" t="s">
        <v>398</v>
      </c>
      <c r="C3970" s="84">
        <v>13</v>
      </c>
      <c r="D3970" s="84">
        <v>9</v>
      </c>
      <c r="E3970" s="85">
        <v>15428.62</v>
      </c>
      <c r="F3970" s="85">
        <v>14052.84</v>
      </c>
      <c r="G3970" s="85">
        <v>-1375.78</v>
      </c>
    </row>
    <row r="3971" spans="1:7" x14ac:dyDescent="0.3">
      <c r="A3971" s="84">
        <v>2026</v>
      </c>
      <c r="B3971" s="84" t="s">
        <v>398</v>
      </c>
      <c r="C3971" s="84">
        <v>13</v>
      </c>
      <c r="D3971" s="84">
        <v>10</v>
      </c>
      <c r="E3971" s="85">
        <v>15428.62</v>
      </c>
      <c r="F3971" s="85">
        <v>14249.26</v>
      </c>
      <c r="G3971" s="85">
        <v>-1179.3599999999999</v>
      </c>
    </row>
    <row r="3972" spans="1:7" x14ac:dyDescent="0.3">
      <c r="A3972" s="84">
        <v>2026</v>
      </c>
      <c r="B3972" s="84" t="s">
        <v>398</v>
      </c>
      <c r="C3972" s="84">
        <v>13</v>
      </c>
      <c r="D3972" s="84">
        <v>11</v>
      </c>
      <c r="E3972" s="85">
        <v>15428.62</v>
      </c>
      <c r="F3972" s="85">
        <v>14641.82</v>
      </c>
      <c r="G3972" s="85">
        <v>-786.8</v>
      </c>
    </row>
    <row r="3973" spans="1:7" x14ac:dyDescent="0.3">
      <c r="A3973" s="84">
        <v>2026</v>
      </c>
      <c r="B3973" s="84" t="s">
        <v>398</v>
      </c>
      <c r="C3973" s="84">
        <v>13</v>
      </c>
      <c r="D3973" s="84">
        <v>12</v>
      </c>
      <c r="E3973" s="85">
        <v>15428.62</v>
      </c>
      <c r="F3973" s="85">
        <v>15035.36</v>
      </c>
      <c r="G3973" s="85">
        <v>-393.26</v>
      </c>
    </row>
    <row r="3974" spans="1:7" x14ac:dyDescent="0.3">
      <c r="A3974" s="84">
        <v>2026</v>
      </c>
      <c r="B3974" s="84" t="s">
        <v>398</v>
      </c>
      <c r="C3974" s="84">
        <v>13</v>
      </c>
      <c r="D3974" s="84">
        <v>13</v>
      </c>
      <c r="E3974" s="85">
        <v>15428.62</v>
      </c>
      <c r="F3974" s="85">
        <v>15428.62</v>
      </c>
      <c r="G3974" s="85">
        <v>0</v>
      </c>
    </row>
    <row r="3975" spans="1:7" x14ac:dyDescent="0.3">
      <c r="A3975" s="84">
        <v>2026</v>
      </c>
      <c r="B3975" s="84" t="s">
        <v>398</v>
      </c>
      <c r="C3975" s="84">
        <v>13</v>
      </c>
      <c r="D3975" s="84">
        <v>14</v>
      </c>
      <c r="E3975" s="85">
        <v>15428.62</v>
      </c>
      <c r="F3975" s="85">
        <v>15822.44</v>
      </c>
      <c r="G3975" s="85">
        <v>393.82</v>
      </c>
    </row>
    <row r="3976" spans="1:7" x14ac:dyDescent="0.3">
      <c r="A3976" s="84">
        <v>2026</v>
      </c>
      <c r="B3976" s="84" t="s">
        <v>398</v>
      </c>
      <c r="C3976" s="84">
        <v>13</v>
      </c>
      <c r="D3976" s="84">
        <v>15</v>
      </c>
      <c r="E3976" s="85">
        <v>15428.62</v>
      </c>
      <c r="F3976" s="85">
        <v>16214.72</v>
      </c>
      <c r="G3976" s="85">
        <v>786.1</v>
      </c>
    </row>
    <row r="3977" spans="1:7" x14ac:dyDescent="0.3">
      <c r="A3977" s="84">
        <v>2026</v>
      </c>
      <c r="B3977" s="84" t="s">
        <v>398</v>
      </c>
      <c r="C3977" s="84">
        <v>13</v>
      </c>
      <c r="D3977" s="84">
        <v>16</v>
      </c>
      <c r="E3977" s="85">
        <v>15428.62</v>
      </c>
      <c r="F3977" s="85">
        <v>16608.68</v>
      </c>
      <c r="G3977" s="85">
        <v>1180.06</v>
      </c>
    </row>
    <row r="3978" spans="1:7" x14ac:dyDescent="0.3">
      <c r="A3978" s="84">
        <v>2026</v>
      </c>
      <c r="B3978" s="84" t="s">
        <v>398</v>
      </c>
      <c r="C3978" s="84">
        <v>13</v>
      </c>
      <c r="D3978" s="84">
        <v>17</v>
      </c>
      <c r="E3978" s="85">
        <v>15428.62</v>
      </c>
      <c r="F3978" s="85">
        <v>17000.96</v>
      </c>
      <c r="G3978" s="85">
        <v>1572.34</v>
      </c>
    </row>
    <row r="3979" spans="1:7" x14ac:dyDescent="0.3">
      <c r="A3979" s="84">
        <v>2026</v>
      </c>
      <c r="B3979" s="84" t="s">
        <v>398</v>
      </c>
      <c r="C3979" s="84">
        <v>13</v>
      </c>
      <c r="D3979" s="84">
        <v>18</v>
      </c>
      <c r="E3979" s="85">
        <v>15428.62</v>
      </c>
      <c r="F3979" s="85">
        <v>17394.5</v>
      </c>
      <c r="G3979" s="85">
        <v>1965.88</v>
      </c>
    </row>
    <row r="3980" spans="1:7" x14ac:dyDescent="0.3">
      <c r="A3980" s="84">
        <v>2026</v>
      </c>
      <c r="B3980" s="84" t="s">
        <v>398</v>
      </c>
      <c r="C3980" s="84">
        <v>13</v>
      </c>
      <c r="D3980" s="84">
        <v>19</v>
      </c>
      <c r="E3980" s="85">
        <v>15428.62</v>
      </c>
      <c r="F3980" s="85">
        <v>17787.62</v>
      </c>
      <c r="G3980" s="85">
        <v>2359</v>
      </c>
    </row>
    <row r="3981" spans="1:7" x14ac:dyDescent="0.3">
      <c r="A3981" s="84">
        <v>2026</v>
      </c>
      <c r="B3981" s="84" t="s">
        <v>398</v>
      </c>
      <c r="C3981" s="84">
        <v>13</v>
      </c>
      <c r="D3981" s="84">
        <v>20</v>
      </c>
      <c r="E3981" s="85">
        <v>15428.62</v>
      </c>
      <c r="F3981" s="85">
        <v>18180.599999999999</v>
      </c>
      <c r="G3981" s="85">
        <v>2751.98</v>
      </c>
    </row>
    <row r="3982" spans="1:7" x14ac:dyDescent="0.3">
      <c r="A3982" s="84">
        <v>2026</v>
      </c>
      <c r="B3982" s="84" t="s">
        <v>398</v>
      </c>
      <c r="C3982" s="84">
        <v>13</v>
      </c>
      <c r="D3982" s="84">
        <v>21</v>
      </c>
      <c r="E3982" s="85">
        <v>15428.62</v>
      </c>
      <c r="F3982" s="85">
        <v>18770</v>
      </c>
      <c r="G3982" s="85">
        <v>3341.38</v>
      </c>
    </row>
    <row r="3983" spans="1:7" x14ac:dyDescent="0.3">
      <c r="A3983" s="84">
        <v>2026</v>
      </c>
      <c r="B3983" s="84" t="s">
        <v>398</v>
      </c>
      <c r="C3983" s="84">
        <v>13</v>
      </c>
      <c r="D3983" s="84">
        <v>22</v>
      </c>
      <c r="E3983" s="85">
        <v>15428.62</v>
      </c>
      <c r="F3983" s="85">
        <v>19408.68</v>
      </c>
      <c r="G3983" s="85">
        <v>3980.06</v>
      </c>
    </row>
    <row r="3984" spans="1:7" x14ac:dyDescent="0.3">
      <c r="A3984" s="84">
        <v>2026</v>
      </c>
      <c r="B3984" s="84" t="s">
        <v>398</v>
      </c>
      <c r="C3984" s="84">
        <v>13</v>
      </c>
      <c r="D3984" s="84">
        <v>23</v>
      </c>
      <c r="E3984" s="85">
        <v>15428.62</v>
      </c>
      <c r="F3984" s="85">
        <v>20049.18</v>
      </c>
      <c r="G3984" s="85">
        <v>4620.5600000000004</v>
      </c>
    </row>
    <row r="3985" spans="1:7" x14ac:dyDescent="0.3">
      <c r="A3985" s="84">
        <v>2026</v>
      </c>
      <c r="B3985" s="84" t="s">
        <v>398</v>
      </c>
      <c r="C3985" s="84">
        <v>13</v>
      </c>
      <c r="D3985" s="84">
        <v>24</v>
      </c>
      <c r="E3985" s="85">
        <v>15428.62</v>
      </c>
      <c r="F3985" s="85">
        <v>20688.419999999998</v>
      </c>
      <c r="G3985" s="85">
        <v>5259.8</v>
      </c>
    </row>
    <row r="3986" spans="1:7" x14ac:dyDescent="0.3">
      <c r="A3986" s="84">
        <v>2026</v>
      </c>
      <c r="B3986" s="84" t="s">
        <v>398</v>
      </c>
      <c r="C3986" s="84">
        <v>13</v>
      </c>
      <c r="D3986" s="84">
        <v>25</v>
      </c>
      <c r="E3986" s="85">
        <v>15428.62</v>
      </c>
      <c r="F3986" s="85">
        <v>21328.5</v>
      </c>
      <c r="G3986" s="85">
        <v>5899.88</v>
      </c>
    </row>
    <row r="3987" spans="1:7" x14ac:dyDescent="0.3">
      <c r="A3987" s="84">
        <v>2026</v>
      </c>
      <c r="B3987" s="84" t="s">
        <v>398</v>
      </c>
      <c r="C3987" s="84">
        <v>13</v>
      </c>
      <c r="D3987" s="84">
        <v>26</v>
      </c>
      <c r="E3987" s="85">
        <v>15428.62</v>
      </c>
      <c r="F3987" s="85">
        <v>22707.78</v>
      </c>
      <c r="G3987" s="85">
        <v>7279.16</v>
      </c>
    </row>
    <row r="3988" spans="1:7" x14ac:dyDescent="0.3">
      <c r="A3988" s="84">
        <v>2026</v>
      </c>
      <c r="B3988" s="84" t="s">
        <v>398</v>
      </c>
      <c r="C3988" s="84">
        <v>13</v>
      </c>
      <c r="D3988" s="84">
        <v>27</v>
      </c>
      <c r="E3988" s="85">
        <v>15428.62</v>
      </c>
      <c r="F3988" s="85">
        <v>24417.040000000001</v>
      </c>
      <c r="G3988" s="85">
        <v>8988.42</v>
      </c>
    </row>
    <row r="3989" spans="1:7" x14ac:dyDescent="0.3">
      <c r="A3989" s="84">
        <v>2026</v>
      </c>
      <c r="B3989" s="84" t="s">
        <v>398</v>
      </c>
      <c r="C3989" s="84">
        <v>13</v>
      </c>
      <c r="D3989" s="84">
        <v>28</v>
      </c>
      <c r="E3989" s="85">
        <v>15428.62</v>
      </c>
      <c r="F3989" s="85">
        <v>25057.54</v>
      </c>
      <c r="G3989" s="85">
        <v>9628.92</v>
      </c>
    </row>
    <row r="3990" spans="1:7" x14ac:dyDescent="0.3">
      <c r="A3990" s="84">
        <v>2026</v>
      </c>
      <c r="B3990" s="84" t="s">
        <v>398</v>
      </c>
      <c r="C3990" s="84">
        <v>13</v>
      </c>
      <c r="D3990" s="84">
        <v>29</v>
      </c>
      <c r="E3990" s="85">
        <v>15428.62</v>
      </c>
      <c r="F3990" s="85">
        <v>25696.92</v>
      </c>
      <c r="G3990" s="85">
        <v>10268.299999999999</v>
      </c>
    </row>
    <row r="3991" spans="1:7" x14ac:dyDescent="0.3">
      <c r="A3991" s="84">
        <v>2026</v>
      </c>
      <c r="B3991" s="84" t="s">
        <v>398</v>
      </c>
      <c r="C3991" s="84">
        <v>13</v>
      </c>
      <c r="D3991" s="84">
        <v>30</v>
      </c>
      <c r="E3991" s="85">
        <v>15428.62</v>
      </c>
      <c r="F3991" s="85">
        <v>27445.24</v>
      </c>
      <c r="G3991" s="85">
        <v>12016.62</v>
      </c>
    </row>
    <row r="3992" spans="1:7" x14ac:dyDescent="0.3">
      <c r="A3992" s="84">
        <v>2026</v>
      </c>
      <c r="B3992" s="84" t="s">
        <v>398</v>
      </c>
      <c r="C3992" s="84">
        <v>14</v>
      </c>
      <c r="D3992" s="84">
        <v>1</v>
      </c>
      <c r="E3992" s="85">
        <v>15822.44</v>
      </c>
      <c r="F3992" s="85">
        <v>12087.8</v>
      </c>
      <c r="G3992" s="85">
        <v>-3734.64</v>
      </c>
    </row>
    <row r="3993" spans="1:7" x14ac:dyDescent="0.3">
      <c r="A3993" s="84">
        <v>2026</v>
      </c>
      <c r="B3993" s="84" t="s">
        <v>398</v>
      </c>
      <c r="C3993" s="84">
        <v>14</v>
      </c>
      <c r="D3993" s="84">
        <v>2</v>
      </c>
      <c r="E3993" s="85">
        <v>15822.44</v>
      </c>
      <c r="F3993" s="85">
        <v>12382.22</v>
      </c>
      <c r="G3993" s="85">
        <v>-3440.22</v>
      </c>
    </row>
    <row r="3994" spans="1:7" x14ac:dyDescent="0.3">
      <c r="A3994" s="84">
        <v>2026</v>
      </c>
      <c r="B3994" s="84" t="s">
        <v>398</v>
      </c>
      <c r="C3994" s="84">
        <v>14</v>
      </c>
      <c r="D3994" s="84">
        <v>3</v>
      </c>
      <c r="E3994" s="85">
        <v>15822.44</v>
      </c>
      <c r="F3994" s="85">
        <v>12677.2</v>
      </c>
      <c r="G3994" s="85">
        <v>-3145.24</v>
      </c>
    </row>
    <row r="3995" spans="1:7" x14ac:dyDescent="0.3">
      <c r="A3995" s="84">
        <v>2026</v>
      </c>
      <c r="B3995" s="84" t="s">
        <v>398</v>
      </c>
      <c r="C3995" s="84">
        <v>14</v>
      </c>
      <c r="D3995" s="84">
        <v>4</v>
      </c>
      <c r="E3995" s="85">
        <v>15822.44</v>
      </c>
      <c r="F3995" s="85">
        <v>12971.34</v>
      </c>
      <c r="G3995" s="85">
        <v>-2851.1</v>
      </c>
    </row>
    <row r="3996" spans="1:7" x14ac:dyDescent="0.3">
      <c r="A3996" s="84">
        <v>2026</v>
      </c>
      <c r="B3996" s="84" t="s">
        <v>398</v>
      </c>
      <c r="C3996" s="84">
        <v>14</v>
      </c>
      <c r="D3996" s="84">
        <v>5</v>
      </c>
      <c r="E3996" s="85">
        <v>15822.44</v>
      </c>
      <c r="F3996" s="85">
        <v>13266.04</v>
      </c>
      <c r="G3996" s="85">
        <v>-2556.4</v>
      </c>
    </row>
    <row r="3997" spans="1:7" x14ac:dyDescent="0.3">
      <c r="A3997" s="84">
        <v>2026</v>
      </c>
      <c r="B3997" s="84" t="s">
        <v>398</v>
      </c>
      <c r="C3997" s="84">
        <v>14</v>
      </c>
      <c r="D3997" s="84">
        <v>6</v>
      </c>
      <c r="E3997" s="85">
        <v>15822.44</v>
      </c>
      <c r="F3997" s="85">
        <v>13462.74</v>
      </c>
      <c r="G3997" s="85">
        <v>-2359.6999999999998</v>
      </c>
    </row>
    <row r="3998" spans="1:7" x14ac:dyDescent="0.3">
      <c r="A3998" s="84">
        <v>2026</v>
      </c>
      <c r="B3998" s="84" t="s">
        <v>398</v>
      </c>
      <c r="C3998" s="84">
        <v>14</v>
      </c>
      <c r="D3998" s="84">
        <v>7</v>
      </c>
      <c r="E3998" s="85">
        <v>15822.44</v>
      </c>
      <c r="F3998" s="85">
        <v>13659.44</v>
      </c>
      <c r="G3998" s="85">
        <v>-2163</v>
      </c>
    </row>
    <row r="3999" spans="1:7" x14ac:dyDescent="0.3">
      <c r="A3999" s="84">
        <v>2026</v>
      </c>
      <c r="B3999" s="84" t="s">
        <v>398</v>
      </c>
      <c r="C3999" s="84">
        <v>14</v>
      </c>
      <c r="D3999" s="84">
        <v>8</v>
      </c>
      <c r="E3999" s="85">
        <v>15822.44</v>
      </c>
      <c r="F3999" s="85">
        <v>13855.72</v>
      </c>
      <c r="G3999" s="85">
        <v>-1966.72</v>
      </c>
    </row>
    <row r="4000" spans="1:7" x14ac:dyDescent="0.3">
      <c r="A4000" s="84">
        <v>2026</v>
      </c>
      <c r="B4000" s="84" t="s">
        <v>398</v>
      </c>
      <c r="C4000" s="84">
        <v>14</v>
      </c>
      <c r="D4000" s="84">
        <v>9</v>
      </c>
      <c r="E4000" s="85">
        <v>15822.44</v>
      </c>
      <c r="F4000" s="85">
        <v>14052.84</v>
      </c>
      <c r="G4000" s="85">
        <v>-1769.6</v>
      </c>
    </row>
    <row r="4001" spans="1:7" x14ac:dyDescent="0.3">
      <c r="A4001" s="84">
        <v>2026</v>
      </c>
      <c r="B4001" s="84" t="s">
        <v>398</v>
      </c>
      <c r="C4001" s="84">
        <v>14</v>
      </c>
      <c r="D4001" s="84">
        <v>10</v>
      </c>
      <c r="E4001" s="85">
        <v>15822.44</v>
      </c>
      <c r="F4001" s="85">
        <v>14249.26</v>
      </c>
      <c r="G4001" s="85">
        <v>-1573.18</v>
      </c>
    </row>
    <row r="4002" spans="1:7" x14ac:dyDescent="0.3">
      <c r="A4002" s="84">
        <v>2026</v>
      </c>
      <c r="B4002" s="84" t="s">
        <v>398</v>
      </c>
      <c r="C4002" s="84">
        <v>14</v>
      </c>
      <c r="D4002" s="84">
        <v>11</v>
      </c>
      <c r="E4002" s="85">
        <v>15822.44</v>
      </c>
      <c r="F4002" s="85">
        <v>14641.82</v>
      </c>
      <c r="G4002" s="85">
        <v>-1180.6199999999999</v>
      </c>
    </row>
    <row r="4003" spans="1:7" x14ac:dyDescent="0.3">
      <c r="A4003" s="84">
        <v>2026</v>
      </c>
      <c r="B4003" s="84" t="s">
        <v>398</v>
      </c>
      <c r="C4003" s="84">
        <v>14</v>
      </c>
      <c r="D4003" s="84">
        <v>12</v>
      </c>
      <c r="E4003" s="85">
        <v>15822.44</v>
      </c>
      <c r="F4003" s="85">
        <v>15035.36</v>
      </c>
      <c r="G4003" s="85">
        <v>-787.08</v>
      </c>
    </row>
    <row r="4004" spans="1:7" x14ac:dyDescent="0.3">
      <c r="A4004" s="84">
        <v>2026</v>
      </c>
      <c r="B4004" s="84" t="s">
        <v>398</v>
      </c>
      <c r="C4004" s="84">
        <v>14</v>
      </c>
      <c r="D4004" s="84">
        <v>13</v>
      </c>
      <c r="E4004" s="85">
        <v>15822.44</v>
      </c>
      <c r="F4004" s="85">
        <v>15428.62</v>
      </c>
      <c r="G4004" s="85">
        <v>-393.82</v>
      </c>
    </row>
    <row r="4005" spans="1:7" x14ac:dyDescent="0.3">
      <c r="A4005" s="84">
        <v>2026</v>
      </c>
      <c r="B4005" s="84" t="s">
        <v>398</v>
      </c>
      <c r="C4005" s="84">
        <v>14</v>
      </c>
      <c r="D4005" s="84">
        <v>14</v>
      </c>
      <c r="E4005" s="85">
        <v>15822.44</v>
      </c>
      <c r="F4005" s="85">
        <v>15822.44</v>
      </c>
      <c r="G4005" s="85">
        <v>0</v>
      </c>
    </row>
    <row r="4006" spans="1:7" x14ac:dyDescent="0.3">
      <c r="A4006" s="84">
        <v>2026</v>
      </c>
      <c r="B4006" s="84" t="s">
        <v>398</v>
      </c>
      <c r="C4006" s="84">
        <v>14</v>
      </c>
      <c r="D4006" s="84">
        <v>15</v>
      </c>
      <c r="E4006" s="85">
        <v>15822.44</v>
      </c>
      <c r="F4006" s="85">
        <v>16214.72</v>
      </c>
      <c r="G4006" s="85">
        <v>392.28</v>
      </c>
    </row>
    <row r="4007" spans="1:7" x14ac:dyDescent="0.3">
      <c r="A4007" s="84">
        <v>2026</v>
      </c>
      <c r="B4007" s="84" t="s">
        <v>398</v>
      </c>
      <c r="C4007" s="84">
        <v>14</v>
      </c>
      <c r="D4007" s="84">
        <v>16</v>
      </c>
      <c r="E4007" s="85">
        <v>15822.44</v>
      </c>
      <c r="F4007" s="85">
        <v>16608.68</v>
      </c>
      <c r="G4007" s="85">
        <v>786.24</v>
      </c>
    </row>
    <row r="4008" spans="1:7" x14ac:dyDescent="0.3">
      <c r="A4008" s="84">
        <v>2026</v>
      </c>
      <c r="B4008" s="84" t="s">
        <v>398</v>
      </c>
      <c r="C4008" s="84">
        <v>14</v>
      </c>
      <c r="D4008" s="84">
        <v>17</v>
      </c>
      <c r="E4008" s="85">
        <v>15822.44</v>
      </c>
      <c r="F4008" s="85">
        <v>17000.96</v>
      </c>
      <c r="G4008" s="85">
        <v>1178.52</v>
      </c>
    </row>
    <row r="4009" spans="1:7" x14ac:dyDescent="0.3">
      <c r="A4009" s="84">
        <v>2026</v>
      </c>
      <c r="B4009" s="84" t="s">
        <v>398</v>
      </c>
      <c r="C4009" s="84">
        <v>14</v>
      </c>
      <c r="D4009" s="84">
        <v>18</v>
      </c>
      <c r="E4009" s="85">
        <v>15822.44</v>
      </c>
      <c r="F4009" s="85">
        <v>17394.5</v>
      </c>
      <c r="G4009" s="85">
        <v>1572.06</v>
      </c>
    </row>
    <row r="4010" spans="1:7" x14ac:dyDescent="0.3">
      <c r="A4010" s="84">
        <v>2026</v>
      </c>
      <c r="B4010" s="84" t="s">
        <v>398</v>
      </c>
      <c r="C4010" s="84">
        <v>14</v>
      </c>
      <c r="D4010" s="84">
        <v>19</v>
      </c>
      <c r="E4010" s="85">
        <v>15822.44</v>
      </c>
      <c r="F4010" s="85">
        <v>17787.62</v>
      </c>
      <c r="G4010" s="85">
        <v>1965.18</v>
      </c>
    </row>
    <row r="4011" spans="1:7" x14ac:dyDescent="0.3">
      <c r="A4011" s="84">
        <v>2026</v>
      </c>
      <c r="B4011" s="84" t="s">
        <v>398</v>
      </c>
      <c r="C4011" s="84">
        <v>14</v>
      </c>
      <c r="D4011" s="84">
        <v>20</v>
      </c>
      <c r="E4011" s="85">
        <v>15822.44</v>
      </c>
      <c r="F4011" s="85">
        <v>18180.599999999999</v>
      </c>
      <c r="G4011" s="85">
        <v>2358.16</v>
      </c>
    </row>
    <row r="4012" spans="1:7" x14ac:dyDescent="0.3">
      <c r="A4012" s="84">
        <v>2026</v>
      </c>
      <c r="B4012" s="84" t="s">
        <v>398</v>
      </c>
      <c r="C4012" s="84">
        <v>14</v>
      </c>
      <c r="D4012" s="84">
        <v>21</v>
      </c>
      <c r="E4012" s="85">
        <v>15822.44</v>
      </c>
      <c r="F4012" s="85">
        <v>18770</v>
      </c>
      <c r="G4012" s="85">
        <v>2947.56</v>
      </c>
    </row>
    <row r="4013" spans="1:7" x14ac:dyDescent="0.3">
      <c r="A4013" s="84">
        <v>2026</v>
      </c>
      <c r="B4013" s="84" t="s">
        <v>398</v>
      </c>
      <c r="C4013" s="84">
        <v>14</v>
      </c>
      <c r="D4013" s="84">
        <v>22</v>
      </c>
      <c r="E4013" s="85">
        <v>15822.44</v>
      </c>
      <c r="F4013" s="85">
        <v>19408.68</v>
      </c>
      <c r="G4013" s="85">
        <v>3586.24</v>
      </c>
    </row>
    <row r="4014" spans="1:7" x14ac:dyDescent="0.3">
      <c r="A4014" s="84">
        <v>2026</v>
      </c>
      <c r="B4014" s="84" t="s">
        <v>398</v>
      </c>
      <c r="C4014" s="84">
        <v>14</v>
      </c>
      <c r="D4014" s="84">
        <v>23</v>
      </c>
      <c r="E4014" s="85">
        <v>15822.44</v>
      </c>
      <c r="F4014" s="85">
        <v>20049.18</v>
      </c>
      <c r="G4014" s="85">
        <v>4226.74</v>
      </c>
    </row>
    <row r="4015" spans="1:7" x14ac:dyDescent="0.3">
      <c r="A4015" s="84">
        <v>2026</v>
      </c>
      <c r="B4015" s="84" t="s">
        <v>398</v>
      </c>
      <c r="C4015" s="84">
        <v>14</v>
      </c>
      <c r="D4015" s="84">
        <v>24</v>
      </c>
      <c r="E4015" s="85">
        <v>15822.44</v>
      </c>
      <c r="F4015" s="85">
        <v>20688.419999999998</v>
      </c>
      <c r="G4015" s="85">
        <v>4865.9799999999996</v>
      </c>
    </row>
    <row r="4016" spans="1:7" x14ac:dyDescent="0.3">
      <c r="A4016" s="84">
        <v>2026</v>
      </c>
      <c r="B4016" s="84" t="s">
        <v>398</v>
      </c>
      <c r="C4016" s="84">
        <v>14</v>
      </c>
      <c r="D4016" s="84">
        <v>25</v>
      </c>
      <c r="E4016" s="85">
        <v>15822.44</v>
      </c>
      <c r="F4016" s="85">
        <v>21328.5</v>
      </c>
      <c r="G4016" s="85">
        <v>5506.06</v>
      </c>
    </row>
    <row r="4017" spans="1:7" x14ac:dyDescent="0.3">
      <c r="A4017" s="84">
        <v>2026</v>
      </c>
      <c r="B4017" s="84" t="s">
        <v>398</v>
      </c>
      <c r="C4017" s="84">
        <v>14</v>
      </c>
      <c r="D4017" s="84">
        <v>26</v>
      </c>
      <c r="E4017" s="85">
        <v>15822.44</v>
      </c>
      <c r="F4017" s="85">
        <v>22707.78</v>
      </c>
      <c r="G4017" s="85">
        <v>6885.34</v>
      </c>
    </row>
    <row r="4018" spans="1:7" x14ac:dyDescent="0.3">
      <c r="A4018" s="84">
        <v>2026</v>
      </c>
      <c r="B4018" s="84" t="s">
        <v>398</v>
      </c>
      <c r="C4018" s="84">
        <v>14</v>
      </c>
      <c r="D4018" s="84">
        <v>27</v>
      </c>
      <c r="E4018" s="85">
        <v>15822.44</v>
      </c>
      <c r="F4018" s="85">
        <v>24417.040000000001</v>
      </c>
      <c r="G4018" s="85">
        <v>8594.6</v>
      </c>
    </row>
    <row r="4019" spans="1:7" x14ac:dyDescent="0.3">
      <c r="A4019" s="84">
        <v>2026</v>
      </c>
      <c r="B4019" s="84" t="s">
        <v>398</v>
      </c>
      <c r="C4019" s="84">
        <v>14</v>
      </c>
      <c r="D4019" s="84">
        <v>28</v>
      </c>
      <c r="E4019" s="85">
        <v>15822.44</v>
      </c>
      <c r="F4019" s="85">
        <v>25057.54</v>
      </c>
      <c r="G4019" s="85">
        <v>9235.1</v>
      </c>
    </row>
    <row r="4020" spans="1:7" x14ac:dyDescent="0.3">
      <c r="A4020" s="84">
        <v>2026</v>
      </c>
      <c r="B4020" s="84" t="s">
        <v>398</v>
      </c>
      <c r="C4020" s="84">
        <v>14</v>
      </c>
      <c r="D4020" s="84">
        <v>29</v>
      </c>
      <c r="E4020" s="85">
        <v>15822.44</v>
      </c>
      <c r="F4020" s="85">
        <v>25696.92</v>
      </c>
      <c r="G4020" s="85">
        <v>9874.48</v>
      </c>
    </row>
    <row r="4021" spans="1:7" x14ac:dyDescent="0.3">
      <c r="A4021" s="84">
        <v>2026</v>
      </c>
      <c r="B4021" s="84" t="s">
        <v>398</v>
      </c>
      <c r="C4021" s="84">
        <v>14</v>
      </c>
      <c r="D4021" s="84">
        <v>30</v>
      </c>
      <c r="E4021" s="85">
        <v>15822.44</v>
      </c>
      <c r="F4021" s="85">
        <v>27445.24</v>
      </c>
      <c r="G4021" s="85">
        <v>11622.8</v>
      </c>
    </row>
    <row r="4022" spans="1:7" x14ac:dyDescent="0.3">
      <c r="A4022" s="84">
        <v>2026</v>
      </c>
      <c r="B4022" s="84" t="s">
        <v>398</v>
      </c>
      <c r="C4022" s="84">
        <v>15</v>
      </c>
      <c r="D4022" s="84">
        <v>1</v>
      </c>
      <c r="E4022" s="85">
        <v>16214.72</v>
      </c>
      <c r="F4022" s="85">
        <v>12087.8</v>
      </c>
      <c r="G4022" s="85">
        <v>-4126.92</v>
      </c>
    </row>
    <row r="4023" spans="1:7" x14ac:dyDescent="0.3">
      <c r="A4023" s="84">
        <v>2026</v>
      </c>
      <c r="B4023" s="84" t="s">
        <v>398</v>
      </c>
      <c r="C4023" s="84">
        <v>15</v>
      </c>
      <c r="D4023" s="84">
        <v>2</v>
      </c>
      <c r="E4023" s="85">
        <v>16214.72</v>
      </c>
      <c r="F4023" s="85">
        <v>12382.22</v>
      </c>
      <c r="G4023" s="85">
        <v>-3832.5</v>
      </c>
    </row>
    <row r="4024" spans="1:7" x14ac:dyDescent="0.3">
      <c r="A4024" s="84">
        <v>2026</v>
      </c>
      <c r="B4024" s="84" t="s">
        <v>398</v>
      </c>
      <c r="C4024" s="84">
        <v>15</v>
      </c>
      <c r="D4024" s="84">
        <v>3</v>
      </c>
      <c r="E4024" s="85">
        <v>16214.72</v>
      </c>
      <c r="F4024" s="85">
        <v>12677.2</v>
      </c>
      <c r="G4024" s="85">
        <v>-3537.52</v>
      </c>
    </row>
    <row r="4025" spans="1:7" x14ac:dyDescent="0.3">
      <c r="A4025" s="84">
        <v>2026</v>
      </c>
      <c r="B4025" s="84" t="s">
        <v>398</v>
      </c>
      <c r="C4025" s="84">
        <v>15</v>
      </c>
      <c r="D4025" s="84">
        <v>4</v>
      </c>
      <c r="E4025" s="85">
        <v>16214.72</v>
      </c>
      <c r="F4025" s="85">
        <v>12971.34</v>
      </c>
      <c r="G4025" s="85">
        <v>-3243.38</v>
      </c>
    </row>
    <row r="4026" spans="1:7" x14ac:dyDescent="0.3">
      <c r="A4026" s="84">
        <v>2026</v>
      </c>
      <c r="B4026" s="84" t="s">
        <v>398</v>
      </c>
      <c r="C4026" s="84">
        <v>15</v>
      </c>
      <c r="D4026" s="84">
        <v>5</v>
      </c>
      <c r="E4026" s="85">
        <v>16214.72</v>
      </c>
      <c r="F4026" s="85">
        <v>13266.04</v>
      </c>
      <c r="G4026" s="85">
        <v>-2948.68</v>
      </c>
    </row>
    <row r="4027" spans="1:7" x14ac:dyDescent="0.3">
      <c r="A4027" s="84">
        <v>2026</v>
      </c>
      <c r="B4027" s="84" t="s">
        <v>398</v>
      </c>
      <c r="C4027" s="84">
        <v>15</v>
      </c>
      <c r="D4027" s="84">
        <v>6</v>
      </c>
      <c r="E4027" s="85">
        <v>16214.72</v>
      </c>
      <c r="F4027" s="85">
        <v>13462.74</v>
      </c>
      <c r="G4027" s="85">
        <v>-2751.98</v>
      </c>
    </row>
    <row r="4028" spans="1:7" x14ac:dyDescent="0.3">
      <c r="A4028" s="84">
        <v>2026</v>
      </c>
      <c r="B4028" s="84" t="s">
        <v>398</v>
      </c>
      <c r="C4028" s="84">
        <v>15</v>
      </c>
      <c r="D4028" s="84">
        <v>7</v>
      </c>
      <c r="E4028" s="85">
        <v>16214.72</v>
      </c>
      <c r="F4028" s="85">
        <v>13659.44</v>
      </c>
      <c r="G4028" s="85">
        <v>-2555.2800000000002</v>
      </c>
    </row>
    <row r="4029" spans="1:7" x14ac:dyDescent="0.3">
      <c r="A4029" s="84">
        <v>2026</v>
      </c>
      <c r="B4029" s="84" t="s">
        <v>398</v>
      </c>
      <c r="C4029" s="84">
        <v>15</v>
      </c>
      <c r="D4029" s="84">
        <v>8</v>
      </c>
      <c r="E4029" s="85">
        <v>16214.72</v>
      </c>
      <c r="F4029" s="85">
        <v>13855.72</v>
      </c>
      <c r="G4029" s="85">
        <v>-2359</v>
      </c>
    </row>
    <row r="4030" spans="1:7" x14ac:dyDescent="0.3">
      <c r="A4030" s="84">
        <v>2026</v>
      </c>
      <c r="B4030" s="84" t="s">
        <v>398</v>
      </c>
      <c r="C4030" s="84">
        <v>15</v>
      </c>
      <c r="D4030" s="84">
        <v>9</v>
      </c>
      <c r="E4030" s="85">
        <v>16214.72</v>
      </c>
      <c r="F4030" s="85">
        <v>14052.84</v>
      </c>
      <c r="G4030" s="85">
        <v>-2161.88</v>
      </c>
    </row>
    <row r="4031" spans="1:7" x14ac:dyDescent="0.3">
      <c r="A4031" s="84">
        <v>2026</v>
      </c>
      <c r="B4031" s="84" t="s">
        <v>398</v>
      </c>
      <c r="C4031" s="84">
        <v>15</v>
      </c>
      <c r="D4031" s="84">
        <v>10</v>
      </c>
      <c r="E4031" s="85">
        <v>16214.72</v>
      </c>
      <c r="F4031" s="85">
        <v>14249.26</v>
      </c>
      <c r="G4031" s="85">
        <v>-1965.46</v>
      </c>
    </row>
    <row r="4032" spans="1:7" x14ac:dyDescent="0.3">
      <c r="A4032" s="84">
        <v>2026</v>
      </c>
      <c r="B4032" s="84" t="s">
        <v>398</v>
      </c>
      <c r="C4032" s="84">
        <v>15</v>
      </c>
      <c r="D4032" s="84">
        <v>11</v>
      </c>
      <c r="E4032" s="85">
        <v>16214.72</v>
      </c>
      <c r="F4032" s="85">
        <v>14641.82</v>
      </c>
      <c r="G4032" s="85">
        <v>-1572.9</v>
      </c>
    </row>
    <row r="4033" spans="1:7" x14ac:dyDescent="0.3">
      <c r="A4033" s="84">
        <v>2026</v>
      </c>
      <c r="B4033" s="84" t="s">
        <v>398</v>
      </c>
      <c r="C4033" s="84">
        <v>15</v>
      </c>
      <c r="D4033" s="84">
        <v>12</v>
      </c>
      <c r="E4033" s="85">
        <v>16214.72</v>
      </c>
      <c r="F4033" s="85">
        <v>15035.36</v>
      </c>
      <c r="G4033" s="85">
        <v>-1179.3599999999999</v>
      </c>
    </row>
    <row r="4034" spans="1:7" x14ac:dyDescent="0.3">
      <c r="A4034" s="84">
        <v>2026</v>
      </c>
      <c r="B4034" s="84" t="s">
        <v>398</v>
      </c>
      <c r="C4034" s="84">
        <v>15</v>
      </c>
      <c r="D4034" s="84">
        <v>13</v>
      </c>
      <c r="E4034" s="85">
        <v>16214.72</v>
      </c>
      <c r="F4034" s="85">
        <v>15428.62</v>
      </c>
      <c r="G4034" s="85">
        <v>-786.1</v>
      </c>
    </row>
    <row r="4035" spans="1:7" x14ac:dyDescent="0.3">
      <c r="A4035" s="84">
        <v>2026</v>
      </c>
      <c r="B4035" s="84" t="s">
        <v>398</v>
      </c>
      <c r="C4035" s="84">
        <v>15</v>
      </c>
      <c r="D4035" s="84">
        <v>14</v>
      </c>
      <c r="E4035" s="85">
        <v>16214.72</v>
      </c>
      <c r="F4035" s="85">
        <v>15822.44</v>
      </c>
      <c r="G4035" s="85">
        <v>-392.28</v>
      </c>
    </row>
    <row r="4036" spans="1:7" x14ac:dyDescent="0.3">
      <c r="A4036" s="84">
        <v>2026</v>
      </c>
      <c r="B4036" s="84" t="s">
        <v>398</v>
      </c>
      <c r="C4036" s="84">
        <v>15</v>
      </c>
      <c r="D4036" s="84">
        <v>15</v>
      </c>
      <c r="E4036" s="85">
        <v>16214.72</v>
      </c>
      <c r="F4036" s="85">
        <v>16214.72</v>
      </c>
      <c r="G4036" s="85">
        <v>0</v>
      </c>
    </row>
    <row r="4037" spans="1:7" x14ac:dyDescent="0.3">
      <c r="A4037" s="84">
        <v>2026</v>
      </c>
      <c r="B4037" s="84" t="s">
        <v>398</v>
      </c>
      <c r="C4037" s="84">
        <v>15</v>
      </c>
      <c r="D4037" s="84">
        <v>16</v>
      </c>
      <c r="E4037" s="85">
        <v>16214.72</v>
      </c>
      <c r="F4037" s="85">
        <v>16608.68</v>
      </c>
      <c r="G4037" s="85">
        <v>393.96</v>
      </c>
    </row>
    <row r="4038" spans="1:7" x14ac:dyDescent="0.3">
      <c r="A4038" s="84">
        <v>2026</v>
      </c>
      <c r="B4038" s="84" t="s">
        <v>398</v>
      </c>
      <c r="C4038" s="84">
        <v>15</v>
      </c>
      <c r="D4038" s="84">
        <v>17</v>
      </c>
      <c r="E4038" s="85">
        <v>16214.72</v>
      </c>
      <c r="F4038" s="85">
        <v>17000.96</v>
      </c>
      <c r="G4038" s="85">
        <v>786.24</v>
      </c>
    </row>
    <row r="4039" spans="1:7" x14ac:dyDescent="0.3">
      <c r="A4039" s="84">
        <v>2026</v>
      </c>
      <c r="B4039" s="84" t="s">
        <v>398</v>
      </c>
      <c r="C4039" s="84">
        <v>15</v>
      </c>
      <c r="D4039" s="84">
        <v>18</v>
      </c>
      <c r="E4039" s="85">
        <v>16214.72</v>
      </c>
      <c r="F4039" s="85">
        <v>17394.5</v>
      </c>
      <c r="G4039" s="85">
        <v>1179.78</v>
      </c>
    </row>
    <row r="4040" spans="1:7" x14ac:dyDescent="0.3">
      <c r="A4040" s="84">
        <v>2026</v>
      </c>
      <c r="B4040" s="84" t="s">
        <v>398</v>
      </c>
      <c r="C4040" s="84">
        <v>15</v>
      </c>
      <c r="D4040" s="84">
        <v>19</v>
      </c>
      <c r="E4040" s="85">
        <v>16214.72</v>
      </c>
      <c r="F4040" s="85">
        <v>17787.62</v>
      </c>
      <c r="G4040" s="85">
        <v>1572.9</v>
      </c>
    </row>
    <row r="4041" spans="1:7" x14ac:dyDescent="0.3">
      <c r="A4041" s="84">
        <v>2026</v>
      </c>
      <c r="B4041" s="84" t="s">
        <v>398</v>
      </c>
      <c r="C4041" s="84">
        <v>15</v>
      </c>
      <c r="D4041" s="84">
        <v>20</v>
      </c>
      <c r="E4041" s="85">
        <v>16214.72</v>
      </c>
      <c r="F4041" s="85">
        <v>18180.599999999999</v>
      </c>
      <c r="G4041" s="85">
        <v>1965.88</v>
      </c>
    </row>
    <row r="4042" spans="1:7" x14ac:dyDescent="0.3">
      <c r="A4042" s="84">
        <v>2026</v>
      </c>
      <c r="B4042" s="84" t="s">
        <v>398</v>
      </c>
      <c r="C4042" s="84">
        <v>15</v>
      </c>
      <c r="D4042" s="84">
        <v>21</v>
      </c>
      <c r="E4042" s="85">
        <v>16214.72</v>
      </c>
      <c r="F4042" s="85">
        <v>18770</v>
      </c>
      <c r="G4042" s="85">
        <v>2555.2800000000002</v>
      </c>
    </row>
    <row r="4043" spans="1:7" x14ac:dyDescent="0.3">
      <c r="A4043" s="84">
        <v>2026</v>
      </c>
      <c r="B4043" s="84" t="s">
        <v>398</v>
      </c>
      <c r="C4043" s="84">
        <v>15</v>
      </c>
      <c r="D4043" s="84">
        <v>22</v>
      </c>
      <c r="E4043" s="85">
        <v>16214.72</v>
      </c>
      <c r="F4043" s="85">
        <v>19408.68</v>
      </c>
      <c r="G4043" s="85">
        <v>3193.96</v>
      </c>
    </row>
    <row r="4044" spans="1:7" x14ac:dyDescent="0.3">
      <c r="A4044" s="84">
        <v>2026</v>
      </c>
      <c r="B4044" s="84" t="s">
        <v>398</v>
      </c>
      <c r="C4044" s="84">
        <v>15</v>
      </c>
      <c r="D4044" s="84">
        <v>23</v>
      </c>
      <c r="E4044" s="85">
        <v>16214.72</v>
      </c>
      <c r="F4044" s="85">
        <v>20049.18</v>
      </c>
      <c r="G4044" s="85">
        <v>3834.46</v>
      </c>
    </row>
    <row r="4045" spans="1:7" x14ac:dyDescent="0.3">
      <c r="A4045" s="84">
        <v>2026</v>
      </c>
      <c r="B4045" s="84" t="s">
        <v>398</v>
      </c>
      <c r="C4045" s="84">
        <v>15</v>
      </c>
      <c r="D4045" s="84">
        <v>24</v>
      </c>
      <c r="E4045" s="85">
        <v>16214.72</v>
      </c>
      <c r="F4045" s="85">
        <v>20688.419999999998</v>
      </c>
      <c r="G4045" s="85">
        <v>4473.7</v>
      </c>
    </row>
    <row r="4046" spans="1:7" x14ac:dyDescent="0.3">
      <c r="A4046" s="84">
        <v>2026</v>
      </c>
      <c r="B4046" s="84" t="s">
        <v>398</v>
      </c>
      <c r="C4046" s="84">
        <v>15</v>
      </c>
      <c r="D4046" s="84">
        <v>25</v>
      </c>
      <c r="E4046" s="85">
        <v>16214.72</v>
      </c>
      <c r="F4046" s="85">
        <v>21328.5</v>
      </c>
      <c r="G4046" s="85">
        <v>5113.78</v>
      </c>
    </row>
    <row r="4047" spans="1:7" x14ac:dyDescent="0.3">
      <c r="A4047" s="84">
        <v>2026</v>
      </c>
      <c r="B4047" s="84" t="s">
        <v>398</v>
      </c>
      <c r="C4047" s="84">
        <v>15</v>
      </c>
      <c r="D4047" s="84">
        <v>26</v>
      </c>
      <c r="E4047" s="85">
        <v>16214.72</v>
      </c>
      <c r="F4047" s="85">
        <v>22707.78</v>
      </c>
      <c r="G4047" s="85">
        <v>6493.06</v>
      </c>
    </row>
    <row r="4048" spans="1:7" x14ac:dyDescent="0.3">
      <c r="A4048" s="84">
        <v>2026</v>
      </c>
      <c r="B4048" s="84" t="s">
        <v>398</v>
      </c>
      <c r="C4048" s="84">
        <v>15</v>
      </c>
      <c r="D4048" s="84">
        <v>27</v>
      </c>
      <c r="E4048" s="85">
        <v>16214.72</v>
      </c>
      <c r="F4048" s="85">
        <v>24417.040000000001</v>
      </c>
      <c r="G4048" s="85">
        <v>8202.32</v>
      </c>
    </row>
    <row r="4049" spans="1:7" x14ac:dyDescent="0.3">
      <c r="A4049" s="84">
        <v>2026</v>
      </c>
      <c r="B4049" s="84" t="s">
        <v>398</v>
      </c>
      <c r="C4049" s="84">
        <v>15</v>
      </c>
      <c r="D4049" s="84">
        <v>28</v>
      </c>
      <c r="E4049" s="85">
        <v>16214.72</v>
      </c>
      <c r="F4049" s="85">
        <v>25057.54</v>
      </c>
      <c r="G4049" s="85">
        <v>8842.82</v>
      </c>
    </row>
    <row r="4050" spans="1:7" x14ac:dyDescent="0.3">
      <c r="A4050" s="84">
        <v>2026</v>
      </c>
      <c r="B4050" s="84" t="s">
        <v>398</v>
      </c>
      <c r="C4050" s="84">
        <v>15</v>
      </c>
      <c r="D4050" s="84">
        <v>29</v>
      </c>
      <c r="E4050" s="85">
        <v>16214.72</v>
      </c>
      <c r="F4050" s="85">
        <v>25696.92</v>
      </c>
      <c r="G4050" s="85">
        <v>9482.2000000000007</v>
      </c>
    </row>
    <row r="4051" spans="1:7" x14ac:dyDescent="0.3">
      <c r="A4051" s="84">
        <v>2026</v>
      </c>
      <c r="B4051" s="84" t="s">
        <v>398</v>
      </c>
      <c r="C4051" s="84">
        <v>15</v>
      </c>
      <c r="D4051" s="84">
        <v>30</v>
      </c>
      <c r="E4051" s="85">
        <v>16214.72</v>
      </c>
      <c r="F4051" s="85">
        <v>27445.24</v>
      </c>
      <c r="G4051" s="85">
        <v>11230.52</v>
      </c>
    </row>
    <row r="4052" spans="1:7" x14ac:dyDescent="0.3">
      <c r="A4052" s="84">
        <v>2026</v>
      </c>
      <c r="B4052" s="84" t="s">
        <v>398</v>
      </c>
      <c r="C4052" s="84">
        <v>16</v>
      </c>
      <c r="D4052" s="84">
        <v>1</v>
      </c>
      <c r="E4052" s="85">
        <v>16608.68</v>
      </c>
      <c r="F4052" s="85">
        <v>12087.8</v>
      </c>
      <c r="G4052" s="85">
        <v>-4520.88</v>
      </c>
    </row>
    <row r="4053" spans="1:7" x14ac:dyDescent="0.3">
      <c r="A4053" s="84">
        <v>2026</v>
      </c>
      <c r="B4053" s="84" t="s">
        <v>398</v>
      </c>
      <c r="C4053" s="84">
        <v>16</v>
      </c>
      <c r="D4053" s="84">
        <v>2</v>
      </c>
      <c r="E4053" s="85">
        <v>16608.68</v>
      </c>
      <c r="F4053" s="85">
        <v>12382.22</v>
      </c>
      <c r="G4053" s="85">
        <v>-4226.46</v>
      </c>
    </row>
    <row r="4054" spans="1:7" x14ac:dyDescent="0.3">
      <c r="A4054" s="84">
        <v>2026</v>
      </c>
      <c r="B4054" s="84" t="s">
        <v>398</v>
      </c>
      <c r="C4054" s="84">
        <v>16</v>
      </c>
      <c r="D4054" s="84">
        <v>3</v>
      </c>
      <c r="E4054" s="85">
        <v>16608.68</v>
      </c>
      <c r="F4054" s="85">
        <v>12677.2</v>
      </c>
      <c r="G4054" s="85">
        <v>-3931.48</v>
      </c>
    </row>
    <row r="4055" spans="1:7" x14ac:dyDescent="0.3">
      <c r="A4055" s="84">
        <v>2026</v>
      </c>
      <c r="B4055" s="84" t="s">
        <v>398</v>
      </c>
      <c r="C4055" s="84">
        <v>16</v>
      </c>
      <c r="D4055" s="84">
        <v>4</v>
      </c>
      <c r="E4055" s="85">
        <v>16608.68</v>
      </c>
      <c r="F4055" s="85">
        <v>12971.34</v>
      </c>
      <c r="G4055" s="85">
        <v>-3637.34</v>
      </c>
    </row>
    <row r="4056" spans="1:7" x14ac:dyDescent="0.3">
      <c r="A4056" s="84">
        <v>2026</v>
      </c>
      <c r="B4056" s="84" t="s">
        <v>398</v>
      </c>
      <c r="C4056" s="84">
        <v>16</v>
      </c>
      <c r="D4056" s="84">
        <v>5</v>
      </c>
      <c r="E4056" s="85">
        <v>16608.68</v>
      </c>
      <c r="F4056" s="85">
        <v>13266.04</v>
      </c>
      <c r="G4056" s="85">
        <v>-3342.64</v>
      </c>
    </row>
    <row r="4057" spans="1:7" x14ac:dyDescent="0.3">
      <c r="A4057" s="84">
        <v>2026</v>
      </c>
      <c r="B4057" s="84" t="s">
        <v>398</v>
      </c>
      <c r="C4057" s="84">
        <v>16</v>
      </c>
      <c r="D4057" s="84">
        <v>6</v>
      </c>
      <c r="E4057" s="85">
        <v>16608.68</v>
      </c>
      <c r="F4057" s="85">
        <v>13462.74</v>
      </c>
      <c r="G4057" s="85">
        <v>-3145.94</v>
      </c>
    </row>
    <row r="4058" spans="1:7" x14ac:dyDescent="0.3">
      <c r="A4058" s="84">
        <v>2026</v>
      </c>
      <c r="B4058" s="84" t="s">
        <v>398</v>
      </c>
      <c r="C4058" s="84">
        <v>16</v>
      </c>
      <c r="D4058" s="84">
        <v>7</v>
      </c>
      <c r="E4058" s="85">
        <v>16608.68</v>
      </c>
      <c r="F4058" s="85">
        <v>13659.44</v>
      </c>
      <c r="G4058" s="85">
        <v>-2949.24</v>
      </c>
    </row>
    <row r="4059" spans="1:7" x14ac:dyDescent="0.3">
      <c r="A4059" s="84">
        <v>2026</v>
      </c>
      <c r="B4059" s="84" t="s">
        <v>398</v>
      </c>
      <c r="C4059" s="84">
        <v>16</v>
      </c>
      <c r="D4059" s="84">
        <v>8</v>
      </c>
      <c r="E4059" s="85">
        <v>16608.68</v>
      </c>
      <c r="F4059" s="85">
        <v>13855.72</v>
      </c>
      <c r="G4059" s="85">
        <v>-2752.96</v>
      </c>
    </row>
    <row r="4060" spans="1:7" x14ac:dyDescent="0.3">
      <c r="A4060" s="84">
        <v>2026</v>
      </c>
      <c r="B4060" s="84" t="s">
        <v>398</v>
      </c>
      <c r="C4060" s="84">
        <v>16</v>
      </c>
      <c r="D4060" s="84">
        <v>9</v>
      </c>
      <c r="E4060" s="85">
        <v>16608.68</v>
      </c>
      <c r="F4060" s="85">
        <v>14052.84</v>
      </c>
      <c r="G4060" s="85">
        <v>-2555.84</v>
      </c>
    </row>
    <row r="4061" spans="1:7" x14ac:dyDescent="0.3">
      <c r="A4061" s="84">
        <v>2026</v>
      </c>
      <c r="B4061" s="84" t="s">
        <v>398</v>
      </c>
      <c r="C4061" s="84">
        <v>16</v>
      </c>
      <c r="D4061" s="84">
        <v>10</v>
      </c>
      <c r="E4061" s="85">
        <v>16608.68</v>
      </c>
      <c r="F4061" s="85">
        <v>14249.26</v>
      </c>
      <c r="G4061" s="85">
        <v>-2359.42</v>
      </c>
    </row>
    <row r="4062" spans="1:7" x14ac:dyDescent="0.3">
      <c r="A4062" s="84">
        <v>2026</v>
      </c>
      <c r="B4062" s="84" t="s">
        <v>398</v>
      </c>
      <c r="C4062" s="84">
        <v>16</v>
      </c>
      <c r="D4062" s="84">
        <v>11</v>
      </c>
      <c r="E4062" s="85">
        <v>16608.68</v>
      </c>
      <c r="F4062" s="85">
        <v>14641.82</v>
      </c>
      <c r="G4062" s="85">
        <v>-1966.86</v>
      </c>
    </row>
    <row r="4063" spans="1:7" x14ac:dyDescent="0.3">
      <c r="A4063" s="84">
        <v>2026</v>
      </c>
      <c r="B4063" s="84" t="s">
        <v>398</v>
      </c>
      <c r="C4063" s="84">
        <v>16</v>
      </c>
      <c r="D4063" s="84">
        <v>12</v>
      </c>
      <c r="E4063" s="85">
        <v>16608.68</v>
      </c>
      <c r="F4063" s="85">
        <v>15035.36</v>
      </c>
      <c r="G4063" s="85">
        <v>-1573.32</v>
      </c>
    </row>
    <row r="4064" spans="1:7" x14ac:dyDescent="0.3">
      <c r="A4064" s="84">
        <v>2026</v>
      </c>
      <c r="B4064" s="84" t="s">
        <v>398</v>
      </c>
      <c r="C4064" s="84">
        <v>16</v>
      </c>
      <c r="D4064" s="84">
        <v>13</v>
      </c>
      <c r="E4064" s="85">
        <v>16608.68</v>
      </c>
      <c r="F4064" s="85">
        <v>15428.62</v>
      </c>
      <c r="G4064" s="85">
        <v>-1180.06</v>
      </c>
    </row>
    <row r="4065" spans="1:7" x14ac:dyDescent="0.3">
      <c r="A4065" s="84">
        <v>2026</v>
      </c>
      <c r="B4065" s="84" t="s">
        <v>398</v>
      </c>
      <c r="C4065" s="84">
        <v>16</v>
      </c>
      <c r="D4065" s="84">
        <v>14</v>
      </c>
      <c r="E4065" s="85">
        <v>16608.68</v>
      </c>
      <c r="F4065" s="85">
        <v>15822.44</v>
      </c>
      <c r="G4065" s="85">
        <v>-786.24</v>
      </c>
    </row>
    <row r="4066" spans="1:7" x14ac:dyDescent="0.3">
      <c r="A4066" s="84">
        <v>2026</v>
      </c>
      <c r="B4066" s="84" t="s">
        <v>398</v>
      </c>
      <c r="C4066" s="84">
        <v>16</v>
      </c>
      <c r="D4066" s="84">
        <v>15</v>
      </c>
      <c r="E4066" s="85">
        <v>16608.68</v>
      </c>
      <c r="F4066" s="85">
        <v>16214.72</v>
      </c>
      <c r="G4066" s="85">
        <v>-393.96</v>
      </c>
    </row>
    <row r="4067" spans="1:7" x14ac:dyDescent="0.3">
      <c r="A4067" s="84">
        <v>2026</v>
      </c>
      <c r="B4067" s="84" t="s">
        <v>398</v>
      </c>
      <c r="C4067" s="84">
        <v>16</v>
      </c>
      <c r="D4067" s="84">
        <v>16</v>
      </c>
      <c r="E4067" s="85">
        <v>16608.68</v>
      </c>
      <c r="F4067" s="85">
        <v>16608.68</v>
      </c>
      <c r="G4067" s="85">
        <v>0</v>
      </c>
    </row>
    <row r="4068" spans="1:7" x14ac:dyDescent="0.3">
      <c r="A4068" s="84">
        <v>2026</v>
      </c>
      <c r="B4068" s="84" t="s">
        <v>398</v>
      </c>
      <c r="C4068" s="84">
        <v>16</v>
      </c>
      <c r="D4068" s="84">
        <v>17</v>
      </c>
      <c r="E4068" s="85">
        <v>16608.68</v>
      </c>
      <c r="F4068" s="85">
        <v>17000.96</v>
      </c>
      <c r="G4068" s="85">
        <v>392.28</v>
      </c>
    </row>
    <row r="4069" spans="1:7" x14ac:dyDescent="0.3">
      <c r="A4069" s="84">
        <v>2026</v>
      </c>
      <c r="B4069" s="84" t="s">
        <v>398</v>
      </c>
      <c r="C4069" s="84">
        <v>16</v>
      </c>
      <c r="D4069" s="84">
        <v>18</v>
      </c>
      <c r="E4069" s="85">
        <v>16608.68</v>
      </c>
      <c r="F4069" s="85">
        <v>17394.5</v>
      </c>
      <c r="G4069" s="85">
        <v>785.82</v>
      </c>
    </row>
    <row r="4070" spans="1:7" x14ac:dyDescent="0.3">
      <c r="A4070" s="84">
        <v>2026</v>
      </c>
      <c r="B4070" s="84" t="s">
        <v>398</v>
      </c>
      <c r="C4070" s="84">
        <v>16</v>
      </c>
      <c r="D4070" s="84">
        <v>19</v>
      </c>
      <c r="E4070" s="85">
        <v>16608.68</v>
      </c>
      <c r="F4070" s="85">
        <v>17787.62</v>
      </c>
      <c r="G4070" s="85">
        <v>1178.94</v>
      </c>
    </row>
    <row r="4071" spans="1:7" x14ac:dyDescent="0.3">
      <c r="A4071" s="84">
        <v>2026</v>
      </c>
      <c r="B4071" s="84" t="s">
        <v>398</v>
      </c>
      <c r="C4071" s="84">
        <v>16</v>
      </c>
      <c r="D4071" s="84">
        <v>20</v>
      </c>
      <c r="E4071" s="85">
        <v>16608.68</v>
      </c>
      <c r="F4071" s="85">
        <v>18180.599999999999</v>
      </c>
      <c r="G4071" s="85">
        <v>1571.92</v>
      </c>
    </row>
    <row r="4072" spans="1:7" x14ac:dyDescent="0.3">
      <c r="A4072" s="84">
        <v>2026</v>
      </c>
      <c r="B4072" s="84" t="s">
        <v>398</v>
      </c>
      <c r="C4072" s="84">
        <v>16</v>
      </c>
      <c r="D4072" s="84">
        <v>21</v>
      </c>
      <c r="E4072" s="85">
        <v>16608.68</v>
      </c>
      <c r="F4072" s="85">
        <v>18770</v>
      </c>
      <c r="G4072" s="85">
        <v>2161.3200000000002</v>
      </c>
    </row>
    <row r="4073" spans="1:7" x14ac:dyDescent="0.3">
      <c r="A4073" s="84">
        <v>2026</v>
      </c>
      <c r="B4073" s="84" t="s">
        <v>398</v>
      </c>
      <c r="C4073" s="84">
        <v>16</v>
      </c>
      <c r="D4073" s="84">
        <v>22</v>
      </c>
      <c r="E4073" s="85">
        <v>16608.68</v>
      </c>
      <c r="F4073" s="85">
        <v>19408.68</v>
      </c>
      <c r="G4073" s="85">
        <v>2800</v>
      </c>
    </row>
    <row r="4074" spans="1:7" x14ac:dyDescent="0.3">
      <c r="A4074" s="84">
        <v>2026</v>
      </c>
      <c r="B4074" s="84" t="s">
        <v>398</v>
      </c>
      <c r="C4074" s="84">
        <v>16</v>
      </c>
      <c r="D4074" s="84">
        <v>23</v>
      </c>
      <c r="E4074" s="85">
        <v>16608.68</v>
      </c>
      <c r="F4074" s="85">
        <v>20049.18</v>
      </c>
      <c r="G4074" s="85">
        <v>3440.5</v>
      </c>
    </row>
    <row r="4075" spans="1:7" x14ac:dyDescent="0.3">
      <c r="A4075" s="84">
        <v>2026</v>
      </c>
      <c r="B4075" s="84" t="s">
        <v>398</v>
      </c>
      <c r="C4075" s="84">
        <v>16</v>
      </c>
      <c r="D4075" s="84">
        <v>24</v>
      </c>
      <c r="E4075" s="85">
        <v>16608.68</v>
      </c>
      <c r="F4075" s="85">
        <v>20688.419999999998</v>
      </c>
      <c r="G4075" s="85">
        <v>4079.74</v>
      </c>
    </row>
    <row r="4076" spans="1:7" x14ac:dyDescent="0.3">
      <c r="A4076" s="84">
        <v>2026</v>
      </c>
      <c r="B4076" s="84" t="s">
        <v>398</v>
      </c>
      <c r="C4076" s="84">
        <v>16</v>
      </c>
      <c r="D4076" s="84">
        <v>25</v>
      </c>
      <c r="E4076" s="85">
        <v>16608.68</v>
      </c>
      <c r="F4076" s="85">
        <v>21328.5</v>
      </c>
      <c r="G4076" s="85">
        <v>4719.82</v>
      </c>
    </row>
    <row r="4077" spans="1:7" x14ac:dyDescent="0.3">
      <c r="A4077" s="84">
        <v>2026</v>
      </c>
      <c r="B4077" s="84" t="s">
        <v>398</v>
      </c>
      <c r="C4077" s="84">
        <v>16</v>
      </c>
      <c r="D4077" s="84">
        <v>26</v>
      </c>
      <c r="E4077" s="85">
        <v>16608.68</v>
      </c>
      <c r="F4077" s="85">
        <v>22707.78</v>
      </c>
      <c r="G4077" s="85">
        <v>6099.1</v>
      </c>
    </row>
    <row r="4078" spans="1:7" x14ac:dyDescent="0.3">
      <c r="A4078" s="84">
        <v>2026</v>
      </c>
      <c r="B4078" s="84" t="s">
        <v>398</v>
      </c>
      <c r="C4078" s="84">
        <v>16</v>
      </c>
      <c r="D4078" s="84">
        <v>27</v>
      </c>
      <c r="E4078" s="85">
        <v>16608.68</v>
      </c>
      <c r="F4078" s="85">
        <v>24417.040000000001</v>
      </c>
      <c r="G4078" s="85">
        <v>7808.36</v>
      </c>
    </row>
    <row r="4079" spans="1:7" x14ac:dyDescent="0.3">
      <c r="A4079" s="84">
        <v>2026</v>
      </c>
      <c r="B4079" s="84" t="s">
        <v>398</v>
      </c>
      <c r="C4079" s="84">
        <v>16</v>
      </c>
      <c r="D4079" s="84">
        <v>28</v>
      </c>
      <c r="E4079" s="85">
        <v>16608.68</v>
      </c>
      <c r="F4079" s="85">
        <v>25057.54</v>
      </c>
      <c r="G4079" s="85">
        <v>8448.86</v>
      </c>
    </row>
    <row r="4080" spans="1:7" x14ac:dyDescent="0.3">
      <c r="A4080" s="84">
        <v>2026</v>
      </c>
      <c r="B4080" s="84" t="s">
        <v>398</v>
      </c>
      <c r="C4080" s="84">
        <v>16</v>
      </c>
      <c r="D4080" s="84">
        <v>29</v>
      </c>
      <c r="E4080" s="85">
        <v>16608.68</v>
      </c>
      <c r="F4080" s="85">
        <v>25696.92</v>
      </c>
      <c r="G4080" s="85">
        <v>9088.24</v>
      </c>
    </row>
    <row r="4081" spans="1:7" x14ac:dyDescent="0.3">
      <c r="A4081" s="84">
        <v>2026</v>
      </c>
      <c r="B4081" s="84" t="s">
        <v>398</v>
      </c>
      <c r="C4081" s="84">
        <v>16</v>
      </c>
      <c r="D4081" s="84">
        <v>30</v>
      </c>
      <c r="E4081" s="85">
        <v>16608.68</v>
      </c>
      <c r="F4081" s="85">
        <v>27445.24</v>
      </c>
      <c r="G4081" s="85">
        <v>10836.56</v>
      </c>
    </row>
    <row r="4082" spans="1:7" x14ac:dyDescent="0.3">
      <c r="A4082" s="84">
        <v>2026</v>
      </c>
      <c r="B4082" s="84" t="s">
        <v>398</v>
      </c>
      <c r="C4082" s="84">
        <v>17</v>
      </c>
      <c r="D4082" s="84">
        <v>1</v>
      </c>
      <c r="E4082" s="85">
        <v>17000.96</v>
      </c>
      <c r="F4082" s="85">
        <v>12087.8</v>
      </c>
      <c r="G4082" s="85">
        <v>-4913.16</v>
      </c>
    </row>
    <row r="4083" spans="1:7" x14ac:dyDescent="0.3">
      <c r="A4083" s="84">
        <v>2026</v>
      </c>
      <c r="B4083" s="84" t="s">
        <v>398</v>
      </c>
      <c r="C4083" s="84">
        <v>17</v>
      </c>
      <c r="D4083" s="84">
        <v>2</v>
      </c>
      <c r="E4083" s="85">
        <v>17000.96</v>
      </c>
      <c r="F4083" s="85">
        <v>12382.22</v>
      </c>
      <c r="G4083" s="85">
        <v>-4618.74</v>
      </c>
    </row>
    <row r="4084" spans="1:7" x14ac:dyDescent="0.3">
      <c r="A4084" s="84">
        <v>2026</v>
      </c>
      <c r="B4084" s="84" t="s">
        <v>398</v>
      </c>
      <c r="C4084" s="84">
        <v>17</v>
      </c>
      <c r="D4084" s="84">
        <v>3</v>
      </c>
      <c r="E4084" s="85">
        <v>17000.96</v>
      </c>
      <c r="F4084" s="85">
        <v>12677.2</v>
      </c>
      <c r="G4084" s="85">
        <v>-4323.76</v>
      </c>
    </row>
    <row r="4085" spans="1:7" x14ac:dyDescent="0.3">
      <c r="A4085" s="84">
        <v>2026</v>
      </c>
      <c r="B4085" s="84" t="s">
        <v>398</v>
      </c>
      <c r="C4085" s="84">
        <v>17</v>
      </c>
      <c r="D4085" s="84">
        <v>4</v>
      </c>
      <c r="E4085" s="85">
        <v>17000.96</v>
      </c>
      <c r="F4085" s="85">
        <v>12971.34</v>
      </c>
      <c r="G4085" s="85">
        <v>-4029.62</v>
      </c>
    </row>
    <row r="4086" spans="1:7" x14ac:dyDescent="0.3">
      <c r="A4086" s="84">
        <v>2026</v>
      </c>
      <c r="B4086" s="84" t="s">
        <v>398</v>
      </c>
      <c r="C4086" s="84">
        <v>17</v>
      </c>
      <c r="D4086" s="84">
        <v>5</v>
      </c>
      <c r="E4086" s="85">
        <v>17000.96</v>
      </c>
      <c r="F4086" s="85">
        <v>13266.04</v>
      </c>
      <c r="G4086" s="85">
        <v>-3734.92</v>
      </c>
    </row>
    <row r="4087" spans="1:7" x14ac:dyDescent="0.3">
      <c r="A4087" s="84">
        <v>2026</v>
      </c>
      <c r="B4087" s="84" t="s">
        <v>398</v>
      </c>
      <c r="C4087" s="84">
        <v>17</v>
      </c>
      <c r="D4087" s="84">
        <v>6</v>
      </c>
      <c r="E4087" s="85">
        <v>17000.96</v>
      </c>
      <c r="F4087" s="85">
        <v>13462.74</v>
      </c>
      <c r="G4087" s="85">
        <v>-3538.22</v>
      </c>
    </row>
    <row r="4088" spans="1:7" x14ac:dyDescent="0.3">
      <c r="A4088" s="84">
        <v>2026</v>
      </c>
      <c r="B4088" s="84" t="s">
        <v>398</v>
      </c>
      <c r="C4088" s="84">
        <v>17</v>
      </c>
      <c r="D4088" s="84">
        <v>7</v>
      </c>
      <c r="E4088" s="85">
        <v>17000.96</v>
      </c>
      <c r="F4088" s="85">
        <v>13659.44</v>
      </c>
      <c r="G4088" s="85">
        <v>-3341.52</v>
      </c>
    </row>
    <row r="4089" spans="1:7" x14ac:dyDescent="0.3">
      <c r="A4089" s="84">
        <v>2026</v>
      </c>
      <c r="B4089" s="84" t="s">
        <v>398</v>
      </c>
      <c r="C4089" s="84">
        <v>17</v>
      </c>
      <c r="D4089" s="84">
        <v>8</v>
      </c>
      <c r="E4089" s="85">
        <v>17000.96</v>
      </c>
      <c r="F4089" s="85">
        <v>13855.72</v>
      </c>
      <c r="G4089" s="85">
        <v>-3145.24</v>
      </c>
    </row>
    <row r="4090" spans="1:7" x14ac:dyDescent="0.3">
      <c r="A4090" s="84">
        <v>2026</v>
      </c>
      <c r="B4090" s="84" t="s">
        <v>398</v>
      </c>
      <c r="C4090" s="84">
        <v>17</v>
      </c>
      <c r="D4090" s="84">
        <v>9</v>
      </c>
      <c r="E4090" s="85">
        <v>17000.96</v>
      </c>
      <c r="F4090" s="85">
        <v>14052.84</v>
      </c>
      <c r="G4090" s="85">
        <v>-2948.12</v>
      </c>
    </row>
    <row r="4091" spans="1:7" x14ac:dyDescent="0.3">
      <c r="A4091" s="84">
        <v>2026</v>
      </c>
      <c r="B4091" s="84" t="s">
        <v>398</v>
      </c>
      <c r="C4091" s="84">
        <v>17</v>
      </c>
      <c r="D4091" s="84">
        <v>10</v>
      </c>
      <c r="E4091" s="85">
        <v>17000.96</v>
      </c>
      <c r="F4091" s="85">
        <v>14249.26</v>
      </c>
      <c r="G4091" s="85">
        <v>-2751.7</v>
      </c>
    </row>
    <row r="4092" spans="1:7" x14ac:dyDescent="0.3">
      <c r="A4092" s="84">
        <v>2026</v>
      </c>
      <c r="B4092" s="84" t="s">
        <v>398</v>
      </c>
      <c r="C4092" s="84">
        <v>17</v>
      </c>
      <c r="D4092" s="84">
        <v>11</v>
      </c>
      <c r="E4092" s="85">
        <v>17000.96</v>
      </c>
      <c r="F4092" s="85">
        <v>14641.82</v>
      </c>
      <c r="G4092" s="85">
        <v>-2359.14</v>
      </c>
    </row>
    <row r="4093" spans="1:7" x14ac:dyDescent="0.3">
      <c r="A4093" s="84">
        <v>2026</v>
      </c>
      <c r="B4093" s="84" t="s">
        <v>398</v>
      </c>
      <c r="C4093" s="84">
        <v>17</v>
      </c>
      <c r="D4093" s="84">
        <v>12</v>
      </c>
      <c r="E4093" s="85">
        <v>17000.96</v>
      </c>
      <c r="F4093" s="85">
        <v>15035.36</v>
      </c>
      <c r="G4093" s="85">
        <v>-1965.6</v>
      </c>
    </row>
    <row r="4094" spans="1:7" x14ac:dyDescent="0.3">
      <c r="A4094" s="84">
        <v>2026</v>
      </c>
      <c r="B4094" s="84" t="s">
        <v>398</v>
      </c>
      <c r="C4094" s="84">
        <v>17</v>
      </c>
      <c r="D4094" s="84">
        <v>13</v>
      </c>
      <c r="E4094" s="85">
        <v>17000.96</v>
      </c>
      <c r="F4094" s="85">
        <v>15428.62</v>
      </c>
      <c r="G4094" s="85">
        <v>-1572.34</v>
      </c>
    </row>
    <row r="4095" spans="1:7" x14ac:dyDescent="0.3">
      <c r="A4095" s="84">
        <v>2026</v>
      </c>
      <c r="B4095" s="84" t="s">
        <v>398</v>
      </c>
      <c r="C4095" s="84">
        <v>17</v>
      </c>
      <c r="D4095" s="84">
        <v>14</v>
      </c>
      <c r="E4095" s="85">
        <v>17000.96</v>
      </c>
      <c r="F4095" s="85">
        <v>15822.44</v>
      </c>
      <c r="G4095" s="85">
        <v>-1178.52</v>
      </c>
    </row>
    <row r="4096" spans="1:7" x14ac:dyDescent="0.3">
      <c r="A4096" s="84">
        <v>2026</v>
      </c>
      <c r="B4096" s="84" t="s">
        <v>398</v>
      </c>
      <c r="C4096" s="84">
        <v>17</v>
      </c>
      <c r="D4096" s="84">
        <v>15</v>
      </c>
      <c r="E4096" s="85">
        <v>17000.96</v>
      </c>
      <c r="F4096" s="85">
        <v>16214.72</v>
      </c>
      <c r="G4096" s="85">
        <v>-786.24</v>
      </c>
    </row>
    <row r="4097" spans="1:7" x14ac:dyDescent="0.3">
      <c r="A4097" s="84">
        <v>2026</v>
      </c>
      <c r="B4097" s="84" t="s">
        <v>398</v>
      </c>
      <c r="C4097" s="84">
        <v>17</v>
      </c>
      <c r="D4097" s="84">
        <v>16</v>
      </c>
      <c r="E4097" s="85">
        <v>17000.96</v>
      </c>
      <c r="F4097" s="85">
        <v>16608.68</v>
      </c>
      <c r="G4097" s="85">
        <v>-392.28</v>
      </c>
    </row>
    <row r="4098" spans="1:7" x14ac:dyDescent="0.3">
      <c r="A4098" s="84">
        <v>2026</v>
      </c>
      <c r="B4098" s="84" t="s">
        <v>398</v>
      </c>
      <c r="C4098" s="84">
        <v>17</v>
      </c>
      <c r="D4098" s="84">
        <v>17</v>
      </c>
      <c r="E4098" s="85">
        <v>17000.96</v>
      </c>
      <c r="F4098" s="85">
        <v>17000.96</v>
      </c>
      <c r="G4098" s="85">
        <v>0</v>
      </c>
    </row>
    <row r="4099" spans="1:7" x14ac:dyDescent="0.3">
      <c r="A4099" s="84">
        <v>2026</v>
      </c>
      <c r="B4099" s="84" t="s">
        <v>398</v>
      </c>
      <c r="C4099" s="84">
        <v>17</v>
      </c>
      <c r="D4099" s="84">
        <v>18</v>
      </c>
      <c r="E4099" s="85">
        <v>17000.96</v>
      </c>
      <c r="F4099" s="85">
        <v>17394.5</v>
      </c>
      <c r="G4099" s="85">
        <v>393.54</v>
      </c>
    </row>
    <row r="4100" spans="1:7" x14ac:dyDescent="0.3">
      <c r="A4100" s="84">
        <v>2026</v>
      </c>
      <c r="B4100" s="84" t="s">
        <v>398</v>
      </c>
      <c r="C4100" s="84">
        <v>17</v>
      </c>
      <c r="D4100" s="84">
        <v>19</v>
      </c>
      <c r="E4100" s="85">
        <v>17000.96</v>
      </c>
      <c r="F4100" s="85">
        <v>17787.62</v>
      </c>
      <c r="G4100" s="85">
        <v>786.66</v>
      </c>
    </row>
    <row r="4101" spans="1:7" x14ac:dyDescent="0.3">
      <c r="A4101" s="84">
        <v>2026</v>
      </c>
      <c r="B4101" s="84" t="s">
        <v>398</v>
      </c>
      <c r="C4101" s="84">
        <v>17</v>
      </c>
      <c r="D4101" s="84">
        <v>20</v>
      </c>
      <c r="E4101" s="85">
        <v>17000.96</v>
      </c>
      <c r="F4101" s="85">
        <v>18180.599999999999</v>
      </c>
      <c r="G4101" s="85">
        <v>1179.6400000000001</v>
      </c>
    </row>
    <row r="4102" spans="1:7" x14ac:dyDescent="0.3">
      <c r="A4102" s="84">
        <v>2026</v>
      </c>
      <c r="B4102" s="84" t="s">
        <v>398</v>
      </c>
      <c r="C4102" s="84">
        <v>17</v>
      </c>
      <c r="D4102" s="84">
        <v>21</v>
      </c>
      <c r="E4102" s="85">
        <v>17000.96</v>
      </c>
      <c r="F4102" s="85">
        <v>18770</v>
      </c>
      <c r="G4102" s="85">
        <v>1769.04</v>
      </c>
    </row>
    <row r="4103" spans="1:7" x14ac:dyDescent="0.3">
      <c r="A4103" s="84">
        <v>2026</v>
      </c>
      <c r="B4103" s="84" t="s">
        <v>398</v>
      </c>
      <c r="C4103" s="84">
        <v>17</v>
      </c>
      <c r="D4103" s="84">
        <v>22</v>
      </c>
      <c r="E4103" s="85">
        <v>17000.96</v>
      </c>
      <c r="F4103" s="85">
        <v>19408.68</v>
      </c>
      <c r="G4103" s="85">
        <v>2407.7199999999998</v>
      </c>
    </row>
    <row r="4104" spans="1:7" x14ac:dyDescent="0.3">
      <c r="A4104" s="84">
        <v>2026</v>
      </c>
      <c r="B4104" s="84" t="s">
        <v>398</v>
      </c>
      <c r="C4104" s="84">
        <v>17</v>
      </c>
      <c r="D4104" s="84">
        <v>23</v>
      </c>
      <c r="E4104" s="85">
        <v>17000.96</v>
      </c>
      <c r="F4104" s="85">
        <v>20049.18</v>
      </c>
      <c r="G4104" s="85">
        <v>3048.22</v>
      </c>
    </row>
    <row r="4105" spans="1:7" x14ac:dyDescent="0.3">
      <c r="A4105" s="84">
        <v>2026</v>
      </c>
      <c r="B4105" s="84" t="s">
        <v>398</v>
      </c>
      <c r="C4105" s="84">
        <v>17</v>
      </c>
      <c r="D4105" s="84">
        <v>24</v>
      </c>
      <c r="E4105" s="85">
        <v>17000.96</v>
      </c>
      <c r="F4105" s="85">
        <v>20688.419999999998</v>
      </c>
      <c r="G4105" s="85">
        <v>3687.46</v>
      </c>
    </row>
    <row r="4106" spans="1:7" x14ac:dyDescent="0.3">
      <c r="A4106" s="84">
        <v>2026</v>
      </c>
      <c r="B4106" s="84" t="s">
        <v>398</v>
      </c>
      <c r="C4106" s="84">
        <v>17</v>
      </c>
      <c r="D4106" s="84">
        <v>25</v>
      </c>
      <c r="E4106" s="85">
        <v>17000.96</v>
      </c>
      <c r="F4106" s="85">
        <v>21328.5</v>
      </c>
      <c r="G4106" s="85">
        <v>4327.54</v>
      </c>
    </row>
    <row r="4107" spans="1:7" x14ac:dyDescent="0.3">
      <c r="A4107" s="84">
        <v>2026</v>
      </c>
      <c r="B4107" s="84" t="s">
        <v>398</v>
      </c>
      <c r="C4107" s="84">
        <v>17</v>
      </c>
      <c r="D4107" s="84">
        <v>26</v>
      </c>
      <c r="E4107" s="85">
        <v>17000.96</v>
      </c>
      <c r="F4107" s="85">
        <v>22707.78</v>
      </c>
      <c r="G4107" s="85">
        <v>5706.82</v>
      </c>
    </row>
    <row r="4108" spans="1:7" x14ac:dyDescent="0.3">
      <c r="A4108" s="84">
        <v>2026</v>
      </c>
      <c r="B4108" s="84" t="s">
        <v>398</v>
      </c>
      <c r="C4108" s="84">
        <v>17</v>
      </c>
      <c r="D4108" s="84">
        <v>27</v>
      </c>
      <c r="E4108" s="85">
        <v>17000.96</v>
      </c>
      <c r="F4108" s="85">
        <v>24417.040000000001</v>
      </c>
      <c r="G4108" s="85">
        <v>7416.08</v>
      </c>
    </row>
    <row r="4109" spans="1:7" x14ac:dyDescent="0.3">
      <c r="A4109" s="84">
        <v>2026</v>
      </c>
      <c r="B4109" s="84" t="s">
        <v>398</v>
      </c>
      <c r="C4109" s="84">
        <v>17</v>
      </c>
      <c r="D4109" s="84">
        <v>28</v>
      </c>
      <c r="E4109" s="85">
        <v>17000.96</v>
      </c>
      <c r="F4109" s="85">
        <v>25057.54</v>
      </c>
      <c r="G4109" s="85">
        <v>8056.58</v>
      </c>
    </row>
    <row r="4110" spans="1:7" x14ac:dyDescent="0.3">
      <c r="A4110" s="84">
        <v>2026</v>
      </c>
      <c r="B4110" s="84" t="s">
        <v>398</v>
      </c>
      <c r="C4110" s="84">
        <v>17</v>
      </c>
      <c r="D4110" s="84">
        <v>29</v>
      </c>
      <c r="E4110" s="85">
        <v>17000.96</v>
      </c>
      <c r="F4110" s="85">
        <v>25696.92</v>
      </c>
      <c r="G4110" s="85">
        <v>8695.9599999999991</v>
      </c>
    </row>
    <row r="4111" spans="1:7" x14ac:dyDescent="0.3">
      <c r="A4111" s="84">
        <v>2026</v>
      </c>
      <c r="B4111" s="84" t="s">
        <v>398</v>
      </c>
      <c r="C4111" s="84">
        <v>17</v>
      </c>
      <c r="D4111" s="84">
        <v>30</v>
      </c>
      <c r="E4111" s="85">
        <v>17000.96</v>
      </c>
      <c r="F4111" s="85">
        <v>27445.24</v>
      </c>
      <c r="G4111" s="85">
        <v>10444.280000000001</v>
      </c>
    </row>
    <row r="4112" spans="1:7" x14ac:dyDescent="0.3">
      <c r="A4112" s="84">
        <v>2026</v>
      </c>
      <c r="B4112" s="84" t="s">
        <v>398</v>
      </c>
      <c r="C4112" s="84">
        <v>18</v>
      </c>
      <c r="D4112" s="84">
        <v>1</v>
      </c>
      <c r="E4112" s="85">
        <v>17394.5</v>
      </c>
      <c r="F4112" s="85">
        <v>12087.8</v>
      </c>
      <c r="G4112" s="85">
        <v>-5306.7</v>
      </c>
    </row>
    <row r="4113" spans="1:7" x14ac:dyDescent="0.3">
      <c r="A4113" s="84">
        <v>2026</v>
      </c>
      <c r="B4113" s="84" t="s">
        <v>398</v>
      </c>
      <c r="C4113" s="84">
        <v>18</v>
      </c>
      <c r="D4113" s="84">
        <v>2</v>
      </c>
      <c r="E4113" s="85">
        <v>17394.5</v>
      </c>
      <c r="F4113" s="85">
        <v>12382.22</v>
      </c>
      <c r="G4113" s="85">
        <v>-5012.28</v>
      </c>
    </row>
    <row r="4114" spans="1:7" x14ac:dyDescent="0.3">
      <c r="A4114" s="84">
        <v>2026</v>
      </c>
      <c r="B4114" s="84" t="s">
        <v>398</v>
      </c>
      <c r="C4114" s="84">
        <v>18</v>
      </c>
      <c r="D4114" s="84">
        <v>3</v>
      </c>
      <c r="E4114" s="85">
        <v>17394.5</v>
      </c>
      <c r="F4114" s="85">
        <v>12677.2</v>
      </c>
      <c r="G4114" s="85">
        <v>-4717.3</v>
      </c>
    </row>
    <row r="4115" spans="1:7" x14ac:dyDescent="0.3">
      <c r="A4115" s="84">
        <v>2026</v>
      </c>
      <c r="B4115" s="84" t="s">
        <v>398</v>
      </c>
      <c r="C4115" s="84">
        <v>18</v>
      </c>
      <c r="D4115" s="84">
        <v>4</v>
      </c>
      <c r="E4115" s="85">
        <v>17394.5</v>
      </c>
      <c r="F4115" s="85">
        <v>12971.34</v>
      </c>
      <c r="G4115" s="85">
        <v>-4423.16</v>
      </c>
    </row>
    <row r="4116" spans="1:7" x14ac:dyDescent="0.3">
      <c r="A4116" s="84">
        <v>2026</v>
      </c>
      <c r="B4116" s="84" t="s">
        <v>398</v>
      </c>
      <c r="C4116" s="84">
        <v>18</v>
      </c>
      <c r="D4116" s="84">
        <v>5</v>
      </c>
      <c r="E4116" s="85">
        <v>17394.5</v>
      </c>
      <c r="F4116" s="85">
        <v>13266.04</v>
      </c>
      <c r="G4116" s="85">
        <v>-4128.46</v>
      </c>
    </row>
    <row r="4117" spans="1:7" x14ac:dyDescent="0.3">
      <c r="A4117" s="84">
        <v>2026</v>
      </c>
      <c r="B4117" s="84" t="s">
        <v>398</v>
      </c>
      <c r="C4117" s="84">
        <v>18</v>
      </c>
      <c r="D4117" s="84">
        <v>6</v>
      </c>
      <c r="E4117" s="85">
        <v>17394.5</v>
      </c>
      <c r="F4117" s="85">
        <v>13462.74</v>
      </c>
      <c r="G4117" s="85">
        <v>-3931.76</v>
      </c>
    </row>
    <row r="4118" spans="1:7" x14ac:dyDescent="0.3">
      <c r="A4118" s="84">
        <v>2026</v>
      </c>
      <c r="B4118" s="84" t="s">
        <v>398</v>
      </c>
      <c r="C4118" s="84">
        <v>18</v>
      </c>
      <c r="D4118" s="84">
        <v>7</v>
      </c>
      <c r="E4118" s="85">
        <v>17394.5</v>
      </c>
      <c r="F4118" s="85">
        <v>13659.44</v>
      </c>
      <c r="G4118" s="85">
        <v>-3735.06</v>
      </c>
    </row>
    <row r="4119" spans="1:7" x14ac:dyDescent="0.3">
      <c r="A4119" s="84">
        <v>2026</v>
      </c>
      <c r="B4119" s="84" t="s">
        <v>398</v>
      </c>
      <c r="C4119" s="84">
        <v>18</v>
      </c>
      <c r="D4119" s="84">
        <v>8</v>
      </c>
      <c r="E4119" s="85">
        <v>17394.5</v>
      </c>
      <c r="F4119" s="85">
        <v>13855.72</v>
      </c>
      <c r="G4119" s="85">
        <v>-3538.78</v>
      </c>
    </row>
    <row r="4120" spans="1:7" x14ac:dyDescent="0.3">
      <c r="A4120" s="84">
        <v>2026</v>
      </c>
      <c r="B4120" s="84" t="s">
        <v>398</v>
      </c>
      <c r="C4120" s="84">
        <v>18</v>
      </c>
      <c r="D4120" s="84">
        <v>9</v>
      </c>
      <c r="E4120" s="85">
        <v>17394.5</v>
      </c>
      <c r="F4120" s="85">
        <v>14052.84</v>
      </c>
      <c r="G4120" s="85">
        <v>-3341.66</v>
      </c>
    </row>
    <row r="4121" spans="1:7" x14ac:dyDescent="0.3">
      <c r="A4121" s="84">
        <v>2026</v>
      </c>
      <c r="B4121" s="84" t="s">
        <v>398</v>
      </c>
      <c r="C4121" s="84">
        <v>18</v>
      </c>
      <c r="D4121" s="84">
        <v>10</v>
      </c>
      <c r="E4121" s="85">
        <v>17394.5</v>
      </c>
      <c r="F4121" s="85">
        <v>14249.26</v>
      </c>
      <c r="G4121" s="85">
        <v>-3145.24</v>
      </c>
    </row>
    <row r="4122" spans="1:7" x14ac:dyDescent="0.3">
      <c r="A4122" s="84">
        <v>2026</v>
      </c>
      <c r="B4122" s="84" t="s">
        <v>398</v>
      </c>
      <c r="C4122" s="84">
        <v>18</v>
      </c>
      <c r="D4122" s="84">
        <v>11</v>
      </c>
      <c r="E4122" s="85">
        <v>17394.5</v>
      </c>
      <c r="F4122" s="85">
        <v>14641.82</v>
      </c>
      <c r="G4122" s="85">
        <v>-2752.68</v>
      </c>
    </row>
    <row r="4123" spans="1:7" x14ac:dyDescent="0.3">
      <c r="A4123" s="84">
        <v>2026</v>
      </c>
      <c r="B4123" s="84" t="s">
        <v>398</v>
      </c>
      <c r="C4123" s="84">
        <v>18</v>
      </c>
      <c r="D4123" s="84">
        <v>12</v>
      </c>
      <c r="E4123" s="85">
        <v>17394.5</v>
      </c>
      <c r="F4123" s="85">
        <v>15035.36</v>
      </c>
      <c r="G4123" s="85">
        <v>-2359.14</v>
      </c>
    </row>
    <row r="4124" spans="1:7" x14ac:dyDescent="0.3">
      <c r="A4124" s="84">
        <v>2026</v>
      </c>
      <c r="B4124" s="84" t="s">
        <v>398</v>
      </c>
      <c r="C4124" s="84">
        <v>18</v>
      </c>
      <c r="D4124" s="84">
        <v>13</v>
      </c>
      <c r="E4124" s="85">
        <v>17394.5</v>
      </c>
      <c r="F4124" s="85">
        <v>15428.62</v>
      </c>
      <c r="G4124" s="85">
        <v>-1965.88</v>
      </c>
    </row>
    <row r="4125" spans="1:7" x14ac:dyDescent="0.3">
      <c r="A4125" s="84">
        <v>2026</v>
      </c>
      <c r="B4125" s="84" t="s">
        <v>398</v>
      </c>
      <c r="C4125" s="84">
        <v>18</v>
      </c>
      <c r="D4125" s="84">
        <v>14</v>
      </c>
      <c r="E4125" s="85">
        <v>17394.5</v>
      </c>
      <c r="F4125" s="85">
        <v>15822.44</v>
      </c>
      <c r="G4125" s="85">
        <v>-1572.06</v>
      </c>
    </row>
    <row r="4126" spans="1:7" x14ac:dyDescent="0.3">
      <c r="A4126" s="84">
        <v>2026</v>
      </c>
      <c r="B4126" s="84" t="s">
        <v>398</v>
      </c>
      <c r="C4126" s="84">
        <v>18</v>
      </c>
      <c r="D4126" s="84">
        <v>15</v>
      </c>
      <c r="E4126" s="85">
        <v>17394.5</v>
      </c>
      <c r="F4126" s="85">
        <v>16214.72</v>
      </c>
      <c r="G4126" s="85">
        <v>-1179.78</v>
      </c>
    </row>
    <row r="4127" spans="1:7" x14ac:dyDescent="0.3">
      <c r="A4127" s="84">
        <v>2026</v>
      </c>
      <c r="B4127" s="84" t="s">
        <v>398</v>
      </c>
      <c r="C4127" s="84">
        <v>18</v>
      </c>
      <c r="D4127" s="84">
        <v>16</v>
      </c>
      <c r="E4127" s="85">
        <v>17394.5</v>
      </c>
      <c r="F4127" s="85">
        <v>16608.68</v>
      </c>
      <c r="G4127" s="85">
        <v>-785.82</v>
      </c>
    </row>
    <row r="4128" spans="1:7" x14ac:dyDescent="0.3">
      <c r="A4128" s="84">
        <v>2026</v>
      </c>
      <c r="B4128" s="84" t="s">
        <v>398</v>
      </c>
      <c r="C4128" s="84">
        <v>18</v>
      </c>
      <c r="D4128" s="84">
        <v>17</v>
      </c>
      <c r="E4128" s="85">
        <v>17394.5</v>
      </c>
      <c r="F4128" s="85">
        <v>17000.96</v>
      </c>
      <c r="G4128" s="85">
        <v>-393.54</v>
      </c>
    </row>
    <row r="4129" spans="1:7" x14ac:dyDescent="0.3">
      <c r="A4129" s="84">
        <v>2026</v>
      </c>
      <c r="B4129" s="84" t="s">
        <v>398</v>
      </c>
      <c r="C4129" s="84">
        <v>18</v>
      </c>
      <c r="D4129" s="84">
        <v>18</v>
      </c>
      <c r="E4129" s="85">
        <v>17394.5</v>
      </c>
      <c r="F4129" s="85">
        <v>17394.5</v>
      </c>
      <c r="G4129" s="85">
        <v>0</v>
      </c>
    </row>
    <row r="4130" spans="1:7" x14ac:dyDescent="0.3">
      <c r="A4130" s="84">
        <v>2026</v>
      </c>
      <c r="B4130" s="84" t="s">
        <v>398</v>
      </c>
      <c r="C4130" s="84">
        <v>18</v>
      </c>
      <c r="D4130" s="84">
        <v>19</v>
      </c>
      <c r="E4130" s="85">
        <v>17394.5</v>
      </c>
      <c r="F4130" s="85">
        <v>17787.62</v>
      </c>
      <c r="G4130" s="85">
        <v>393.12</v>
      </c>
    </row>
    <row r="4131" spans="1:7" x14ac:dyDescent="0.3">
      <c r="A4131" s="84">
        <v>2026</v>
      </c>
      <c r="B4131" s="84" t="s">
        <v>398</v>
      </c>
      <c r="C4131" s="84">
        <v>18</v>
      </c>
      <c r="D4131" s="84">
        <v>20</v>
      </c>
      <c r="E4131" s="85">
        <v>17394.5</v>
      </c>
      <c r="F4131" s="85">
        <v>18180.599999999999</v>
      </c>
      <c r="G4131" s="85">
        <v>786.1</v>
      </c>
    </row>
    <row r="4132" spans="1:7" x14ac:dyDescent="0.3">
      <c r="A4132" s="84">
        <v>2026</v>
      </c>
      <c r="B4132" s="84" t="s">
        <v>398</v>
      </c>
      <c r="C4132" s="84">
        <v>18</v>
      </c>
      <c r="D4132" s="84">
        <v>21</v>
      </c>
      <c r="E4132" s="85">
        <v>17394.5</v>
      </c>
      <c r="F4132" s="85">
        <v>18770</v>
      </c>
      <c r="G4132" s="85">
        <v>1375.5</v>
      </c>
    </row>
    <row r="4133" spans="1:7" x14ac:dyDescent="0.3">
      <c r="A4133" s="84">
        <v>2026</v>
      </c>
      <c r="B4133" s="84" t="s">
        <v>398</v>
      </c>
      <c r="C4133" s="84">
        <v>18</v>
      </c>
      <c r="D4133" s="84">
        <v>22</v>
      </c>
      <c r="E4133" s="85">
        <v>17394.5</v>
      </c>
      <c r="F4133" s="85">
        <v>19408.68</v>
      </c>
      <c r="G4133" s="85">
        <v>2014.18</v>
      </c>
    </row>
    <row r="4134" spans="1:7" x14ac:dyDescent="0.3">
      <c r="A4134" s="84">
        <v>2026</v>
      </c>
      <c r="B4134" s="84" t="s">
        <v>398</v>
      </c>
      <c r="C4134" s="84">
        <v>18</v>
      </c>
      <c r="D4134" s="84">
        <v>23</v>
      </c>
      <c r="E4134" s="85">
        <v>17394.5</v>
      </c>
      <c r="F4134" s="85">
        <v>20049.18</v>
      </c>
      <c r="G4134" s="85">
        <v>2654.68</v>
      </c>
    </row>
    <row r="4135" spans="1:7" x14ac:dyDescent="0.3">
      <c r="A4135" s="84">
        <v>2026</v>
      </c>
      <c r="B4135" s="84" t="s">
        <v>398</v>
      </c>
      <c r="C4135" s="84">
        <v>18</v>
      </c>
      <c r="D4135" s="84">
        <v>24</v>
      </c>
      <c r="E4135" s="85">
        <v>17394.5</v>
      </c>
      <c r="F4135" s="85">
        <v>20688.419999999998</v>
      </c>
      <c r="G4135" s="85">
        <v>3293.92</v>
      </c>
    </row>
    <row r="4136" spans="1:7" x14ac:dyDescent="0.3">
      <c r="A4136" s="84">
        <v>2026</v>
      </c>
      <c r="B4136" s="84" t="s">
        <v>398</v>
      </c>
      <c r="C4136" s="84">
        <v>18</v>
      </c>
      <c r="D4136" s="84">
        <v>25</v>
      </c>
      <c r="E4136" s="85">
        <v>17394.5</v>
      </c>
      <c r="F4136" s="85">
        <v>21328.5</v>
      </c>
      <c r="G4136" s="85">
        <v>3934</v>
      </c>
    </row>
    <row r="4137" spans="1:7" x14ac:dyDescent="0.3">
      <c r="A4137" s="84">
        <v>2026</v>
      </c>
      <c r="B4137" s="84" t="s">
        <v>398</v>
      </c>
      <c r="C4137" s="84">
        <v>18</v>
      </c>
      <c r="D4137" s="84">
        <v>26</v>
      </c>
      <c r="E4137" s="85">
        <v>17394.5</v>
      </c>
      <c r="F4137" s="85">
        <v>22707.78</v>
      </c>
      <c r="G4137" s="85">
        <v>5313.28</v>
      </c>
    </row>
    <row r="4138" spans="1:7" x14ac:dyDescent="0.3">
      <c r="A4138" s="84">
        <v>2026</v>
      </c>
      <c r="B4138" s="84" t="s">
        <v>398</v>
      </c>
      <c r="C4138" s="84">
        <v>18</v>
      </c>
      <c r="D4138" s="84">
        <v>27</v>
      </c>
      <c r="E4138" s="85">
        <v>17394.5</v>
      </c>
      <c r="F4138" s="85">
        <v>24417.040000000001</v>
      </c>
      <c r="G4138" s="85">
        <v>7022.54</v>
      </c>
    </row>
    <row r="4139" spans="1:7" x14ac:dyDescent="0.3">
      <c r="A4139" s="84">
        <v>2026</v>
      </c>
      <c r="B4139" s="84" t="s">
        <v>398</v>
      </c>
      <c r="C4139" s="84">
        <v>18</v>
      </c>
      <c r="D4139" s="84">
        <v>28</v>
      </c>
      <c r="E4139" s="85">
        <v>17394.5</v>
      </c>
      <c r="F4139" s="85">
        <v>25057.54</v>
      </c>
      <c r="G4139" s="85">
        <v>7663.04</v>
      </c>
    </row>
    <row r="4140" spans="1:7" x14ac:dyDescent="0.3">
      <c r="A4140" s="84">
        <v>2026</v>
      </c>
      <c r="B4140" s="84" t="s">
        <v>398</v>
      </c>
      <c r="C4140" s="84">
        <v>18</v>
      </c>
      <c r="D4140" s="84">
        <v>29</v>
      </c>
      <c r="E4140" s="85">
        <v>17394.5</v>
      </c>
      <c r="F4140" s="85">
        <v>25696.92</v>
      </c>
      <c r="G4140" s="85">
        <v>8302.42</v>
      </c>
    </row>
    <row r="4141" spans="1:7" x14ac:dyDescent="0.3">
      <c r="A4141" s="84">
        <v>2026</v>
      </c>
      <c r="B4141" s="84" t="s">
        <v>398</v>
      </c>
      <c r="C4141" s="84">
        <v>18</v>
      </c>
      <c r="D4141" s="84">
        <v>30</v>
      </c>
      <c r="E4141" s="85">
        <v>17394.5</v>
      </c>
      <c r="F4141" s="85">
        <v>27445.24</v>
      </c>
      <c r="G4141" s="85">
        <v>10050.74</v>
      </c>
    </row>
    <row r="4142" spans="1:7" x14ac:dyDescent="0.3">
      <c r="A4142" s="84">
        <v>2026</v>
      </c>
      <c r="B4142" s="84" t="s">
        <v>398</v>
      </c>
      <c r="C4142" s="84">
        <v>19</v>
      </c>
      <c r="D4142" s="84">
        <v>1</v>
      </c>
      <c r="E4142" s="85">
        <v>17787.62</v>
      </c>
      <c r="F4142" s="85">
        <v>12087.8</v>
      </c>
      <c r="G4142" s="85">
        <v>-5699.82</v>
      </c>
    </row>
    <row r="4143" spans="1:7" x14ac:dyDescent="0.3">
      <c r="A4143" s="84">
        <v>2026</v>
      </c>
      <c r="B4143" s="84" t="s">
        <v>398</v>
      </c>
      <c r="C4143" s="84">
        <v>19</v>
      </c>
      <c r="D4143" s="84">
        <v>2</v>
      </c>
      <c r="E4143" s="85">
        <v>17787.62</v>
      </c>
      <c r="F4143" s="85">
        <v>12382.22</v>
      </c>
      <c r="G4143" s="85">
        <v>-5405.4</v>
      </c>
    </row>
    <row r="4144" spans="1:7" x14ac:dyDescent="0.3">
      <c r="A4144" s="84">
        <v>2026</v>
      </c>
      <c r="B4144" s="84" t="s">
        <v>398</v>
      </c>
      <c r="C4144" s="84">
        <v>19</v>
      </c>
      <c r="D4144" s="84">
        <v>3</v>
      </c>
      <c r="E4144" s="85">
        <v>17787.62</v>
      </c>
      <c r="F4144" s="85">
        <v>12677.2</v>
      </c>
      <c r="G4144" s="85">
        <v>-5110.42</v>
      </c>
    </row>
    <row r="4145" spans="1:7" x14ac:dyDescent="0.3">
      <c r="A4145" s="84">
        <v>2026</v>
      </c>
      <c r="B4145" s="84" t="s">
        <v>398</v>
      </c>
      <c r="C4145" s="84">
        <v>19</v>
      </c>
      <c r="D4145" s="84">
        <v>4</v>
      </c>
      <c r="E4145" s="85">
        <v>17787.62</v>
      </c>
      <c r="F4145" s="85">
        <v>12971.34</v>
      </c>
      <c r="G4145" s="85">
        <v>-4816.28</v>
      </c>
    </row>
    <row r="4146" spans="1:7" x14ac:dyDescent="0.3">
      <c r="A4146" s="84">
        <v>2026</v>
      </c>
      <c r="B4146" s="84" t="s">
        <v>398</v>
      </c>
      <c r="C4146" s="84">
        <v>19</v>
      </c>
      <c r="D4146" s="84">
        <v>5</v>
      </c>
      <c r="E4146" s="85">
        <v>17787.62</v>
      </c>
      <c r="F4146" s="85">
        <v>13266.04</v>
      </c>
      <c r="G4146" s="85">
        <v>-4521.58</v>
      </c>
    </row>
    <row r="4147" spans="1:7" x14ac:dyDescent="0.3">
      <c r="A4147" s="84">
        <v>2026</v>
      </c>
      <c r="B4147" s="84" t="s">
        <v>398</v>
      </c>
      <c r="C4147" s="84">
        <v>19</v>
      </c>
      <c r="D4147" s="84">
        <v>6</v>
      </c>
      <c r="E4147" s="85">
        <v>17787.62</v>
      </c>
      <c r="F4147" s="85">
        <v>13462.74</v>
      </c>
      <c r="G4147" s="85">
        <v>-4324.88</v>
      </c>
    </row>
    <row r="4148" spans="1:7" x14ac:dyDescent="0.3">
      <c r="A4148" s="84">
        <v>2026</v>
      </c>
      <c r="B4148" s="84" t="s">
        <v>398</v>
      </c>
      <c r="C4148" s="84">
        <v>19</v>
      </c>
      <c r="D4148" s="84">
        <v>7</v>
      </c>
      <c r="E4148" s="85">
        <v>17787.62</v>
      </c>
      <c r="F4148" s="85">
        <v>13659.44</v>
      </c>
      <c r="G4148" s="85">
        <v>-4128.18</v>
      </c>
    </row>
    <row r="4149" spans="1:7" x14ac:dyDescent="0.3">
      <c r="A4149" s="84">
        <v>2026</v>
      </c>
      <c r="B4149" s="84" t="s">
        <v>398</v>
      </c>
      <c r="C4149" s="84">
        <v>19</v>
      </c>
      <c r="D4149" s="84">
        <v>8</v>
      </c>
      <c r="E4149" s="85">
        <v>17787.62</v>
      </c>
      <c r="F4149" s="85">
        <v>13855.72</v>
      </c>
      <c r="G4149" s="85">
        <v>-3931.9</v>
      </c>
    </row>
    <row r="4150" spans="1:7" x14ac:dyDescent="0.3">
      <c r="A4150" s="84">
        <v>2026</v>
      </c>
      <c r="B4150" s="84" t="s">
        <v>398</v>
      </c>
      <c r="C4150" s="84">
        <v>19</v>
      </c>
      <c r="D4150" s="84">
        <v>9</v>
      </c>
      <c r="E4150" s="85">
        <v>17787.62</v>
      </c>
      <c r="F4150" s="85">
        <v>14052.84</v>
      </c>
      <c r="G4150" s="85">
        <v>-3734.78</v>
      </c>
    </row>
    <row r="4151" spans="1:7" x14ac:dyDescent="0.3">
      <c r="A4151" s="84">
        <v>2026</v>
      </c>
      <c r="B4151" s="84" t="s">
        <v>398</v>
      </c>
      <c r="C4151" s="84">
        <v>19</v>
      </c>
      <c r="D4151" s="84">
        <v>10</v>
      </c>
      <c r="E4151" s="85">
        <v>17787.62</v>
      </c>
      <c r="F4151" s="85">
        <v>14249.26</v>
      </c>
      <c r="G4151" s="85">
        <v>-3538.36</v>
      </c>
    </row>
    <row r="4152" spans="1:7" x14ac:dyDescent="0.3">
      <c r="A4152" s="84">
        <v>2026</v>
      </c>
      <c r="B4152" s="84" t="s">
        <v>398</v>
      </c>
      <c r="C4152" s="84">
        <v>19</v>
      </c>
      <c r="D4152" s="84">
        <v>11</v>
      </c>
      <c r="E4152" s="85">
        <v>17787.62</v>
      </c>
      <c r="F4152" s="85">
        <v>14641.82</v>
      </c>
      <c r="G4152" s="85">
        <v>-3145.8</v>
      </c>
    </row>
    <row r="4153" spans="1:7" x14ac:dyDescent="0.3">
      <c r="A4153" s="84">
        <v>2026</v>
      </c>
      <c r="B4153" s="84" t="s">
        <v>398</v>
      </c>
      <c r="C4153" s="84">
        <v>19</v>
      </c>
      <c r="D4153" s="84">
        <v>12</v>
      </c>
      <c r="E4153" s="85">
        <v>17787.62</v>
      </c>
      <c r="F4153" s="85">
        <v>15035.36</v>
      </c>
      <c r="G4153" s="85">
        <v>-2752.26</v>
      </c>
    </row>
    <row r="4154" spans="1:7" x14ac:dyDescent="0.3">
      <c r="A4154" s="84">
        <v>2026</v>
      </c>
      <c r="B4154" s="84" t="s">
        <v>398</v>
      </c>
      <c r="C4154" s="84">
        <v>19</v>
      </c>
      <c r="D4154" s="84">
        <v>13</v>
      </c>
      <c r="E4154" s="85">
        <v>17787.62</v>
      </c>
      <c r="F4154" s="85">
        <v>15428.62</v>
      </c>
      <c r="G4154" s="85">
        <v>-2359</v>
      </c>
    </row>
    <row r="4155" spans="1:7" x14ac:dyDescent="0.3">
      <c r="A4155" s="84">
        <v>2026</v>
      </c>
      <c r="B4155" s="84" t="s">
        <v>398</v>
      </c>
      <c r="C4155" s="84">
        <v>19</v>
      </c>
      <c r="D4155" s="84">
        <v>14</v>
      </c>
      <c r="E4155" s="85">
        <v>17787.62</v>
      </c>
      <c r="F4155" s="85">
        <v>15822.44</v>
      </c>
      <c r="G4155" s="85">
        <v>-1965.18</v>
      </c>
    </row>
    <row r="4156" spans="1:7" x14ac:dyDescent="0.3">
      <c r="A4156" s="84">
        <v>2026</v>
      </c>
      <c r="B4156" s="84" t="s">
        <v>398</v>
      </c>
      <c r="C4156" s="84">
        <v>19</v>
      </c>
      <c r="D4156" s="84">
        <v>15</v>
      </c>
      <c r="E4156" s="85">
        <v>17787.62</v>
      </c>
      <c r="F4156" s="85">
        <v>16214.72</v>
      </c>
      <c r="G4156" s="85">
        <v>-1572.9</v>
      </c>
    </row>
    <row r="4157" spans="1:7" x14ac:dyDescent="0.3">
      <c r="A4157" s="84">
        <v>2026</v>
      </c>
      <c r="B4157" s="84" t="s">
        <v>398</v>
      </c>
      <c r="C4157" s="84">
        <v>19</v>
      </c>
      <c r="D4157" s="84">
        <v>16</v>
      </c>
      <c r="E4157" s="85">
        <v>17787.62</v>
      </c>
      <c r="F4157" s="85">
        <v>16608.68</v>
      </c>
      <c r="G4157" s="85">
        <v>-1178.94</v>
      </c>
    </row>
    <row r="4158" spans="1:7" x14ac:dyDescent="0.3">
      <c r="A4158" s="84">
        <v>2026</v>
      </c>
      <c r="B4158" s="84" t="s">
        <v>398</v>
      </c>
      <c r="C4158" s="84">
        <v>19</v>
      </c>
      <c r="D4158" s="84">
        <v>17</v>
      </c>
      <c r="E4158" s="85">
        <v>17787.62</v>
      </c>
      <c r="F4158" s="85">
        <v>17000.96</v>
      </c>
      <c r="G4158" s="85">
        <v>-786.66</v>
      </c>
    </row>
    <row r="4159" spans="1:7" x14ac:dyDescent="0.3">
      <c r="A4159" s="84">
        <v>2026</v>
      </c>
      <c r="B4159" s="84" t="s">
        <v>398</v>
      </c>
      <c r="C4159" s="84">
        <v>19</v>
      </c>
      <c r="D4159" s="84">
        <v>18</v>
      </c>
      <c r="E4159" s="85">
        <v>17787.62</v>
      </c>
      <c r="F4159" s="85">
        <v>17394.5</v>
      </c>
      <c r="G4159" s="85">
        <v>-393.12</v>
      </c>
    </row>
    <row r="4160" spans="1:7" x14ac:dyDescent="0.3">
      <c r="A4160" s="84">
        <v>2026</v>
      </c>
      <c r="B4160" s="84" t="s">
        <v>398</v>
      </c>
      <c r="C4160" s="84">
        <v>19</v>
      </c>
      <c r="D4160" s="84">
        <v>19</v>
      </c>
      <c r="E4160" s="85">
        <v>17787.62</v>
      </c>
      <c r="F4160" s="85">
        <v>17787.62</v>
      </c>
      <c r="G4160" s="85">
        <v>0</v>
      </c>
    </row>
    <row r="4161" spans="1:7" x14ac:dyDescent="0.3">
      <c r="A4161" s="84">
        <v>2026</v>
      </c>
      <c r="B4161" s="84" t="s">
        <v>398</v>
      </c>
      <c r="C4161" s="84">
        <v>19</v>
      </c>
      <c r="D4161" s="84">
        <v>20</v>
      </c>
      <c r="E4161" s="85">
        <v>17787.62</v>
      </c>
      <c r="F4161" s="85">
        <v>18180.599999999999</v>
      </c>
      <c r="G4161" s="85">
        <v>392.98</v>
      </c>
    </row>
    <row r="4162" spans="1:7" x14ac:dyDescent="0.3">
      <c r="A4162" s="84">
        <v>2026</v>
      </c>
      <c r="B4162" s="84" t="s">
        <v>398</v>
      </c>
      <c r="C4162" s="84">
        <v>19</v>
      </c>
      <c r="D4162" s="84">
        <v>21</v>
      </c>
      <c r="E4162" s="85">
        <v>17787.62</v>
      </c>
      <c r="F4162" s="85">
        <v>18770</v>
      </c>
      <c r="G4162" s="85">
        <v>982.38</v>
      </c>
    </row>
    <row r="4163" spans="1:7" x14ac:dyDescent="0.3">
      <c r="A4163" s="84">
        <v>2026</v>
      </c>
      <c r="B4163" s="84" t="s">
        <v>398</v>
      </c>
      <c r="C4163" s="84">
        <v>19</v>
      </c>
      <c r="D4163" s="84">
        <v>22</v>
      </c>
      <c r="E4163" s="85">
        <v>17787.62</v>
      </c>
      <c r="F4163" s="85">
        <v>19408.68</v>
      </c>
      <c r="G4163" s="85">
        <v>1621.06</v>
      </c>
    </row>
    <row r="4164" spans="1:7" x14ac:dyDescent="0.3">
      <c r="A4164" s="84">
        <v>2026</v>
      </c>
      <c r="B4164" s="84" t="s">
        <v>398</v>
      </c>
      <c r="C4164" s="84">
        <v>19</v>
      </c>
      <c r="D4164" s="84">
        <v>23</v>
      </c>
      <c r="E4164" s="85">
        <v>17787.62</v>
      </c>
      <c r="F4164" s="85">
        <v>20049.18</v>
      </c>
      <c r="G4164" s="85">
        <v>2261.56</v>
      </c>
    </row>
    <row r="4165" spans="1:7" x14ac:dyDescent="0.3">
      <c r="A4165" s="84">
        <v>2026</v>
      </c>
      <c r="B4165" s="84" t="s">
        <v>398</v>
      </c>
      <c r="C4165" s="84">
        <v>19</v>
      </c>
      <c r="D4165" s="84">
        <v>24</v>
      </c>
      <c r="E4165" s="85">
        <v>17787.62</v>
      </c>
      <c r="F4165" s="85">
        <v>20688.419999999998</v>
      </c>
      <c r="G4165" s="85">
        <v>2900.8</v>
      </c>
    </row>
    <row r="4166" spans="1:7" x14ac:dyDescent="0.3">
      <c r="A4166" s="84">
        <v>2026</v>
      </c>
      <c r="B4166" s="84" t="s">
        <v>398</v>
      </c>
      <c r="C4166" s="84">
        <v>19</v>
      </c>
      <c r="D4166" s="84">
        <v>25</v>
      </c>
      <c r="E4166" s="85">
        <v>17787.62</v>
      </c>
      <c r="F4166" s="85">
        <v>21328.5</v>
      </c>
      <c r="G4166" s="85">
        <v>3540.88</v>
      </c>
    </row>
    <row r="4167" spans="1:7" x14ac:dyDescent="0.3">
      <c r="A4167" s="84">
        <v>2026</v>
      </c>
      <c r="B4167" s="84" t="s">
        <v>398</v>
      </c>
      <c r="C4167" s="84">
        <v>19</v>
      </c>
      <c r="D4167" s="84">
        <v>26</v>
      </c>
      <c r="E4167" s="85">
        <v>17787.62</v>
      </c>
      <c r="F4167" s="85">
        <v>22707.78</v>
      </c>
      <c r="G4167" s="85">
        <v>4920.16</v>
      </c>
    </row>
    <row r="4168" spans="1:7" x14ac:dyDescent="0.3">
      <c r="A4168" s="84">
        <v>2026</v>
      </c>
      <c r="B4168" s="84" t="s">
        <v>398</v>
      </c>
      <c r="C4168" s="84">
        <v>19</v>
      </c>
      <c r="D4168" s="84">
        <v>27</v>
      </c>
      <c r="E4168" s="85">
        <v>17787.62</v>
      </c>
      <c r="F4168" s="85">
        <v>24417.040000000001</v>
      </c>
      <c r="G4168" s="85">
        <v>6629.42</v>
      </c>
    </row>
    <row r="4169" spans="1:7" x14ac:dyDescent="0.3">
      <c r="A4169" s="84">
        <v>2026</v>
      </c>
      <c r="B4169" s="84" t="s">
        <v>398</v>
      </c>
      <c r="C4169" s="84">
        <v>19</v>
      </c>
      <c r="D4169" s="84">
        <v>28</v>
      </c>
      <c r="E4169" s="85">
        <v>17787.62</v>
      </c>
      <c r="F4169" s="85">
        <v>25057.54</v>
      </c>
      <c r="G4169" s="85">
        <v>7269.92</v>
      </c>
    </row>
    <row r="4170" spans="1:7" x14ac:dyDescent="0.3">
      <c r="A4170" s="84">
        <v>2026</v>
      </c>
      <c r="B4170" s="84" t="s">
        <v>398</v>
      </c>
      <c r="C4170" s="84">
        <v>19</v>
      </c>
      <c r="D4170" s="84">
        <v>29</v>
      </c>
      <c r="E4170" s="85">
        <v>17787.62</v>
      </c>
      <c r="F4170" s="85">
        <v>25696.92</v>
      </c>
      <c r="G4170" s="85">
        <v>7909.3</v>
      </c>
    </row>
    <row r="4171" spans="1:7" x14ac:dyDescent="0.3">
      <c r="A4171" s="84">
        <v>2026</v>
      </c>
      <c r="B4171" s="84" t="s">
        <v>398</v>
      </c>
      <c r="C4171" s="84">
        <v>19</v>
      </c>
      <c r="D4171" s="84">
        <v>30</v>
      </c>
      <c r="E4171" s="85">
        <v>17787.62</v>
      </c>
      <c r="F4171" s="85">
        <v>27445.24</v>
      </c>
      <c r="G4171" s="85">
        <v>9657.6200000000008</v>
      </c>
    </row>
    <row r="4172" spans="1:7" x14ac:dyDescent="0.3">
      <c r="A4172" s="84">
        <v>2026</v>
      </c>
      <c r="B4172" s="84" t="s">
        <v>398</v>
      </c>
      <c r="C4172" s="84">
        <v>20</v>
      </c>
      <c r="D4172" s="84">
        <v>1</v>
      </c>
      <c r="E4172" s="85">
        <v>18180.599999999999</v>
      </c>
      <c r="F4172" s="85">
        <v>12087.8</v>
      </c>
      <c r="G4172" s="85">
        <v>-6092.8</v>
      </c>
    </row>
    <row r="4173" spans="1:7" x14ac:dyDescent="0.3">
      <c r="A4173" s="84">
        <v>2026</v>
      </c>
      <c r="B4173" s="84" t="s">
        <v>398</v>
      </c>
      <c r="C4173" s="84">
        <v>20</v>
      </c>
      <c r="D4173" s="84">
        <v>2</v>
      </c>
      <c r="E4173" s="85">
        <v>18180.599999999999</v>
      </c>
      <c r="F4173" s="85">
        <v>12382.22</v>
      </c>
      <c r="G4173" s="85">
        <v>-5798.38</v>
      </c>
    </row>
    <row r="4174" spans="1:7" x14ac:dyDescent="0.3">
      <c r="A4174" s="84">
        <v>2026</v>
      </c>
      <c r="B4174" s="84" t="s">
        <v>398</v>
      </c>
      <c r="C4174" s="84">
        <v>20</v>
      </c>
      <c r="D4174" s="84">
        <v>3</v>
      </c>
      <c r="E4174" s="85">
        <v>18180.599999999999</v>
      </c>
      <c r="F4174" s="85">
        <v>12677.2</v>
      </c>
      <c r="G4174" s="85">
        <v>-5503.4</v>
      </c>
    </row>
    <row r="4175" spans="1:7" x14ac:dyDescent="0.3">
      <c r="A4175" s="84">
        <v>2026</v>
      </c>
      <c r="B4175" s="84" t="s">
        <v>398</v>
      </c>
      <c r="C4175" s="84">
        <v>20</v>
      </c>
      <c r="D4175" s="84">
        <v>4</v>
      </c>
      <c r="E4175" s="85">
        <v>18180.599999999999</v>
      </c>
      <c r="F4175" s="85">
        <v>12971.34</v>
      </c>
      <c r="G4175" s="85">
        <v>-5209.26</v>
      </c>
    </row>
    <row r="4176" spans="1:7" x14ac:dyDescent="0.3">
      <c r="A4176" s="84">
        <v>2026</v>
      </c>
      <c r="B4176" s="84" t="s">
        <v>398</v>
      </c>
      <c r="C4176" s="84">
        <v>20</v>
      </c>
      <c r="D4176" s="84">
        <v>5</v>
      </c>
      <c r="E4176" s="85">
        <v>18180.599999999999</v>
      </c>
      <c r="F4176" s="85">
        <v>13266.04</v>
      </c>
      <c r="G4176" s="85">
        <v>-4914.5600000000004</v>
      </c>
    </row>
    <row r="4177" spans="1:7" x14ac:dyDescent="0.3">
      <c r="A4177" s="84">
        <v>2026</v>
      </c>
      <c r="B4177" s="84" t="s">
        <v>398</v>
      </c>
      <c r="C4177" s="84">
        <v>20</v>
      </c>
      <c r="D4177" s="84">
        <v>6</v>
      </c>
      <c r="E4177" s="85">
        <v>18180.599999999999</v>
      </c>
      <c r="F4177" s="85">
        <v>13462.74</v>
      </c>
      <c r="G4177" s="85">
        <v>-4717.8599999999997</v>
      </c>
    </row>
    <row r="4178" spans="1:7" x14ac:dyDescent="0.3">
      <c r="A4178" s="84">
        <v>2026</v>
      </c>
      <c r="B4178" s="84" t="s">
        <v>398</v>
      </c>
      <c r="C4178" s="84">
        <v>20</v>
      </c>
      <c r="D4178" s="84">
        <v>7</v>
      </c>
      <c r="E4178" s="85">
        <v>18180.599999999999</v>
      </c>
      <c r="F4178" s="85">
        <v>13659.44</v>
      </c>
      <c r="G4178" s="85">
        <v>-4521.16</v>
      </c>
    </row>
    <row r="4179" spans="1:7" x14ac:dyDescent="0.3">
      <c r="A4179" s="84">
        <v>2026</v>
      </c>
      <c r="B4179" s="84" t="s">
        <v>398</v>
      </c>
      <c r="C4179" s="84">
        <v>20</v>
      </c>
      <c r="D4179" s="84">
        <v>8</v>
      </c>
      <c r="E4179" s="85">
        <v>18180.599999999999</v>
      </c>
      <c r="F4179" s="85">
        <v>13855.72</v>
      </c>
      <c r="G4179" s="85">
        <v>-4324.88</v>
      </c>
    </row>
    <row r="4180" spans="1:7" x14ac:dyDescent="0.3">
      <c r="A4180" s="84">
        <v>2026</v>
      </c>
      <c r="B4180" s="84" t="s">
        <v>398</v>
      </c>
      <c r="C4180" s="84">
        <v>20</v>
      </c>
      <c r="D4180" s="84">
        <v>9</v>
      </c>
      <c r="E4180" s="85">
        <v>18180.599999999999</v>
      </c>
      <c r="F4180" s="85">
        <v>14052.84</v>
      </c>
      <c r="G4180" s="85">
        <v>-4127.76</v>
      </c>
    </row>
    <row r="4181" spans="1:7" x14ac:dyDescent="0.3">
      <c r="A4181" s="84">
        <v>2026</v>
      </c>
      <c r="B4181" s="84" t="s">
        <v>398</v>
      </c>
      <c r="C4181" s="84">
        <v>20</v>
      </c>
      <c r="D4181" s="84">
        <v>10</v>
      </c>
      <c r="E4181" s="85">
        <v>18180.599999999999</v>
      </c>
      <c r="F4181" s="85">
        <v>14249.26</v>
      </c>
      <c r="G4181" s="85">
        <v>-3931.34</v>
      </c>
    </row>
    <row r="4182" spans="1:7" x14ac:dyDescent="0.3">
      <c r="A4182" s="84">
        <v>2026</v>
      </c>
      <c r="B4182" s="84" t="s">
        <v>398</v>
      </c>
      <c r="C4182" s="84">
        <v>20</v>
      </c>
      <c r="D4182" s="84">
        <v>11</v>
      </c>
      <c r="E4182" s="85">
        <v>18180.599999999999</v>
      </c>
      <c r="F4182" s="85">
        <v>14641.82</v>
      </c>
      <c r="G4182" s="85">
        <v>-3538.78</v>
      </c>
    </row>
    <row r="4183" spans="1:7" x14ac:dyDescent="0.3">
      <c r="A4183" s="84">
        <v>2026</v>
      </c>
      <c r="B4183" s="84" t="s">
        <v>398</v>
      </c>
      <c r="C4183" s="84">
        <v>20</v>
      </c>
      <c r="D4183" s="84">
        <v>12</v>
      </c>
      <c r="E4183" s="85">
        <v>18180.599999999999</v>
      </c>
      <c r="F4183" s="85">
        <v>15035.36</v>
      </c>
      <c r="G4183" s="85">
        <v>-3145.24</v>
      </c>
    </row>
    <row r="4184" spans="1:7" x14ac:dyDescent="0.3">
      <c r="A4184" s="84">
        <v>2026</v>
      </c>
      <c r="B4184" s="84" t="s">
        <v>398</v>
      </c>
      <c r="C4184" s="84">
        <v>20</v>
      </c>
      <c r="D4184" s="84">
        <v>13</v>
      </c>
      <c r="E4184" s="85">
        <v>18180.599999999999</v>
      </c>
      <c r="F4184" s="85">
        <v>15428.62</v>
      </c>
      <c r="G4184" s="85">
        <v>-2751.98</v>
      </c>
    </row>
    <row r="4185" spans="1:7" x14ac:dyDescent="0.3">
      <c r="A4185" s="84">
        <v>2026</v>
      </c>
      <c r="B4185" s="84" t="s">
        <v>398</v>
      </c>
      <c r="C4185" s="84">
        <v>20</v>
      </c>
      <c r="D4185" s="84">
        <v>14</v>
      </c>
      <c r="E4185" s="85">
        <v>18180.599999999999</v>
      </c>
      <c r="F4185" s="85">
        <v>15822.44</v>
      </c>
      <c r="G4185" s="85">
        <v>-2358.16</v>
      </c>
    </row>
    <row r="4186" spans="1:7" x14ac:dyDescent="0.3">
      <c r="A4186" s="84">
        <v>2026</v>
      </c>
      <c r="B4186" s="84" t="s">
        <v>398</v>
      </c>
      <c r="C4186" s="84">
        <v>20</v>
      </c>
      <c r="D4186" s="84">
        <v>15</v>
      </c>
      <c r="E4186" s="85">
        <v>18180.599999999999</v>
      </c>
      <c r="F4186" s="85">
        <v>16214.72</v>
      </c>
      <c r="G4186" s="85">
        <v>-1965.88</v>
      </c>
    </row>
    <row r="4187" spans="1:7" x14ac:dyDescent="0.3">
      <c r="A4187" s="84">
        <v>2026</v>
      </c>
      <c r="B4187" s="84" t="s">
        <v>398</v>
      </c>
      <c r="C4187" s="84">
        <v>20</v>
      </c>
      <c r="D4187" s="84">
        <v>16</v>
      </c>
      <c r="E4187" s="85">
        <v>18180.599999999999</v>
      </c>
      <c r="F4187" s="85">
        <v>16608.68</v>
      </c>
      <c r="G4187" s="85">
        <v>-1571.92</v>
      </c>
    </row>
    <row r="4188" spans="1:7" x14ac:dyDescent="0.3">
      <c r="A4188" s="84">
        <v>2026</v>
      </c>
      <c r="B4188" s="84" t="s">
        <v>398</v>
      </c>
      <c r="C4188" s="84">
        <v>20</v>
      </c>
      <c r="D4188" s="84">
        <v>17</v>
      </c>
      <c r="E4188" s="85">
        <v>18180.599999999999</v>
      </c>
      <c r="F4188" s="85">
        <v>17000.96</v>
      </c>
      <c r="G4188" s="85">
        <v>-1179.6400000000001</v>
      </c>
    </row>
    <row r="4189" spans="1:7" x14ac:dyDescent="0.3">
      <c r="A4189" s="84">
        <v>2026</v>
      </c>
      <c r="B4189" s="84" t="s">
        <v>398</v>
      </c>
      <c r="C4189" s="84">
        <v>20</v>
      </c>
      <c r="D4189" s="84">
        <v>18</v>
      </c>
      <c r="E4189" s="85">
        <v>18180.599999999999</v>
      </c>
      <c r="F4189" s="85">
        <v>17394.5</v>
      </c>
      <c r="G4189" s="85">
        <v>-786.1</v>
      </c>
    </row>
    <row r="4190" spans="1:7" x14ac:dyDescent="0.3">
      <c r="A4190" s="84">
        <v>2026</v>
      </c>
      <c r="B4190" s="84" t="s">
        <v>398</v>
      </c>
      <c r="C4190" s="84">
        <v>20</v>
      </c>
      <c r="D4190" s="84">
        <v>19</v>
      </c>
      <c r="E4190" s="85">
        <v>18180.599999999999</v>
      </c>
      <c r="F4190" s="85">
        <v>17787.62</v>
      </c>
      <c r="G4190" s="85">
        <v>-392.98</v>
      </c>
    </row>
    <row r="4191" spans="1:7" x14ac:dyDescent="0.3">
      <c r="A4191" s="84">
        <v>2026</v>
      </c>
      <c r="B4191" s="84" t="s">
        <v>398</v>
      </c>
      <c r="C4191" s="84">
        <v>20</v>
      </c>
      <c r="D4191" s="84">
        <v>20</v>
      </c>
      <c r="E4191" s="85">
        <v>18180.599999999999</v>
      </c>
      <c r="F4191" s="85">
        <v>18180.599999999999</v>
      </c>
      <c r="G4191" s="85">
        <v>0</v>
      </c>
    </row>
    <row r="4192" spans="1:7" x14ac:dyDescent="0.3">
      <c r="A4192" s="84">
        <v>2026</v>
      </c>
      <c r="B4192" s="84" t="s">
        <v>398</v>
      </c>
      <c r="C4192" s="84">
        <v>20</v>
      </c>
      <c r="D4192" s="84">
        <v>21</v>
      </c>
      <c r="E4192" s="85">
        <v>18180.599999999999</v>
      </c>
      <c r="F4192" s="85">
        <v>18770</v>
      </c>
      <c r="G4192" s="85">
        <v>589.4</v>
      </c>
    </row>
    <row r="4193" spans="1:7" x14ac:dyDescent="0.3">
      <c r="A4193" s="84">
        <v>2026</v>
      </c>
      <c r="B4193" s="84" t="s">
        <v>398</v>
      </c>
      <c r="C4193" s="84">
        <v>20</v>
      </c>
      <c r="D4193" s="84">
        <v>22</v>
      </c>
      <c r="E4193" s="85">
        <v>18180.599999999999</v>
      </c>
      <c r="F4193" s="85">
        <v>19408.68</v>
      </c>
      <c r="G4193" s="85">
        <v>1228.08</v>
      </c>
    </row>
    <row r="4194" spans="1:7" x14ac:dyDescent="0.3">
      <c r="A4194" s="84">
        <v>2026</v>
      </c>
      <c r="B4194" s="84" t="s">
        <v>398</v>
      </c>
      <c r="C4194" s="84">
        <v>20</v>
      </c>
      <c r="D4194" s="84">
        <v>23</v>
      </c>
      <c r="E4194" s="85">
        <v>18180.599999999999</v>
      </c>
      <c r="F4194" s="85">
        <v>20049.18</v>
      </c>
      <c r="G4194" s="85">
        <v>1868.58</v>
      </c>
    </row>
    <row r="4195" spans="1:7" x14ac:dyDescent="0.3">
      <c r="A4195" s="84">
        <v>2026</v>
      </c>
      <c r="B4195" s="84" t="s">
        <v>398</v>
      </c>
      <c r="C4195" s="84">
        <v>20</v>
      </c>
      <c r="D4195" s="84">
        <v>24</v>
      </c>
      <c r="E4195" s="85">
        <v>18180.599999999999</v>
      </c>
      <c r="F4195" s="85">
        <v>20688.419999999998</v>
      </c>
      <c r="G4195" s="85">
        <v>2507.8200000000002</v>
      </c>
    </row>
    <row r="4196" spans="1:7" x14ac:dyDescent="0.3">
      <c r="A4196" s="84">
        <v>2026</v>
      </c>
      <c r="B4196" s="84" t="s">
        <v>398</v>
      </c>
      <c r="C4196" s="84">
        <v>20</v>
      </c>
      <c r="D4196" s="84">
        <v>25</v>
      </c>
      <c r="E4196" s="85">
        <v>18180.599999999999</v>
      </c>
      <c r="F4196" s="85">
        <v>21328.5</v>
      </c>
      <c r="G4196" s="85">
        <v>3147.9</v>
      </c>
    </row>
    <row r="4197" spans="1:7" x14ac:dyDescent="0.3">
      <c r="A4197" s="84">
        <v>2026</v>
      </c>
      <c r="B4197" s="84" t="s">
        <v>398</v>
      </c>
      <c r="C4197" s="84">
        <v>20</v>
      </c>
      <c r="D4197" s="84">
        <v>26</v>
      </c>
      <c r="E4197" s="85">
        <v>18180.599999999999</v>
      </c>
      <c r="F4197" s="85">
        <v>22707.78</v>
      </c>
      <c r="G4197" s="85">
        <v>4527.18</v>
      </c>
    </row>
    <row r="4198" spans="1:7" x14ac:dyDescent="0.3">
      <c r="A4198" s="84">
        <v>2026</v>
      </c>
      <c r="B4198" s="84" t="s">
        <v>398</v>
      </c>
      <c r="C4198" s="84">
        <v>20</v>
      </c>
      <c r="D4198" s="84">
        <v>27</v>
      </c>
      <c r="E4198" s="85">
        <v>18180.599999999999</v>
      </c>
      <c r="F4198" s="85">
        <v>24417.040000000001</v>
      </c>
      <c r="G4198" s="85">
        <v>6236.44</v>
      </c>
    </row>
    <row r="4199" spans="1:7" x14ac:dyDescent="0.3">
      <c r="A4199" s="84">
        <v>2026</v>
      </c>
      <c r="B4199" s="84" t="s">
        <v>398</v>
      </c>
      <c r="C4199" s="84">
        <v>20</v>
      </c>
      <c r="D4199" s="84">
        <v>28</v>
      </c>
      <c r="E4199" s="85">
        <v>18180.599999999999</v>
      </c>
      <c r="F4199" s="85">
        <v>25057.54</v>
      </c>
      <c r="G4199" s="85">
        <v>6876.94</v>
      </c>
    </row>
    <row r="4200" spans="1:7" x14ac:dyDescent="0.3">
      <c r="A4200" s="84">
        <v>2026</v>
      </c>
      <c r="B4200" s="84" t="s">
        <v>398</v>
      </c>
      <c r="C4200" s="84">
        <v>20</v>
      </c>
      <c r="D4200" s="84">
        <v>29</v>
      </c>
      <c r="E4200" s="85">
        <v>18180.599999999999</v>
      </c>
      <c r="F4200" s="85">
        <v>25696.92</v>
      </c>
      <c r="G4200" s="85">
        <v>7516.32</v>
      </c>
    </row>
    <row r="4201" spans="1:7" x14ac:dyDescent="0.3">
      <c r="A4201" s="84">
        <v>2026</v>
      </c>
      <c r="B4201" s="84" t="s">
        <v>398</v>
      </c>
      <c r="C4201" s="84">
        <v>20</v>
      </c>
      <c r="D4201" s="84">
        <v>30</v>
      </c>
      <c r="E4201" s="85">
        <v>18180.599999999999</v>
      </c>
      <c r="F4201" s="85">
        <v>27445.24</v>
      </c>
      <c r="G4201" s="85">
        <v>9264.64</v>
      </c>
    </row>
    <row r="4202" spans="1:7" x14ac:dyDescent="0.3">
      <c r="A4202" s="84">
        <v>2026</v>
      </c>
      <c r="B4202" s="84" t="s">
        <v>398</v>
      </c>
      <c r="C4202" s="84">
        <v>21</v>
      </c>
      <c r="D4202" s="84">
        <v>1</v>
      </c>
      <c r="E4202" s="85">
        <v>18770</v>
      </c>
      <c r="F4202" s="85">
        <v>12087.8</v>
      </c>
      <c r="G4202" s="85">
        <v>-6682.2</v>
      </c>
    </row>
    <row r="4203" spans="1:7" x14ac:dyDescent="0.3">
      <c r="A4203" s="84">
        <v>2026</v>
      </c>
      <c r="B4203" s="84" t="s">
        <v>398</v>
      </c>
      <c r="C4203" s="84">
        <v>21</v>
      </c>
      <c r="D4203" s="84">
        <v>2</v>
      </c>
      <c r="E4203" s="85">
        <v>18770</v>
      </c>
      <c r="F4203" s="85">
        <v>12382.22</v>
      </c>
      <c r="G4203" s="85">
        <v>-6387.78</v>
      </c>
    </row>
    <row r="4204" spans="1:7" x14ac:dyDescent="0.3">
      <c r="A4204" s="84">
        <v>2026</v>
      </c>
      <c r="B4204" s="84" t="s">
        <v>398</v>
      </c>
      <c r="C4204" s="84">
        <v>21</v>
      </c>
      <c r="D4204" s="84">
        <v>3</v>
      </c>
      <c r="E4204" s="85">
        <v>18770</v>
      </c>
      <c r="F4204" s="85">
        <v>12677.2</v>
      </c>
      <c r="G4204" s="85">
        <v>-6092.8</v>
      </c>
    </row>
    <row r="4205" spans="1:7" x14ac:dyDescent="0.3">
      <c r="A4205" s="84">
        <v>2026</v>
      </c>
      <c r="B4205" s="84" t="s">
        <v>398</v>
      </c>
      <c r="C4205" s="84">
        <v>21</v>
      </c>
      <c r="D4205" s="84">
        <v>4</v>
      </c>
      <c r="E4205" s="85">
        <v>18770</v>
      </c>
      <c r="F4205" s="85">
        <v>12971.34</v>
      </c>
      <c r="G4205" s="85">
        <v>-5798.66</v>
      </c>
    </row>
    <row r="4206" spans="1:7" x14ac:dyDescent="0.3">
      <c r="A4206" s="84">
        <v>2026</v>
      </c>
      <c r="B4206" s="84" t="s">
        <v>398</v>
      </c>
      <c r="C4206" s="84">
        <v>21</v>
      </c>
      <c r="D4206" s="84">
        <v>5</v>
      </c>
      <c r="E4206" s="85">
        <v>18770</v>
      </c>
      <c r="F4206" s="85">
        <v>13266.04</v>
      </c>
      <c r="G4206" s="85">
        <v>-5503.96</v>
      </c>
    </row>
    <row r="4207" spans="1:7" x14ac:dyDescent="0.3">
      <c r="A4207" s="84">
        <v>2026</v>
      </c>
      <c r="B4207" s="84" t="s">
        <v>398</v>
      </c>
      <c r="C4207" s="84">
        <v>21</v>
      </c>
      <c r="D4207" s="84">
        <v>6</v>
      </c>
      <c r="E4207" s="85">
        <v>18770</v>
      </c>
      <c r="F4207" s="85">
        <v>13462.74</v>
      </c>
      <c r="G4207" s="85">
        <v>-5307.26</v>
      </c>
    </row>
    <row r="4208" spans="1:7" x14ac:dyDescent="0.3">
      <c r="A4208" s="84">
        <v>2026</v>
      </c>
      <c r="B4208" s="84" t="s">
        <v>398</v>
      </c>
      <c r="C4208" s="84">
        <v>21</v>
      </c>
      <c r="D4208" s="84">
        <v>7</v>
      </c>
      <c r="E4208" s="85">
        <v>18770</v>
      </c>
      <c r="F4208" s="85">
        <v>13659.44</v>
      </c>
      <c r="G4208" s="85">
        <v>-5110.5600000000004</v>
      </c>
    </row>
    <row r="4209" spans="1:7" x14ac:dyDescent="0.3">
      <c r="A4209" s="84">
        <v>2026</v>
      </c>
      <c r="B4209" s="84" t="s">
        <v>398</v>
      </c>
      <c r="C4209" s="84">
        <v>21</v>
      </c>
      <c r="D4209" s="84">
        <v>8</v>
      </c>
      <c r="E4209" s="85">
        <v>18770</v>
      </c>
      <c r="F4209" s="85">
        <v>13855.72</v>
      </c>
      <c r="G4209" s="85">
        <v>-4914.28</v>
      </c>
    </row>
    <row r="4210" spans="1:7" x14ac:dyDescent="0.3">
      <c r="A4210" s="84">
        <v>2026</v>
      </c>
      <c r="B4210" s="84" t="s">
        <v>398</v>
      </c>
      <c r="C4210" s="84">
        <v>21</v>
      </c>
      <c r="D4210" s="84">
        <v>9</v>
      </c>
      <c r="E4210" s="85">
        <v>18770</v>
      </c>
      <c r="F4210" s="85">
        <v>14052.84</v>
      </c>
      <c r="G4210" s="85">
        <v>-4717.16</v>
      </c>
    </row>
    <row r="4211" spans="1:7" x14ac:dyDescent="0.3">
      <c r="A4211" s="84">
        <v>2026</v>
      </c>
      <c r="B4211" s="84" t="s">
        <v>398</v>
      </c>
      <c r="C4211" s="84">
        <v>21</v>
      </c>
      <c r="D4211" s="84">
        <v>10</v>
      </c>
      <c r="E4211" s="85">
        <v>18770</v>
      </c>
      <c r="F4211" s="85">
        <v>14249.26</v>
      </c>
      <c r="G4211" s="85">
        <v>-4520.74</v>
      </c>
    </row>
    <row r="4212" spans="1:7" x14ac:dyDescent="0.3">
      <c r="A4212" s="84">
        <v>2026</v>
      </c>
      <c r="B4212" s="84" t="s">
        <v>398</v>
      </c>
      <c r="C4212" s="84">
        <v>21</v>
      </c>
      <c r="D4212" s="84">
        <v>11</v>
      </c>
      <c r="E4212" s="85">
        <v>18770</v>
      </c>
      <c r="F4212" s="85">
        <v>14641.82</v>
      </c>
      <c r="G4212" s="85">
        <v>-4128.18</v>
      </c>
    </row>
    <row r="4213" spans="1:7" x14ac:dyDescent="0.3">
      <c r="A4213" s="84">
        <v>2026</v>
      </c>
      <c r="B4213" s="84" t="s">
        <v>398</v>
      </c>
      <c r="C4213" s="84">
        <v>21</v>
      </c>
      <c r="D4213" s="84">
        <v>12</v>
      </c>
      <c r="E4213" s="85">
        <v>18770</v>
      </c>
      <c r="F4213" s="85">
        <v>15035.36</v>
      </c>
      <c r="G4213" s="85">
        <v>-3734.64</v>
      </c>
    </row>
    <row r="4214" spans="1:7" x14ac:dyDescent="0.3">
      <c r="A4214" s="84">
        <v>2026</v>
      </c>
      <c r="B4214" s="84" t="s">
        <v>398</v>
      </c>
      <c r="C4214" s="84">
        <v>21</v>
      </c>
      <c r="D4214" s="84">
        <v>13</v>
      </c>
      <c r="E4214" s="85">
        <v>18770</v>
      </c>
      <c r="F4214" s="85">
        <v>15428.62</v>
      </c>
      <c r="G4214" s="85">
        <v>-3341.38</v>
      </c>
    </row>
    <row r="4215" spans="1:7" x14ac:dyDescent="0.3">
      <c r="A4215" s="84">
        <v>2026</v>
      </c>
      <c r="B4215" s="84" t="s">
        <v>398</v>
      </c>
      <c r="C4215" s="84">
        <v>21</v>
      </c>
      <c r="D4215" s="84">
        <v>14</v>
      </c>
      <c r="E4215" s="85">
        <v>18770</v>
      </c>
      <c r="F4215" s="85">
        <v>15822.44</v>
      </c>
      <c r="G4215" s="85">
        <v>-2947.56</v>
      </c>
    </row>
    <row r="4216" spans="1:7" x14ac:dyDescent="0.3">
      <c r="A4216" s="84">
        <v>2026</v>
      </c>
      <c r="B4216" s="84" t="s">
        <v>398</v>
      </c>
      <c r="C4216" s="84">
        <v>21</v>
      </c>
      <c r="D4216" s="84">
        <v>15</v>
      </c>
      <c r="E4216" s="85">
        <v>18770</v>
      </c>
      <c r="F4216" s="85">
        <v>16214.72</v>
      </c>
      <c r="G4216" s="85">
        <v>-2555.2800000000002</v>
      </c>
    </row>
    <row r="4217" spans="1:7" x14ac:dyDescent="0.3">
      <c r="A4217" s="84">
        <v>2026</v>
      </c>
      <c r="B4217" s="84" t="s">
        <v>398</v>
      </c>
      <c r="C4217" s="84">
        <v>21</v>
      </c>
      <c r="D4217" s="84">
        <v>16</v>
      </c>
      <c r="E4217" s="85">
        <v>18770</v>
      </c>
      <c r="F4217" s="85">
        <v>16608.68</v>
      </c>
      <c r="G4217" s="85">
        <v>-2161.3200000000002</v>
      </c>
    </row>
    <row r="4218" spans="1:7" x14ac:dyDescent="0.3">
      <c r="A4218" s="84">
        <v>2026</v>
      </c>
      <c r="B4218" s="84" t="s">
        <v>398</v>
      </c>
      <c r="C4218" s="84">
        <v>21</v>
      </c>
      <c r="D4218" s="84">
        <v>17</v>
      </c>
      <c r="E4218" s="85">
        <v>18770</v>
      </c>
      <c r="F4218" s="85">
        <v>17000.96</v>
      </c>
      <c r="G4218" s="85">
        <v>-1769.04</v>
      </c>
    </row>
    <row r="4219" spans="1:7" x14ac:dyDescent="0.3">
      <c r="A4219" s="84">
        <v>2026</v>
      </c>
      <c r="B4219" s="84" t="s">
        <v>398</v>
      </c>
      <c r="C4219" s="84">
        <v>21</v>
      </c>
      <c r="D4219" s="84">
        <v>18</v>
      </c>
      <c r="E4219" s="85">
        <v>18770</v>
      </c>
      <c r="F4219" s="85">
        <v>17394.5</v>
      </c>
      <c r="G4219" s="85">
        <v>-1375.5</v>
      </c>
    </row>
    <row r="4220" spans="1:7" x14ac:dyDescent="0.3">
      <c r="A4220" s="84">
        <v>2026</v>
      </c>
      <c r="B4220" s="84" t="s">
        <v>398</v>
      </c>
      <c r="C4220" s="84">
        <v>21</v>
      </c>
      <c r="D4220" s="84">
        <v>19</v>
      </c>
      <c r="E4220" s="85">
        <v>18770</v>
      </c>
      <c r="F4220" s="85">
        <v>17787.62</v>
      </c>
      <c r="G4220" s="85">
        <v>-982.38</v>
      </c>
    </row>
    <row r="4221" spans="1:7" x14ac:dyDescent="0.3">
      <c r="A4221" s="84">
        <v>2026</v>
      </c>
      <c r="B4221" s="84" t="s">
        <v>398</v>
      </c>
      <c r="C4221" s="84">
        <v>21</v>
      </c>
      <c r="D4221" s="84">
        <v>20</v>
      </c>
      <c r="E4221" s="85">
        <v>18770</v>
      </c>
      <c r="F4221" s="85">
        <v>18180.599999999999</v>
      </c>
      <c r="G4221" s="85">
        <v>-589.4</v>
      </c>
    </row>
    <row r="4222" spans="1:7" x14ac:dyDescent="0.3">
      <c r="A4222" s="84">
        <v>2026</v>
      </c>
      <c r="B4222" s="84" t="s">
        <v>398</v>
      </c>
      <c r="C4222" s="84">
        <v>21</v>
      </c>
      <c r="D4222" s="84">
        <v>21</v>
      </c>
      <c r="E4222" s="85">
        <v>18770</v>
      </c>
      <c r="F4222" s="85">
        <v>18770</v>
      </c>
      <c r="G4222" s="85">
        <v>0</v>
      </c>
    </row>
    <row r="4223" spans="1:7" x14ac:dyDescent="0.3">
      <c r="A4223" s="84">
        <v>2026</v>
      </c>
      <c r="B4223" s="84" t="s">
        <v>398</v>
      </c>
      <c r="C4223" s="84">
        <v>21</v>
      </c>
      <c r="D4223" s="84">
        <v>22</v>
      </c>
      <c r="E4223" s="85">
        <v>18770</v>
      </c>
      <c r="F4223" s="85">
        <v>19408.68</v>
      </c>
      <c r="G4223" s="85">
        <v>638.67999999999995</v>
      </c>
    </row>
    <row r="4224" spans="1:7" x14ac:dyDescent="0.3">
      <c r="A4224" s="84">
        <v>2026</v>
      </c>
      <c r="B4224" s="84" t="s">
        <v>398</v>
      </c>
      <c r="C4224" s="84">
        <v>21</v>
      </c>
      <c r="D4224" s="84">
        <v>23</v>
      </c>
      <c r="E4224" s="85">
        <v>18770</v>
      </c>
      <c r="F4224" s="85">
        <v>20049.18</v>
      </c>
      <c r="G4224" s="85">
        <v>1279.18</v>
      </c>
    </row>
    <row r="4225" spans="1:7" x14ac:dyDescent="0.3">
      <c r="A4225" s="84">
        <v>2026</v>
      </c>
      <c r="B4225" s="84" t="s">
        <v>398</v>
      </c>
      <c r="C4225" s="84">
        <v>21</v>
      </c>
      <c r="D4225" s="84">
        <v>24</v>
      </c>
      <c r="E4225" s="85">
        <v>18770</v>
      </c>
      <c r="F4225" s="85">
        <v>20688.419999999998</v>
      </c>
      <c r="G4225" s="85">
        <v>1918.42</v>
      </c>
    </row>
    <row r="4226" spans="1:7" x14ac:dyDescent="0.3">
      <c r="A4226" s="84">
        <v>2026</v>
      </c>
      <c r="B4226" s="84" t="s">
        <v>398</v>
      </c>
      <c r="C4226" s="84">
        <v>21</v>
      </c>
      <c r="D4226" s="84">
        <v>25</v>
      </c>
      <c r="E4226" s="85">
        <v>18770</v>
      </c>
      <c r="F4226" s="85">
        <v>21328.5</v>
      </c>
      <c r="G4226" s="85">
        <v>2558.5</v>
      </c>
    </row>
    <row r="4227" spans="1:7" x14ac:dyDescent="0.3">
      <c r="A4227" s="84">
        <v>2026</v>
      </c>
      <c r="B4227" s="84" t="s">
        <v>398</v>
      </c>
      <c r="C4227" s="84">
        <v>21</v>
      </c>
      <c r="D4227" s="84">
        <v>26</v>
      </c>
      <c r="E4227" s="85">
        <v>18770</v>
      </c>
      <c r="F4227" s="85">
        <v>22707.78</v>
      </c>
      <c r="G4227" s="85">
        <v>3937.78</v>
      </c>
    </row>
    <row r="4228" spans="1:7" x14ac:dyDescent="0.3">
      <c r="A4228" s="84">
        <v>2026</v>
      </c>
      <c r="B4228" s="84" t="s">
        <v>398</v>
      </c>
      <c r="C4228" s="84">
        <v>21</v>
      </c>
      <c r="D4228" s="84">
        <v>27</v>
      </c>
      <c r="E4228" s="85">
        <v>18770</v>
      </c>
      <c r="F4228" s="85">
        <v>24417.040000000001</v>
      </c>
      <c r="G4228" s="85">
        <v>5647.04</v>
      </c>
    </row>
    <row r="4229" spans="1:7" x14ac:dyDescent="0.3">
      <c r="A4229" s="84">
        <v>2026</v>
      </c>
      <c r="B4229" s="84" t="s">
        <v>398</v>
      </c>
      <c r="C4229" s="84">
        <v>21</v>
      </c>
      <c r="D4229" s="84">
        <v>28</v>
      </c>
      <c r="E4229" s="85">
        <v>18770</v>
      </c>
      <c r="F4229" s="85">
        <v>25057.54</v>
      </c>
      <c r="G4229" s="85">
        <v>6287.54</v>
      </c>
    </row>
    <row r="4230" spans="1:7" x14ac:dyDescent="0.3">
      <c r="A4230" s="84">
        <v>2026</v>
      </c>
      <c r="B4230" s="84" t="s">
        <v>398</v>
      </c>
      <c r="C4230" s="84">
        <v>21</v>
      </c>
      <c r="D4230" s="84">
        <v>29</v>
      </c>
      <c r="E4230" s="85">
        <v>18770</v>
      </c>
      <c r="F4230" s="85">
        <v>25696.92</v>
      </c>
      <c r="G4230" s="85">
        <v>6926.92</v>
      </c>
    </row>
    <row r="4231" spans="1:7" x14ac:dyDescent="0.3">
      <c r="A4231" s="84">
        <v>2026</v>
      </c>
      <c r="B4231" s="84" t="s">
        <v>398</v>
      </c>
      <c r="C4231" s="84">
        <v>21</v>
      </c>
      <c r="D4231" s="84">
        <v>30</v>
      </c>
      <c r="E4231" s="85">
        <v>18770</v>
      </c>
      <c r="F4231" s="85">
        <v>27445.24</v>
      </c>
      <c r="G4231" s="85">
        <v>8675.24</v>
      </c>
    </row>
    <row r="4232" spans="1:7" x14ac:dyDescent="0.3">
      <c r="A4232" s="84">
        <v>2026</v>
      </c>
      <c r="B4232" s="84" t="s">
        <v>398</v>
      </c>
      <c r="C4232" s="84">
        <v>22</v>
      </c>
      <c r="D4232" s="84">
        <v>1</v>
      </c>
      <c r="E4232" s="85">
        <v>19408.68</v>
      </c>
      <c r="F4232" s="85">
        <v>12087.8</v>
      </c>
      <c r="G4232" s="85">
        <v>-7320.88</v>
      </c>
    </row>
    <row r="4233" spans="1:7" x14ac:dyDescent="0.3">
      <c r="A4233" s="84">
        <v>2026</v>
      </c>
      <c r="B4233" s="84" t="s">
        <v>398</v>
      </c>
      <c r="C4233" s="84">
        <v>22</v>
      </c>
      <c r="D4233" s="84">
        <v>2</v>
      </c>
      <c r="E4233" s="85">
        <v>19408.68</v>
      </c>
      <c r="F4233" s="85">
        <v>12382.22</v>
      </c>
      <c r="G4233" s="85">
        <v>-7026.46</v>
      </c>
    </row>
    <row r="4234" spans="1:7" x14ac:dyDescent="0.3">
      <c r="A4234" s="84">
        <v>2026</v>
      </c>
      <c r="B4234" s="84" t="s">
        <v>398</v>
      </c>
      <c r="C4234" s="84">
        <v>22</v>
      </c>
      <c r="D4234" s="84">
        <v>3</v>
      </c>
      <c r="E4234" s="85">
        <v>19408.68</v>
      </c>
      <c r="F4234" s="85">
        <v>12677.2</v>
      </c>
      <c r="G4234" s="85">
        <v>-6731.48</v>
      </c>
    </row>
    <row r="4235" spans="1:7" x14ac:dyDescent="0.3">
      <c r="A4235" s="84">
        <v>2026</v>
      </c>
      <c r="B4235" s="84" t="s">
        <v>398</v>
      </c>
      <c r="C4235" s="84">
        <v>22</v>
      </c>
      <c r="D4235" s="84">
        <v>4</v>
      </c>
      <c r="E4235" s="85">
        <v>19408.68</v>
      </c>
      <c r="F4235" s="85">
        <v>12971.34</v>
      </c>
      <c r="G4235" s="85">
        <v>-6437.34</v>
      </c>
    </row>
    <row r="4236" spans="1:7" x14ac:dyDescent="0.3">
      <c r="A4236" s="84">
        <v>2026</v>
      </c>
      <c r="B4236" s="84" t="s">
        <v>398</v>
      </c>
      <c r="C4236" s="84">
        <v>22</v>
      </c>
      <c r="D4236" s="84">
        <v>5</v>
      </c>
      <c r="E4236" s="85">
        <v>19408.68</v>
      </c>
      <c r="F4236" s="85">
        <v>13266.04</v>
      </c>
      <c r="G4236" s="85">
        <v>-6142.64</v>
      </c>
    </row>
    <row r="4237" spans="1:7" x14ac:dyDescent="0.3">
      <c r="A4237" s="84">
        <v>2026</v>
      </c>
      <c r="B4237" s="84" t="s">
        <v>398</v>
      </c>
      <c r="C4237" s="84">
        <v>22</v>
      </c>
      <c r="D4237" s="84">
        <v>6</v>
      </c>
      <c r="E4237" s="85">
        <v>19408.68</v>
      </c>
      <c r="F4237" s="85">
        <v>13462.74</v>
      </c>
      <c r="G4237" s="85">
        <v>-5945.94</v>
      </c>
    </row>
    <row r="4238" spans="1:7" x14ac:dyDescent="0.3">
      <c r="A4238" s="84">
        <v>2026</v>
      </c>
      <c r="B4238" s="84" t="s">
        <v>398</v>
      </c>
      <c r="C4238" s="84">
        <v>22</v>
      </c>
      <c r="D4238" s="84">
        <v>7</v>
      </c>
      <c r="E4238" s="85">
        <v>19408.68</v>
      </c>
      <c r="F4238" s="85">
        <v>13659.44</v>
      </c>
      <c r="G4238" s="85">
        <v>-5749.24</v>
      </c>
    </row>
    <row r="4239" spans="1:7" x14ac:dyDescent="0.3">
      <c r="A4239" s="84">
        <v>2026</v>
      </c>
      <c r="B4239" s="84" t="s">
        <v>398</v>
      </c>
      <c r="C4239" s="84">
        <v>22</v>
      </c>
      <c r="D4239" s="84">
        <v>8</v>
      </c>
      <c r="E4239" s="85">
        <v>19408.68</v>
      </c>
      <c r="F4239" s="85">
        <v>13855.72</v>
      </c>
      <c r="G4239" s="85">
        <v>-5552.96</v>
      </c>
    </row>
    <row r="4240" spans="1:7" x14ac:dyDescent="0.3">
      <c r="A4240" s="84">
        <v>2026</v>
      </c>
      <c r="B4240" s="84" t="s">
        <v>398</v>
      </c>
      <c r="C4240" s="84">
        <v>22</v>
      </c>
      <c r="D4240" s="84">
        <v>9</v>
      </c>
      <c r="E4240" s="85">
        <v>19408.68</v>
      </c>
      <c r="F4240" s="85">
        <v>14052.84</v>
      </c>
      <c r="G4240" s="85">
        <v>-5355.84</v>
      </c>
    </row>
    <row r="4241" spans="1:7" x14ac:dyDescent="0.3">
      <c r="A4241" s="84">
        <v>2026</v>
      </c>
      <c r="B4241" s="84" t="s">
        <v>398</v>
      </c>
      <c r="C4241" s="84">
        <v>22</v>
      </c>
      <c r="D4241" s="84">
        <v>10</v>
      </c>
      <c r="E4241" s="85">
        <v>19408.68</v>
      </c>
      <c r="F4241" s="85">
        <v>14249.26</v>
      </c>
      <c r="G4241" s="85">
        <v>-5159.42</v>
      </c>
    </row>
    <row r="4242" spans="1:7" x14ac:dyDescent="0.3">
      <c r="A4242" s="84">
        <v>2026</v>
      </c>
      <c r="B4242" s="84" t="s">
        <v>398</v>
      </c>
      <c r="C4242" s="84">
        <v>22</v>
      </c>
      <c r="D4242" s="84">
        <v>11</v>
      </c>
      <c r="E4242" s="85">
        <v>19408.68</v>
      </c>
      <c r="F4242" s="85">
        <v>14641.82</v>
      </c>
      <c r="G4242" s="85">
        <v>-4766.8599999999997</v>
      </c>
    </row>
    <row r="4243" spans="1:7" x14ac:dyDescent="0.3">
      <c r="A4243" s="84">
        <v>2026</v>
      </c>
      <c r="B4243" s="84" t="s">
        <v>398</v>
      </c>
      <c r="C4243" s="84">
        <v>22</v>
      </c>
      <c r="D4243" s="84">
        <v>12</v>
      </c>
      <c r="E4243" s="85">
        <v>19408.68</v>
      </c>
      <c r="F4243" s="85">
        <v>15035.36</v>
      </c>
      <c r="G4243" s="85">
        <v>-4373.32</v>
      </c>
    </row>
    <row r="4244" spans="1:7" x14ac:dyDescent="0.3">
      <c r="A4244" s="84">
        <v>2026</v>
      </c>
      <c r="B4244" s="84" t="s">
        <v>398</v>
      </c>
      <c r="C4244" s="84">
        <v>22</v>
      </c>
      <c r="D4244" s="84">
        <v>13</v>
      </c>
      <c r="E4244" s="85">
        <v>19408.68</v>
      </c>
      <c r="F4244" s="85">
        <v>15428.62</v>
      </c>
      <c r="G4244" s="85">
        <v>-3980.06</v>
      </c>
    </row>
    <row r="4245" spans="1:7" x14ac:dyDescent="0.3">
      <c r="A4245" s="84">
        <v>2026</v>
      </c>
      <c r="B4245" s="84" t="s">
        <v>398</v>
      </c>
      <c r="C4245" s="84">
        <v>22</v>
      </c>
      <c r="D4245" s="84">
        <v>14</v>
      </c>
      <c r="E4245" s="85">
        <v>19408.68</v>
      </c>
      <c r="F4245" s="85">
        <v>15822.44</v>
      </c>
      <c r="G4245" s="85">
        <v>-3586.24</v>
      </c>
    </row>
    <row r="4246" spans="1:7" x14ac:dyDescent="0.3">
      <c r="A4246" s="84">
        <v>2026</v>
      </c>
      <c r="B4246" s="84" t="s">
        <v>398</v>
      </c>
      <c r="C4246" s="84">
        <v>22</v>
      </c>
      <c r="D4246" s="84">
        <v>15</v>
      </c>
      <c r="E4246" s="85">
        <v>19408.68</v>
      </c>
      <c r="F4246" s="85">
        <v>16214.72</v>
      </c>
      <c r="G4246" s="85">
        <v>-3193.96</v>
      </c>
    </row>
    <row r="4247" spans="1:7" x14ac:dyDescent="0.3">
      <c r="A4247" s="84">
        <v>2026</v>
      </c>
      <c r="B4247" s="84" t="s">
        <v>398</v>
      </c>
      <c r="C4247" s="84">
        <v>22</v>
      </c>
      <c r="D4247" s="84">
        <v>16</v>
      </c>
      <c r="E4247" s="85">
        <v>19408.68</v>
      </c>
      <c r="F4247" s="85">
        <v>16608.68</v>
      </c>
      <c r="G4247" s="85">
        <v>-2800</v>
      </c>
    </row>
    <row r="4248" spans="1:7" x14ac:dyDescent="0.3">
      <c r="A4248" s="84">
        <v>2026</v>
      </c>
      <c r="B4248" s="84" t="s">
        <v>398</v>
      </c>
      <c r="C4248" s="84">
        <v>22</v>
      </c>
      <c r="D4248" s="84">
        <v>17</v>
      </c>
      <c r="E4248" s="85">
        <v>19408.68</v>
      </c>
      <c r="F4248" s="85">
        <v>17000.96</v>
      </c>
      <c r="G4248" s="85">
        <v>-2407.7199999999998</v>
      </c>
    </row>
    <row r="4249" spans="1:7" x14ac:dyDescent="0.3">
      <c r="A4249" s="84">
        <v>2026</v>
      </c>
      <c r="B4249" s="84" t="s">
        <v>398</v>
      </c>
      <c r="C4249" s="84">
        <v>22</v>
      </c>
      <c r="D4249" s="84">
        <v>18</v>
      </c>
      <c r="E4249" s="85">
        <v>19408.68</v>
      </c>
      <c r="F4249" s="85">
        <v>17394.5</v>
      </c>
      <c r="G4249" s="85">
        <v>-2014.18</v>
      </c>
    </row>
    <row r="4250" spans="1:7" x14ac:dyDescent="0.3">
      <c r="A4250" s="84">
        <v>2026</v>
      </c>
      <c r="B4250" s="84" t="s">
        <v>398</v>
      </c>
      <c r="C4250" s="84">
        <v>22</v>
      </c>
      <c r="D4250" s="84">
        <v>19</v>
      </c>
      <c r="E4250" s="85">
        <v>19408.68</v>
      </c>
      <c r="F4250" s="85">
        <v>17787.62</v>
      </c>
      <c r="G4250" s="85">
        <v>-1621.06</v>
      </c>
    </row>
    <row r="4251" spans="1:7" x14ac:dyDescent="0.3">
      <c r="A4251" s="84">
        <v>2026</v>
      </c>
      <c r="B4251" s="84" t="s">
        <v>398</v>
      </c>
      <c r="C4251" s="84">
        <v>22</v>
      </c>
      <c r="D4251" s="84">
        <v>20</v>
      </c>
      <c r="E4251" s="85">
        <v>19408.68</v>
      </c>
      <c r="F4251" s="85">
        <v>18180.599999999999</v>
      </c>
      <c r="G4251" s="85">
        <v>-1228.08</v>
      </c>
    </row>
    <row r="4252" spans="1:7" x14ac:dyDescent="0.3">
      <c r="A4252" s="84">
        <v>2026</v>
      </c>
      <c r="B4252" s="84" t="s">
        <v>398</v>
      </c>
      <c r="C4252" s="84">
        <v>22</v>
      </c>
      <c r="D4252" s="84">
        <v>21</v>
      </c>
      <c r="E4252" s="85">
        <v>19408.68</v>
      </c>
      <c r="F4252" s="85">
        <v>18770</v>
      </c>
      <c r="G4252" s="85">
        <v>-638.67999999999995</v>
      </c>
    </row>
    <row r="4253" spans="1:7" x14ac:dyDescent="0.3">
      <c r="A4253" s="84">
        <v>2026</v>
      </c>
      <c r="B4253" s="84" t="s">
        <v>398</v>
      </c>
      <c r="C4253" s="84">
        <v>22</v>
      </c>
      <c r="D4253" s="84">
        <v>22</v>
      </c>
      <c r="E4253" s="85">
        <v>19408.68</v>
      </c>
      <c r="F4253" s="85">
        <v>19408.68</v>
      </c>
      <c r="G4253" s="85">
        <v>0</v>
      </c>
    </row>
    <row r="4254" spans="1:7" x14ac:dyDescent="0.3">
      <c r="A4254" s="84">
        <v>2026</v>
      </c>
      <c r="B4254" s="84" t="s">
        <v>398</v>
      </c>
      <c r="C4254" s="84">
        <v>22</v>
      </c>
      <c r="D4254" s="84">
        <v>23</v>
      </c>
      <c r="E4254" s="85">
        <v>19408.68</v>
      </c>
      <c r="F4254" s="85">
        <v>20049.18</v>
      </c>
      <c r="G4254" s="85">
        <v>640.5</v>
      </c>
    </row>
    <row r="4255" spans="1:7" x14ac:dyDescent="0.3">
      <c r="A4255" s="84">
        <v>2026</v>
      </c>
      <c r="B4255" s="84" t="s">
        <v>398</v>
      </c>
      <c r="C4255" s="84">
        <v>22</v>
      </c>
      <c r="D4255" s="84">
        <v>24</v>
      </c>
      <c r="E4255" s="85">
        <v>19408.68</v>
      </c>
      <c r="F4255" s="85">
        <v>20688.419999999998</v>
      </c>
      <c r="G4255" s="85">
        <v>1279.74</v>
      </c>
    </row>
    <row r="4256" spans="1:7" x14ac:dyDescent="0.3">
      <c r="A4256" s="84">
        <v>2026</v>
      </c>
      <c r="B4256" s="84" t="s">
        <v>398</v>
      </c>
      <c r="C4256" s="84">
        <v>22</v>
      </c>
      <c r="D4256" s="84">
        <v>25</v>
      </c>
      <c r="E4256" s="85">
        <v>19408.68</v>
      </c>
      <c r="F4256" s="85">
        <v>21328.5</v>
      </c>
      <c r="G4256" s="85">
        <v>1919.82</v>
      </c>
    </row>
    <row r="4257" spans="1:7" x14ac:dyDescent="0.3">
      <c r="A4257" s="84">
        <v>2026</v>
      </c>
      <c r="B4257" s="84" t="s">
        <v>398</v>
      </c>
      <c r="C4257" s="84">
        <v>22</v>
      </c>
      <c r="D4257" s="84">
        <v>26</v>
      </c>
      <c r="E4257" s="85">
        <v>19408.68</v>
      </c>
      <c r="F4257" s="85">
        <v>22707.78</v>
      </c>
      <c r="G4257" s="85">
        <v>3299.1</v>
      </c>
    </row>
    <row r="4258" spans="1:7" x14ac:dyDescent="0.3">
      <c r="A4258" s="84">
        <v>2026</v>
      </c>
      <c r="B4258" s="84" t="s">
        <v>398</v>
      </c>
      <c r="C4258" s="84">
        <v>22</v>
      </c>
      <c r="D4258" s="84">
        <v>27</v>
      </c>
      <c r="E4258" s="85">
        <v>19408.68</v>
      </c>
      <c r="F4258" s="85">
        <v>24417.040000000001</v>
      </c>
      <c r="G4258" s="85">
        <v>5008.3599999999997</v>
      </c>
    </row>
    <row r="4259" spans="1:7" x14ac:dyDescent="0.3">
      <c r="A4259" s="84">
        <v>2026</v>
      </c>
      <c r="B4259" s="84" t="s">
        <v>398</v>
      </c>
      <c r="C4259" s="84">
        <v>22</v>
      </c>
      <c r="D4259" s="84">
        <v>28</v>
      </c>
      <c r="E4259" s="85">
        <v>19408.68</v>
      </c>
      <c r="F4259" s="85">
        <v>25057.54</v>
      </c>
      <c r="G4259" s="85">
        <v>5648.86</v>
      </c>
    </row>
    <row r="4260" spans="1:7" x14ac:dyDescent="0.3">
      <c r="A4260" s="84">
        <v>2026</v>
      </c>
      <c r="B4260" s="84" t="s">
        <v>398</v>
      </c>
      <c r="C4260" s="84">
        <v>22</v>
      </c>
      <c r="D4260" s="84">
        <v>29</v>
      </c>
      <c r="E4260" s="85">
        <v>19408.68</v>
      </c>
      <c r="F4260" s="85">
        <v>25696.92</v>
      </c>
      <c r="G4260" s="85">
        <v>6288.24</v>
      </c>
    </row>
    <row r="4261" spans="1:7" x14ac:dyDescent="0.3">
      <c r="A4261" s="84">
        <v>2026</v>
      </c>
      <c r="B4261" s="84" t="s">
        <v>398</v>
      </c>
      <c r="C4261" s="84">
        <v>22</v>
      </c>
      <c r="D4261" s="84">
        <v>30</v>
      </c>
      <c r="E4261" s="85">
        <v>19408.68</v>
      </c>
      <c r="F4261" s="85">
        <v>27445.24</v>
      </c>
      <c r="G4261" s="85">
        <v>8036.56</v>
      </c>
    </row>
    <row r="4262" spans="1:7" x14ac:dyDescent="0.3">
      <c r="A4262" s="84">
        <v>2026</v>
      </c>
      <c r="B4262" s="84" t="s">
        <v>398</v>
      </c>
      <c r="C4262" s="84">
        <v>23</v>
      </c>
      <c r="D4262" s="84">
        <v>1</v>
      </c>
      <c r="E4262" s="85">
        <v>20049.18</v>
      </c>
      <c r="F4262" s="85">
        <v>12087.8</v>
      </c>
      <c r="G4262" s="85">
        <v>-7961.38</v>
      </c>
    </row>
    <row r="4263" spans="1:7" x14ac:dyDescent="0.3">
      <c r="A4263" s="84">
        <v>2026</v>
      </c>
      <c r="B4263" s="84" t="s">
        <v>398</v>
      </c>
      <c r="C4263" s="84">
        <v>23</v>
      </c>
      <c r="D4263" s="84">
        <v>2</v>
      </c>
      <c r="E4263" s="85">
        <v>20049.18</v>
      </c>
      <c r="F4263" s="85">
        <v>12382.22</v>
      </c>
      <c r="G4263" s="85">
        <v>-7666.96</v>
      </c>
    </row>
    <row r="4264" spans="1:7" x14ac:dyDescent="0.3">
      <c r="A4264" s="84">
        <v>2026</v>
      </c>
      <c r="B4264" s="84" t="s">
        <v>398</v>
      </c>
      <c r="C4264" s="84">
        <v>23</v>
      </c>
      <c r="D4264" s="84">
        <v>3</v>
      </c>
      <c r="E4264" s="85">
        <v>20049.18</v>
      </c>
      <c r="F4264" s="85">
        <v>12677.2</v>
      </c>
      <c r="G4264" s="85">
        <v>-7371.98</v>
      </c>
    </row>
    <row r="4265" spans="1:7" x14ac:dyDescent="0.3">
      <c r="A4265" s="84">
        <v>2026</v>
      </c>
      <c r="B4265" s="84" t="s">
        <v>398</v>
      </c>
      <c r="C4265" s="84">
        <v>23</v>
      </c>
      <c r="D4265" s="84">
        <v>4</v>
      </c>
      <c r="E4265" s="85">
        <v>20049.18</v>
      </c>
      <c r="F4265" s="85">
        <v>12971.34</v>
      </c>
      <c r="G4265" s="85">
        <v>-7077.84</v>
      </c>
    </row>
    <row r="4266" spans="1:7" x14ac:dyDescent="0.3">
      <c r="A4266" s="84">
        <v>2026</v>
      </c>
      <c r="B4266" s="84" t="s">
        <v>398</v>
      </c>
      <c r="C4266" s="84">
        <v>23</v>
      </c>
      <c r="D4266" s="84">
        <v>5</v>
      </c>
      <c r="E4266" s="85">
        <v>20049.18</v>
      </c>
      <c r="F4266" s="85">
        <v>13266.04</v>
      </c>
      <c r="G4266" s="85">
        <v>-6783.14</v>
      </c>
    </row>
    <row r="4267" spans="1:7" x14ac:dyDescent="0.3">
      <c r="A4267" s="84">
        <v>2026</v>
      </c>
      <c r="B4267" s="84" t="s">
        <v>398</v>
      </c>
      <c r="C4267" s="84">
        <v>23</v>
      </c>
      <c r="D4267" s="84">
        <v>6</v>
      </c>
      <c r="E4267" s="85">
        <v>20049.18</v>
      </c>
      <c r="F4267" s="85">
        <v>13462.74</v>
      </c>
      <c r="G4267" s="85">
        <v>-6586.44</v>
      </c>
    </row>
    <row r="4268" spans="1:7" x14ac:dyDescent="0.3">
      <c r="A4268" s="84">
        <v>2026</v>
      </c>
      <c r="B4268" s="84" t="s">
        <v>398</v>
      </c>
      <c r="C4268" s="84">
        <v>23</v>
      </c>
      <c r="D4268" s="84">
        <v>7</v>
      </c>
      <c r="E4268" s="85">
        <v>20049.18</v>
      </c>
      <c r="F4268" s="85">
        <v>13659.44</v>
      </c>
      <c r="G4268" s="85">
        <v>-6389.74</v>
      </c>
    </row>
    <row r="4269" spans="1:7" x14ac:dyDescent="0.3">
      <c r="A4269" s="84">
        <v>2026</v>
      </c>
      <c r="B4269" s="84" t="s">
        <v>398</v>
      </c>
      <c r="C4269" s="84">
        <v>23</v>
      </c>
      <c r="D4269" s="84">
        <v>8</v>
      </c>
      <c r="E4269" s="85">
        <v>20049.18</v>
      </c>
      <c r="F4269" s="85">
        <v>13855.72</v>
      </c>
      <c r="G4269" s="85">
        <v>-6193.46</v>
      </c>
    </row>
    <row r="4270" spans="1:7" x14ac:dyDescent="0.3">
      <c r="A4270" s="84">
        <v>2026</v>
      </c>
      <c r="B4270" s="84" t="s">
        <v>398</v>
      </c>
      <c r="C4270" s="84">
        <v>23</v>
      </c>
      <c r="D4270" s="84">
        <v>9</v>
      </c>
      <c r="E4270" s="85">
        <v>20049.18</v>
      </c>
      <c r="F4270" s="85">
        <v>14052.84</v>
      </c>
      <c r="G4270" s="85">
        <v>-5996.34</v>
      </c>
    </row>
    <row r="4271" spans="1:7" x14ac:dyDescent="0.3">
      <c r="A4271" s="84">
        <v>2026</v>
      </c>
      <c r="B4271" s="84" t="s">
        <v>398</v>
      </c>
      <c r="C4271" s="84">
        <v>23</v>
      </c>
      <c r="D4271" s="84">
        <v>10</v>
      </c>
      <c r="E4271" s="85">
        <v>20049.18</v>
      </c>
      <c r="F4271" s="85">
        <v>14249.26</v>
      </c>
      <c r="G4271" s="85">
        <v>-5799.92</v>
      </c>
    </row>
    <row r="4272" spans="1:7" x14ac:dyDescent="0.3">
      <c r="A4272" s="84">
        <v>2026</v>
      </c>
      <c r="B4272" s="84" t="s">
        <v>398</v>
      </c>
      <c r="C4272" s="84">
        <v>23</v>
      </c>
      <c r="D4272" s="84">
        <v>11</v>
      </c>
      <c r="E4272" s="85">
        <v>20049.18</v>
      </c>
      <c r="F4272" s="85">
        <v>14641.82</v>
      </c>
      <c r="G4272" s="85">
        <v>-5407.36</v>
      </c>
    </row>
    <row r="4273" spans="1:7" x14ac:dyDescent="0.3">
      <c r="A4273" s="84">
        <v>2026</v>
      </c>
      <c r="B4273" s="84" t="s">
        <v>398</v>
      </c>
      <c r="C4273" s="84">
        <v>23</v>
      </c>
      <c r="D4273" s="84">
        <v>12</v>
      </c>
      <c r="E4273" s="85">
        <v>20049.18</v>
      </c>
      <c r="F4273" s="85">
        <v>15035.36</v>
      </c>
      <c r="G4273" s="85">
        <v>-5013.82</v>
      </c>
    </row>
    <row r="4274" spans="1:7" x14ac:dyDescent="0.3">
      <c r="A4274" s="84">
        <v>2026</v>
      </c>
      <c r="B4274" s="84" t="s">
        <v>398</v>
      </c>
      <c r="C4274" s="84">
        <v>23</v>
      </c>
      <c r="D4274" s="84">
        <v>13</v>
      </c>
      <c r="E4274" s="85">
        <v>20049.18</v>
      </c>
      <c r="F4274" s="85">
        <v>15428.62</v>
      </c>
      <c r="G4274" s="85">
        <v>-4620.5600000000004</v>
      </c>
    </row>
    <row r="4275" spans="1:7" x14ac:dyDescent="0.3">
      <c r="A4275" s="84">
        <v>2026</v>
      </c>
      <c r="B4275" s="84" t="s">
        <v>398</v>
      </c>
      <c r="C4275" s="84">
        <v>23</v>
      </c>
      <c r="D4275" s="84">
        <v>14</v>
      </c>
      <c r="E4275" s="85">
        <v>20049.18</v>
      </c>
      <c r="F4275" s="85">
        <v>15822.44</v>
      </c>
      <c r="G4275" s="85">
        <v>-4226.74</v>
      </c>
    </row>
    <row r="4276" spans="1:7" x14ac:dyDescent="0.3">
      <c r="A4276" s="84">
        <v>2026</v>
      </c>
      <c r="B4276" s="84" t="s">
        <v>398</v>
      </c>
      <c r="C4276" s="84">
        <v>23</v>
      </c>
      <c r="D4276" s="84">
        <v>15</v>
      </c>
      <c r="E4276" s="85">
        <v>20049.18</v>
      </c>
      <c r="F4276" s="85">
        <v>16214.72</v>
      </c>
      <c r="G4276" s="85">
        <v>-3834.46</v>
      </c>
    </row>
    <row r="4277" spans="1:7" x14ac:dyDescent="0.3">
      <c r="A4277" s="84">
        <v>2026</v>
      </c>
      <c r="B4277" s="84" t="s">
        <v>398</v>
      </c>
      <c r="C4277" s="84">
        <v>23</v>
      </c>
      <c r="D4277" s="84">
        <v>16</v>
      </c>
      <c r="E4277" s="85">
        <v>20049.18</v>
      </c>
      <c r="F4277" s="85">
        <v>16608.68</v>
      </c>
      <c r="G4277" s="85">
        <v>-3440.5</v>
      </c>
    </row>
    <row r="4278" spans="1:7" x14ac:dyDescent="0.3">
      <c r="A4278" s="84">
        <v>2026</v>
      </c>
      <c r="B4278" s="84" t="s">
        <v>398</v>
      </c>
      <c r="C4278" s="84">
        <v>23</v>
      </c>
      <c r="D4278" s="84">
        <v>17</v>
      </c>
      <c r="E4278" s="85">
        <v>20049.18</v>
      </c>
      <c r="F4278" s="85">
        <v>17000.96</v>
      </c>
      <c r="G4278" s="85">
        <v>-3048.22</v>
      </c>
    </row>
    <row r="4279" spans="1:7" x14ac:dyDescent="0.3">
      <c r="A4279" s="84">
        <v>2026</v>
      </c>
      <c r="B4279" s="84" t="s">
        <v>398</v>
      </c>
      <c r="C4279" s="84">
        <v>23</v>
      </c>
      <c r="D4279" s="84">
        <v>18</v>
      </c>
      <c r="E4279" s="85">
        <v>20049.18</v>
      </c>
      <c r="F4279" s="85">
        <v>17394.5</v>
      </c>
      <c r="G4279" s="85">
        <v>-2654.68</v>
      </c>
    </row>
    <row r="4280" spans="1:7" x14ac:dyDescent="0.3">
      <c r="A4280" s="84">
        <v>2026</v>
      </c>
      <c r="B4280" s="84" t="s">
        <v>398</v>
      </c>
      <c r="C4280" s="84">
        <v>23</v>
      </c>
      <c r="D4280" s="84">
        <v>19</v>
      </c>
      <c r="E4280" s="85">
        <v>20049.18</v>
      </c>
      <c r="F4280" s="85">
        <v>17787.62</v>
      </c>
      <c r="G4280" s="85">
        <v>-2261.56</v>
      </c>
    </row>
    <row r="4281" spans="1:7" x14ac:dyDescent="0.3">
      <c r="A4281" s="84">
        <v>2026</v>
      </c>
      <c r="B4281" s="84" t="s">
        <v>398</v>
      </c>
      <c r="C4281" s="84">
        <v>23</v>
      </c>
      <c r="D4281" s="84">
        <v>20</v>
      </c>
      <c r="E4281" s="85">
        <v>20049.18</v>
      </c>
      <c r="F4281" s="85">
        <v>18180.599999999999</v>
      </c>
      <c r="G4281" s="85">
        <v>-1868.58</v>
      </c>
    </row>
    <row r="4282" spans="1:7" x14ac:dyDescent="0.3">
      <c r="A4282" s="84">
        <v>2026</v>
      </c>
      <c r="B4282" s="84" t="s">
        <v>398</v>
      </c>
      <c r="C4282" s="84">
        <v>23</v>
      </c>
      <c r="D4282" s="84">
        <v>21</v>
      </c>
      <c r="E4282" s="85">
        <v>20049.18</v>
      </c>
      <c r="F4282" s="85">
        <v>18770</v>
      </c>
      <c r="G4282" s="85">
        <v>-1279.18</v>
      </c>
    </row>
    <row r="4283" spans="1:7" x14ac:dyDescent="0.3">
      <c r="A4283" s="84">
        <v>2026</v>
      </c>
      <c r="B4283" s="84" t="s">
        <v>398</v>
      </c>
      <c r="C4283" s="84">
        <v>23</v>
      </c>
      <c r="D4283" s="84">
        <v>22</v>
      </c>
      <c r="E4283" s="85">
        <v>20049.18</v>
      </c>
      <c r="F4283" s="85">
        <v>19408.68</v>
      </c>
      <c r="G4283" s="85">
        <v>-640.5</v>
      </c>
    </row>
    <row r="4284" spans="1:7" x14ac:dyDescent="0.3">
      <c r="A4284" s="84">
        <v>2026</v>
      </c>
      <c r="B4284" s="84" t="s">
        <v>398</v>
      </c>
      <c r="C4284" s="84">
        <v>23</v>
      </c>
      <c r="D4284" s="84">
        <v>23</v>
      </c>
      <c r="E4284" s="85">
        <v>20049.18</v>
      </c>
      <c r="F4284" s="85">
        <v>20049.18</v>
      </c>
      <c r="G4284" s="85">
        <v>0</v>
      </c>
    </row>
    <row r="4285" spans="1:7" x14ac:dyDescent="0.3">
      <c r="A4285" s="84">
        <v>2026</v>
      </c>
      <c r="B4285" s="84" t="s">
        <v>398</v>
      </c>
      <c r="C4285" s="84">
        <v>23</v>
      </c>
      <c r="D4285" s="84">
        <v>24</v>
      </c>
      <c r="E4285" s="85">
        <v>20049.18</v>
      </c>
      <c r="F4285" s="85">
        <v>20688.419999999998</v>
      </c>
      <c r="G4285" s="85">
        <v>639.24</v>
      </c>
    </row>
    <row r="4286" spans="1:7" x14ac:dyDescent="0.3">
      <c r="A4286" s="84">
        <v>2026</v>
      </c>
      <c r="B4286" s="84" t="s">
        <v>398</v>
      </c>
      <c r="C4286" s="84">
        <v>23</v>
      </c>
      <c r="D4286" s="84">
        <v>25</v>
      </c>
      <c r="E4286" s="85">
        <v>20049.18</v>
      </c>
      <c r="F4286" s="85">
        <v>21328.5</v>
      </c>
      <c r="G4286" s="85">
        <v>1279.32</v>
      </c>
    </row>
    <row r="4287" spans="1:7" x14ac:dyDescent="0.3">
      <c r="A4287" s="84">
        <v>2026</v>
      </c>
      <c r="B4287" s="84" t="s">
        <v>398</v>
      </c>
      <c r="C4287" s="84">
        <v>23</v>
      </c>
      <c r="D4287" s="84">
        <v>26</v>
      </c>
      <c r="E4287" s="85">
        <v>20049.18</v>
      </c>
      <c r="F4287" s="85">
        <v>22707.78</v>
      </c>
      <c r="G4287" s="85">
        <v>2658.6</v>
      </c>
    </row>
    <row r="4288" spans="1:7" x14ac:dyDescent="0.3">
      <c r="A4288" s="84">
        <v>2026</v>
      </c>
      <c r="B4288" s="84" t="s">
        <v>398</v>
      </c>
      <c r="C4288" s="84">
        <v>23</v>
      </c>
      <c r="D4288" s="84">
        <v>27</v>
      </c>
      <c r="E4288" s="85">
        <v>20049.18</v>
      </c>
      <c r="F4288" s="85">
        <v>24417.040000000001</v>
      </c>
      <c r="G4288" s="85">
        <v>4367.8599999999997</v>
      </c>
    </row>
    <row r="4289" spans="1:7" x14ac:dyDescent="0.3">
      <c r="A4289" s="84">
        <v>2026</v>
      </c>
      <c r="B4289" s="84" t="s">
        <v>398</v>
      </c>
      <c r="C4289" s="84">
        <v>23</v>
      </c>
      <c r="D4289" s="84">
        <v>28</v>
      </c>
      <c r="E4289" s="85">
        <v>20049.18</v>
      </c>
      <c r="F4289" s="85">
        <v>25057.54</v>
      </c>
      <c r="G4289" s="85">
        <v>5008.3599999999997</v>
      </c>
    </row>
    <row r="4290" spans="1:7" x14ac:dyDescent="0.3">
      <c r="A4290" s="84">
        <v>2026</v>
      </c>
      <c r="B4290" s="84" t="s">
        <v>398</v>
      </c>
      <c r="C4290" s="84">
        <v>23</v>
      </c>
      <c r="D4290" s="84">
        <v>29</v>
      </c>
      <c r="E4290" s="85">
        <v>20049.18</v>
      </c>
      <c r="F4290" s="85">
        <v>25696.92</v>
      </c>
      <c r="G4290" s="85">
        <v>5647.74</v>
      </c>
    </row>
    <row r="4291" spans="1:7" x14ac:dyDescent="0.3">
      <c r="A4291" s="84">
        <v>2026</v>
      </c>
      <c r="B4291" s="84" t="s">
        <v>398</v>
      </c>
      <c r="C4291" s="84">
        <v>23</v>
      </c>
      <c r="D4291" s="84">
        <v>30</v>
      </c>
      <c r="E4291" s="85">
        <v>20049.18</v>
      </c>
      <c r="F4291" s="85">
        <v>27445.24</v>
      </c>
      <c r="G4291" s="85">
        <v>7396.06</v>
      </c>
    </row>
    <row r="4292" spans="1:7" x14ac:dyDescent="0.3">
      <c r="A4292" s="84">
        <v>2026</v>
      </c>
      <c r="B4292" s="84" t="s">
        <v>398</v>
      </c>
      <c r="C4292" s="84">
        <v>24</v>
      </c>
      <c r="D4292" s="84">
        <v>1</v>
      </c>
      <c r="E4292" s="85">
        <v>20688.419999999998</v>
      </c>
      <c r="F4292" s="85">
        <v>12087.8</v>
      </c>
      <c r="G4292" s="85">
        <v>-8600.6200000000008</v>
      </c>
    </row>
    <row r="4293" spans="1:7" x14ac:dyDescent="0.3">
      <c r="A4293" s="84">
        <v>2026</v>
      </c>
      <c r="B4293" s="84" t="s">
        <v>398</v>
      </c>
      <c r="C4293" s="84">
        <v>24</v>
      </c>
      <c r="D4293" s="84">
        <v>2</v>
      </c>
      <c r="E4293" s="85">
        <v>20688.419999999998</v>
      </c>
      <c r="F4293" s="85">
        <v>12382.22</v>
      </c>
      <c r="G4293" s="85">
        <v>-8306.2000000000007</v>
      </c>
    </row>
    <row r="4294" spans="1:7" x14ac:dyDescent="0.3">
      <c r="A4294" s="84">
        <v>2026</v>
      </c>
      <c r="B4294" s="84" t="s">
        <v>398</v>
      </c>
      <c r="C4294" s="84">
        <v>24</v>
      </c>
      <c r="D4294" s="84">
        <v>3</v>
      </c>
      <c r="E4294" s="85">
        <v>20688.419999999998</v>
      </c>
      <c r="F4294" s="85">
        <v>12677.2</v>
      </c>
      <c r="G4294" s="85">
        <v>-8011.22</v>
      </c>
    </row>
    <row r="4295" spans="1:7" x14ac:dyDescent="0.3">
      <c r="A4295" s="84">
        <v>2026</v>
      </c>
      <c r="B4295" s="84" t="s">
        <v>398</v>
      </c>
      <c r="C4295" s="84">
        <v>24</v>
      </c>
      <c r="D4295" s="84">
        <v>4</v>
      </c>
      <c r="E4295" s="85">
        <v>20688.419999999998</v>
      </c>
      <c r="F4295" s="85">
        <v>12971.34</v>
      </c>
      <c r="G4295" s="85">
        <v>-7717.08</v>
      </c>
    </row>
    <row r="4296" spans="1:7" x14ac:dyDescent="0.3">
      <c r="A4296" s="84">
        <v>2026</v>
      </c>
      <c r="B4296" s="84" t="s">
        <v>398</v>
      </c>
      <c r="C4296" s="84">
        <v>24</v>
      </c>
      <c r="D4296" s="84">
        <v>5</v>
      </c>
      <c r="E4296" s="85">
        <v>20688.419999999998</v>
      </c>
      <c r="F4296" s="85">
        <v>13266.04</v>
      </c>
      <c r="G4296" s="85">
        <v>-7422.38</v>
      </c>
    </row>
    <row r="4297" spans="1:7" x14ac:dyDescent="0.3">
      <c r="A4297" s="84">
        <v>2026</v>
      </c>
      <c r="B4297" s="84" t="s">
        <v>398</v>
      </c>
      <c r="C4297" s="84">
        <v>24</v>
      </c>
      <c r="D4297" s="84">
        <v>6</v>
      </c>
      <c r="E4297" s="85">
        <v>20688.419999999998</v>
      </c>
      <c r="F4297" s="85">
        <v>13462.74</v>
      </c>
      <c r="G4297" s="85">
        <v>-7225.68</v>
      </c>
    </row>
    <row r="4298" spans="1:7" x14ac:dyDescent="0.3">
      <c r="A4298" s="84">
        <v>2026</v>
      </c>
      <c r="B4298" s="84" t="s">
        <v>398</v>
      </c>
      <c r="C4298" s="84">
        <v>24</v>
      </c>
      <c r="D4298" s="84">
        <v>7</v>
      </c>
      <c r="E4298" s="85">
        <v>20688.419999999998</v>
      </c>
      <c r="F4298" s="85">
        <v>13659.44</v>
      </c>
      <c r="G4298" s="85">
        <v>-7028.98</v>
      </c>
    </row>
    <row r="4299" spans="1:7" x14ac:dyDescent="0.3">
      <c r="A4299" s="84">
        <v>2026</v>
      </c>
      <c r="B4299" s="84" t="s">
        <v>398</v>
      </c>
      <c r="C4299" s="84">
        <v>24</v>
      </c>
      <c r="D4299" s="84">
        <v>8</v>
      </c>
      <c r="E4299" s="85">
        <v>20688.419999999998</v>
      </c>
      <c r="F4299" s="85">
        <v>13855.72</v>
      </c>
      <c r="G4299" s="85">
        <v>-6832.7</v>
      </c>
    </row>
    <row r="4300" spans="1:7" x14ac:dyDescent="0.3">
      <c r="A4300" s="84">
        <v>2026</v>
      </c>
      <c r="B4300" s="84" t="s">
        <v>398</v>
      </c>
      <c r="C4300" s="84">
        <v>24</v>
      </c>
      <c r="D4300" s="84">
        <v>9</v>
      </c>
      <c r="E4300" s="85">
        <v>20688.419999999998</v>
      </c>
      <c r="F4300" s="85">
        <v>14052.84</v>
      </c>
      <c r="G4300" s="85">
        <v>-6635.58</v>
      </c>
    </row>
    <row r="4301" spans="1:7" x14ac:dyDescent="0.3">
      <c r="A4301" s="84">
        <v>2026</v>
      </c>
      <c r="B4301" s="84" t="s">
        <v>398</v>
      </c>
      <c r="C4301" s="84">
        <v>24</v>
      </c>
      <c r="D4301" s="84">
        <v>10</v>
      </c>
      <c r="E4301" s="85">
        <v>20688.419999999998</v>
      </c>
      <c r="F4301" s="85">
        <v>14249.26</v>
      </c>
      <c r="G4301" s="85">
        <v>-6439.16</v>
      </c>
    </row>
    <row r="4302" spans="1:7" x14ac:dyDescent="0.3">
      <c r="A4302" s="84">
        <v>2026</v>
      </c>
      <c r="B4302" s="84" t="s">
        <v>398</v>
      </c>
      <c r="C4302" s="84">
        <v>24</v>
      </c>
      <c r="D4302" s="84">
        <v>11</v>
      </c>
      <c r="E4302" s="85">
        <v>20688.419999999998</v>
      </c>
      <c r="F4302" s="85">
        <v>14641.82</v>
      </c>
      <c r="G4302" s="85">
        <v>-6046.6</v>
      </c>
    </row>
    <row r="4303" spans="1:7" x14ac:dyDescent="0.3">
      <c r="A4303" s="84">
        <v>2026</v>
      </c>
      <c r="B4303" s="84" t="s">
        <v>398</v>
      </c>
      <c r="C4303" s="84">
        <v>24</v>
      </c>
      <c r="D4303" s="84">
        <v>12</v>
      </c>
      <c r="E4303" s="85">
        <v>20688.419999999998</v>
      </c>
      <c r="F4303" s="85">
        <v>15035.36</v>
      </c>
      <c r="G4303" s="85">
        <v>-5653.06</v>
      </c>
    </row>
    <row r="4304" spans="1:7" x14ac:dyDescent="0.3">
      <c r="A4304" s="84">
        <v>2026</v>
      </c>
      <c r="B4304" s="84" t="s">
        <v>398</v>
      </c>
      <c r="C4304" s="84">
        <v>24</v>
      </c>
      <c r="D4304" s="84">
        <v>13</v>
      </c>
      <c r="E4304" s="85">
        <v>20688.419999999998</v>
      </c>
      <c r="F4304" s="85">
        <v>15428.62</v>
      </c>
      <c r="G4304" s="85">
        <v>-5259.8</v>
      </c>
    </row>
    <row r="4305" spans="1:7" x14ac:dyDescent="0.3">
      <c r="A4305" s="84">
        <v>2026</v>
      </c>
      <c r="B4305" s="84" t="s">
        <v>398</v>
      </c>
      <c r="C4305" s="84">
        <v>24</v>
      </c>
      <c r="D4305" s="84">
        <v>14</v>
      </c>
      <c r="E4305" s="85">
        <v>20688.419999999998</v>
      </c>
      <c r="F4305" s="85">
        <v>15822.44</v>
      </c>
      <c r="G4305" s="85">
        <v>-4865.9799999999996</v>
      </c>
    </row>
    <row r="4306" spans="1:7" x14ac:dyDescent="0.3">
      <c r="A4306" s="84">
        <v>2026</v>
      </c>
      <c r="B4306" s="84" t="s">
        <v>398</v>
      </c>
      <c r="C4306" s="84">
        <v>24</v>
      </c>
      <c r="D4306" s="84">
        <v>15</v>
      </c>
      <c r="E4306" s="85">
        <v>20688.419999999998</v>
      </c>
      <c r="F4306" s="85">
        <v>16214.72</v>
      </c>
      <c r="G4306" s="85">
        <v>-4473.7</v>
      </c>
    </row>
    <row r="4307" spans="1:7" x14ac:dyDescent="0.3">
      <c r="A4307" s="84">
        <v>2026</v>
      </c>
      <c r="B4307" s="84" t="s">
        <v>398</v>
      </c>
      <c r="C4307" s="84">
        <v>24</v>
      </c>
      <c r="D4307" s="84">
        <v>16</v>
      </c>
      <c r="E4307" s="85">
        <v>20688.419999999998</v>
      </c>
      <c r="F4307" s="85">
        <v>16608.68</v>
      </c>
      <c r="G4307" s="85">
        <v>-4079.74</v>
      </c>
    </row>
    <row r="4308" spans="1:7" x14ac:dyDescent="0.3">
      <c r="A4308" s="84">
        <v>2026</v>
      </c>
      <c r="B4308" s="84" t="s">
        <v>398</v>
      </c>
      <c r="C4308" s="84">
        <v>24</v>
      </c>
      <c r="D4308" s="84">
        <v>17</v>
      </c>
      <c r="E4308" s="85">
        <v>20688.419999999998</v>
      </c>
      <c r="F4308" s="85">
        <v>17000.96</v>
      </c>
      <c r="G4308" s="85">
        <v>-3687.46</v>
      </c>
    </row>
    <row r="4309" spans="1:7" x14ac:dyDescent="0.3">
      <c r="A4309" s="84">
        <v>2026</v>
      </c>
      <c r="B4309" s="84" t="s">
        <v>398</v>
      </c>
      <c r="C4309" s="84">
        <v>24</v>
      </c>
      <c r="D4309" s="84">
        <v>18</v>
      </c>
      <c r="E4309" s="85">
        <v>20688.419999999998</v>
      </c>
      <c r="F4309" s="85">
        <v>17394.5</v>
      </c>
      <c r="G4309" s="85">
        <v>-3293.92</v>
      </c>
    </row>
    <row r="4310" spans="1:7" x14ac:dyDescent="0.3">
      <c r="A4310" s="84">
        <v>2026</v>
      </c>
      <c r="B4310" s="84" t="s">
        <v>398</v>
      </c>
      <c r="C4310" s="84">
        <v>24</v>
      </c>
      <c r="D4310" s="84">
        <v>19</v>
      </c>
      <c r="E4310" s="85">
        <v>20688.419999999998</v>
      </c>
      <c r="F4310" s="85">
        <v>17787.62</v>
      </c>
      <c r="G4310" s="85">
        <v>-2900.8</v>
      </c>
    </row>
    <row r="4311" spans="1:7" x14ac:dyDescent="0.3">
      <c r="A4311" s="84">
        <v>2026</v>
      </c>
      <c r="B4311" s="84" t="s">
        <v>398</v>
      </c>
      <c r="C4311" s="84">
        <v>24</v>
      </c>
      <c r="D4311" s="84">
        <v>20</v>
      </c>
      <c r="E4311" s="85">
        <v>20688.419999999998</v>
      </c>
      <c r="F4311" s="85">
        <v>18180.599999999999</v>
      </c>
      <c r="G4311" s="85">
        <v>-2507.8200000000002</v>
      </c>
    </row>
    <row r="4312" spans="1:7" x14ac:dyDescent="0.3">
      <c r="A4312" s="84">
        <v>2026</v>
      </c>
      <c r="B4312" s="84" t="s">
        <v>398</v>
      </c>
      <c r="C4312" s="84">
        <v>24</v>
      </c>
      <c r="D4312" s="84">
        <v>21</v>
      </c>
      <c r="E4312" s="85">
        <v>20688.419999999998</v>
      </c>
      <c r="F4312" s="85">
        <v>18770</v>
      </c>
      <c r="G4312" s="85">
        <v>-1918.42</v>
      </c>
    </row>
    <row r="4313" spans="1:7" x14ac:dyDescent="0.3">
      <c r="A4313" s="84">
        <v>2026</v>
      </c>
      <c r="B4313" s="84" t="s">
        <v>398</v>
      </c>
      <c r="C4313" s="84">
        <v>24</v>
      </c>
      <c r="D4313" s="84">
        <v>22</v>
      </c>
      <c r="E4313" s="85">
        <v>20688.419999999998</v>
      </c>
      <c r="F4313" s="85">
        <v>19408.68</v>
      </c>
      <c r="G4313" s="85">
        <v>-1279.74</v>
      </c>
    </row>
    <row r="4314" spans="1:7" x14ac:dyDescent="0.3">
      <c r="A4314" s="84">
        <v>2026</v>
      </c>
      <c r="B4314" s="84" t="s">
        <v>398</v>
      </c>
      <c r="C4314" s="84">
        <v>24</v>
      </c>
      <c r="D4314" s="84">
        <v>23</v>
      </c>
      <c r="E4314" s="85">
        <v>20688.419999999998</v>
      </c>
      <c r="F4314" s="85">
        <v>20049.18</v>
      </c>
      <c r="G4314" s="85">
        <v>-639.24</v>
      </c>
    </row>
    <row r="4315" spans="1:7" x14ac:dyDescent="0.3">
      <c r="A4315" s="84">
        <v>2026</v>
      </c>
      <c r="B4315" s="84" t="s">
        <v>398</v>
      </c>
      <c r="C4315" s="84">
        <v>24</v>
      </c>
      <c r="D4315" s="84">
        <v>24</v>
      </c>
      <c r="E4315" s="85">
        <v>20688.419999999998</v>
      </c>
      <c r="F4315" s="85">
        <v>20688.419999999998</v>
      </c>
      <c r="G4315" s="85">
        <v>0</v>
      </c>
    </row>
    <row r="4316" spans="1:7" x14ac:dyDescent="0.3">
      <c r="A4316" s="84">
        <v>2026</v>
      </c>
      <c r="B4316" s="84" t="s">
        <v>398</v>
      </c>
      <c r="C4316" s="84">
        <v>24</v>
      </c>
      <c r="D4316" s="84">
        <v>25</v>
      </c>
      <c r="E4316" s="85">
        <v>20688.419999999998</v>
      </c>
      <c r="F4316" s="85">
        <v>21328.5</v>
      </c>
      <c r="G4316" s="85">
        <v>640.08000000000004</v>
      </c>
    </row>
    <row r="4317" spans="1:7" x14ac:dyDescent="0.3">
      <c r="A4317" s="84">
        <v>2026</v>
      </c>
      <c r="B4317" s="84" t="s">
        <v>398</v>
      </c>
      <c r="C4317" s="84">
        <v>24</v>
      </c>
      <c r="D4317" s="84">
        <v>26</v>
      </c>
      <c r="E4317" s="85">
        <v>20688.419999999998</v>
      </c>
      <c r="F4317" s="85">
        <v>22707.78</v>
      </c>
      <c r="G4317" s="85">
        <v>2019.36</v>
      </c>
    </row>
    <row r="4318" spans="1:7" x14ac:dyDescent="0.3">
      <c r="A4318" s="84">
        <v>2026</v>
      </c>
      <c r="B4318" s="84" t="s">
        <v>398</v>
      </c>
      <c r="C4318" s="84">
        <v>24</v>
      </c>
      <c r="D4318" s="84">
        <v>27</v>
      </c>
      <c r="E4318" s="85">
        <v>20688.419999999998</v>
      </c>
      <c r="F4318" s="85">
        <v>24417.040000000001</v>
      </c>
      <c r="G4318" s="85">
        <v>3728.62</v>
      </c>
    </row>
    <row r="4319" spans="1:7" x14ac:dyDescent="0.3">
      <c r="A4319" s="84">
        <v>2026</v>
      </c>
      <c r="B4319" s="84" t="s">
        <v>398</v>
      </c>
      <c r="C4319" s="84">
        <v>24</v>
      </c>
      <c r="D4319" s="84">
        <v>28</v>
      </c>
      <c r="E4319" s="85">
        <v>20688.419999999998</v>
      </c>
      <c r="F4319" s="85">
        <v>25057.54</v>
      </c>
      <c r="G4319" s="85">
        <v>4369.12</v>
      </c>
    </row>
    <row r="4320" spans="1:7" x14ac:dyDescent="0.3">
      <c r="A4320" s="84">
        <v>2026</v>
      </c>
      <c r="B4320" s="84" t="s">
        <v>398</v>
      </c>
      <c r="C4320" s="84">
        <v>24</v>
      </c>
      <c r="D4320" s="84">
        <v>29</v>
      </c>
      <c r="E4320" s="85">
        <v>20688.419999999998</v>
      </c>
      <c r="F4320" s="85">
        <v>25696.92</v>
      </c>
      <c r="G4320" s="85">
        <v>5008.5</v>
      </c>
    </row>
    <row r="4321" spans="1:7" x14ac:dyDescent="0.3">
      <c r="A4321" s="84">
        <v>2026</v>
      </c>
      <c r="B4321" s="84" t="s">
        <v>398</v>
      </c>
      <c r="C4321" s="84">
        <v>24</v>
      </c>
      <c r="D4321" s="84">
        <v>30</v>
      </c>
      <c r="E4321" s="85">
        <v>20688.419999999998</v>
      </c>
      <c r="F4321" s="85">
        <v>27445.24</v>
      </c>
      <c r="G4321" s="85">
        <v>6756.82</v>
      </c>
    </row>
    <row r="4322" spans="1:7" x14ac:dyDescent="0.3">
      <c r="A4322" s="84">
        <v>2026</v>
      </c>
      <c r="B4322" s="84" t="s">
        <v>398</v>
      </c>
      <c r="C4322" s="84">
        <v>25</v>
      </c>
      <c r="D4322" s="84">
        <v>1</v>
      </c>
      <c r="E4322" s="85">
        <v>21328.5</v>
      </c>
      <c r="F4322" s="85">
        <v>12087.8</v>
      </c>
      <c r="G4322" s="85">
        <v>-9240.7000000000007</v>
      </c>
    </row>
    <row r="4323" spans="1:7" x14ac:dyDescent="0.3">
      <c r="A4323" s="84">
        <v>2026</v>
      </c>
      <c r="B4323" s="84" t="s">
        <v>398</v>
      </c>
      <c r="C4323" s="84">
        <v>25</v>
      </c>
      <c r="D4323" s="84">
        <v>2</v>
      </c>
      <c r="E4323" s="85">
        <v>21328.5</v>
      </c>
      <c r="F4323" s="85">
        <v>12382.22</v>
      </c>
      <c r="G4323" s="85">
        <v>-8946.2800000000007</v>
      </c>
    </row>
    <row r="4324" spans="1:7" x14ac:dyDescent="0.3">
      <c r="A4324" s="84">
        <v>2026</v>
      </c>
      <c r="B4324" s="84" t="s">
        <v>398</v>
      </c>
      <c r="C4324" s="84">
        <v>25</v>
      </c>
      <c r="D4324" s="84">
        <v>3</v>
      </c>
      <c r="E4324" s="85">
        <v>21328.5</v>
      </c>
      <c r="F4324" s="85">
        <v>12677.2</v>
      </c>
      <c r="G4324" s="85">
        <v>-8651.2999999999993</v>
      </c>
    </row>
    <row r="4325" spans="1:7" x14ac:dyDescent="0.3">
      <c r="A4325" s="84">
        <v>2026</v>
      </c>
      <c r="B4325" s="84" t="s">
        <v>398</v>
      </c>
      <c r="C4325" s="84">
        <v>25</v>
      </c>
      <c r="D4325" s="84">
        <v>4</v>
      </c>
      <c r="E4325" s="85">
        <v>21328.5</v>
      </c>
      <c r="F4325" s="85">
        <v>12971.34</v>
      </c>
      <c r="G4325" s="85">
        <v>-8357.16</v>
      </c>
    </row>
    <row r="4326" spans="1:7" x14ac:dyDescent="0.3">
      <c r="A4326" s="84">
        <v>2026</v>
      </c>
      <c r="B4326" s="84" t="s">
        <v>398</v>
      </c>
      <c r="C4326" s="84">
        <v>25</v>
      </c>
      <c r="D4326" s="84">
        <v>5</v>
      </c>
      <c r="E4326" s="85">
        <v>21328.5</v>
      </c>
      <c r="F4326" s="85">
        <v>13266.04</v>
      </c>
      <c r="G4326" s="85">
        <v>-8062.46</v>
      </c>
    </row>
    <row r="4327" spans="1:7" x14ac:dyDescent="0.3">
      <c r="A4327" s="84">
        <v>2026</v>
      </c>
      <c r="B4327" s="84" t="s">
        <v>398</v>
      </c>
      <c r="C4327" s="84">
        <v>25</v>
      </c>
      <c r="D4327" s="84">
        <v>6</v>
      </c>
      <c r="E4327" s="85">
        <v>21328.5</v>
      </c>
      <c r="F4327" s="85">
        <v>13462.74</v>
      </c>
      <c r="G4327" s="85">
        <v>-7865.76</v>
      </c>
    </row>
    <row r="4328" spans="1:7" x14ac:dyDescent="0.3">
      <c r="A4328" s="84">
        <v>2026</v>
      </c>
      <c r="B4328" s="84" t="s">
        <v>398</v>
      </c>
      <c r="C4328" s="84">
        <v>25</v>
      </c>
      <c r="D4328" s="84">
        <v>7</v>
      </c>
      <c r="E4328" s="85">
        <v>21328.5</v>
      </c>
      <c r="F4328" s="85">
        <v>13659.44</v>
      </c>
      <c r="G4328" s="85">
        <v>-7669.06</v>
      </c>
    </row>
    <row r="4329" spans="1:7" x14ac:dyDescent="0.3">
      <c r="A4329" s="84">
        <v>2026</v>
      </c>
      <c r="B4329" s="84" t="s">
        <v>398</v>
      </c>
      <c r="C4329" s="84">
        <v>25</v>
      </c>
      <c r="D4329" s="84">
        <v>8</v>
      </c>
      <c r="E4329" s="85">
        <v>21328.5</v>
      </c>
      <c r="F4329" s="85">
        <v>13855.72</v>
      </c>
      <c r="G4329" s="85">
        <v>-7472.78</v>
      </c>
    </row>
    <row r="4330" spans="1:7" x14ac:dyDescent="0.3">
      <c r="A4330" s="84">
        <v>2026</v>
      </c>
      <c r="B4330" s="84" t="s">
        <v>398</v>
      </c>
      <c r="C4330" s="84">
        <v>25</v>
      </c>
      <c r="D4330" s="84">
        <v>9</v>
      </c>
      <c r="E4330" s="85">
        <v>21328.5</v>
      </c>
      <c r="F4330" s="85">
        <v>14052.84</v>
      </c>
      <c r="G4330" s="85">
        <v>-7275.66</v>
      </c>
    </row>
    <row r="4331" spans="1:7" x14ac:dyDescent="0.3">
      <c r="A4331" s="84">
        <v>2026</v>
      </c>
      <c r="B4331" s="84" t="s">
        <v>398</v>
      </c>
      <c r="C4331" s="84">
        <v>25</v>
      </c>
      <c r="D4331" s="84">
        <v>10</v>
      </c>
      <c r="E4331" s="85">
        <v>21328.5</v>
      </c>
      <c r="F4331" s="85">
        <v>14249.26</v>
      </c>
      <c r="G4331" s="85">
        <v>-7079.24</v>
      </c>
    </row>
    <row r="4332" spans="1:7" x14ac:dyDescent="0.3">
      <c r="A4332" s="84">
        <v>2026</v>
      </c>
      <c r="B4332" s="84" t="s">
        <v>398</v>
      </c>
      <c r="C4332" s="84">
        <v>25</v>
      </c>
      <c r="D4332" s="84">
        <v>11</v>
      </c>
      <c r="E4332" s="85">
        <v>21328.5</v>
      </c>
      <c r="F4332" s="85">
        <v>14641.82</v>
      </c>
      <c r="G4332" s="85">
        <v>-6686.68</v>
      </c>
    </row>
    <row r="4333" spans="1:7" x14ac:dyDescent="0.3">
      <c r="A4333" s="84">
        <v>2026</v>
      </c>
      <c r="B4333" s="84" t="s">
        <v>398</v>
      </c>
      <c r="C4333" s="84">
        <v>25</v>
      </c>
      <c r="D4333" s="84">
        <v>12</v>
      </c>
      <c r="E4333" s="85">
        <v>21328.5</v>
      </c>
      <c r="F4333" s="85">
        <v>15035.36</v>
      </c>
      <c r="G4333" s="85">
        <v>-6293.14</v>
      </c>
    </row>
    <row r="4334" spans="1:7" x14ac:dyDescent="0.3">
      <c r="A4334" s="84">
        <v>2026</v>
      </c>
      <c r="B4334" s="84" t="s">
        <v>398</v>
      </c>
      <c r="C4334" s="84">
        <v>25</v>
      </c>
      <c r="D4334" s="84">
        <v>13</v>
      </c>
      <c r="E4334" s="85">
        <v>21328.5</v>
      </c>
      <c r="F4334" s="85">
        <v>15428.62</v>
      </c>
      <c r="G4334" s="85">
        <v>-5899.88</v>
      </c>
    </row>
    <row r="4335" spans="1:7" x14ac:dyDescent="0.3">
      <c r="A4335" s="84">
        <v>2026</v>
      </c>
      <c r="B4335" s="84" t="s">
        <v>398</v>
      </c>
      <c r="C4335" s="84">
        <v>25</v>
      </c>
      <c r="D4335" s="84">
        <v>14</v>
      </c>
      <c r="E4335" s="85">
        <v>21328.5</v>
      </c>
      <c r="F4335" s="85">
        <v>15822.44</v>
      </c>
      <c r="G4335" s="85">
        <v>-5506.06</v>
      </c>
    </row>
    <row r="4336" spans="1:7" x14ac:dyDescent="0.3">
      <c r="A4336" s="84">
        <v>2026</v>
      </c>
      <c r="B4336" s="84" t="s">
        <v>398</v>
      </c>
      <c r="C4336" s="84">
        <v>25</v>
      </c>
      <c r="D4336" s="84">
        <v>15</v>
      </c>
      <c r="E4336" s="85">
        <v>21328.5</v>
      </c>
      <c r="F4336" s="85">
        <v>16214.72</v>
      </c>
      <c r="G4336" s="85">
        <v>-5113.78</v>
      </c>
    </row>
    <row r="4337" spans="1:7" x14ac:dyDescent="0.3">
      <c r="A4337" s="84">
        <v>2026</v>
      </c>
      <c r="B4337" s="84" t="s">
        <v>398</v>
      </c>
      <c r="C4337" s="84">
        <v>25</v>
      </c>
      <c r="D4337" s="84">
        <v>16</v>
      </c>
      <c r="E4337" s="85">
        <v>21328.5</v>
      </c>
      <c r="F4337" s="85">
        <v>16608.68</v>
      </c>
      <c r="G4337" s="85">
        <v>-4719.82</v>
      </c>
    </row>
    <row r="4338" spans="1:7" x14ac:dyDescent="0.3">
      <c r="A4338" s="84">
        <v>2026</v>
      </c>
      <c r="B4338" s="84" t="s">
        <v>398</v>
      </c>
      <c r="C4338" s="84">
        <v>25</v>
      </c>
      <c r="D4338" s="84">
        <v>17</v>
      </c>
      <c r="E4338" s="85">
        <v>21328.5</v>
      </c>
      <c r="F4338" s="85">
        <v>17000.96</v>
      </c>
      <c r="G4338" s="85">
        <v>-4327.54</v>
      </c>
    </row>
    <row r="4339" spans="1:7" x14ac:dyDescent="0.3">
      <c r="A4339" s="84">
        <v>2026</v>
      </c>
      <c r="B4339" s="84" t="s">
        <v>398</v>
      </c>
      <c r="C4339" s="84">
        <v>25</v>
      </c>
      <c r="D4339" s="84">
        <v>18</v>
      </c>
      <c r="E4339" s="85">
        <v>21328.5</v>
      </c>
      <c r="F4339" s="85">
        <v>17394.5</v>
      </c>
      <c r="G4339" s="85">
        <v>-3934</v>
      </c>
    </row>
    <row r="4340" spans="1:7" x14ac:dyDescent="0.3">
      <c r="A4340" s="84">
        <v>2026</v>
      </c>
      <c r="B4340" s="84" t="s">
        <v>398</v>
      </c>
      <c r="C4340" s="84">
        <v>25</v>
      </c>
      <c r="D4340" s="84">
        <v>19</v>
      </c>
      <c r="E4340" s="85">
        <v>21328.5</v>
      </c>
      <c r="F4340" s="85">
        <v>17787.62</v>
      </c>
      <c r="G4340" s="85">
        <v>-3540.88</v>
      </c>
    </row>
    <row r="4341" spans="1:7" x14ac:dyDescent="0.3">
      <c r="A4341" s="84">
        <v>2026</v>
      </c>
      <c r="B4341" s="84" t="s">
        <v>398</v>
      </c>
      <c r="C4341" s="84">
        <v>25</v>
      </c>
      <c r="D4341" s="84">
        <v>20</v>
      </c>
      <c r="E4341" s="85">
        <v>21328.5</v>
      </c>
      <c r="F4341" s="85">
        <v>18180.599999999999</v>
      </c>
      <c r="G4341" s="85">
        <v>-3147.9</v>
      </c>
    </row>
    <row r="4342" spans="1:7" x14ac:dyDescent="0.3">
      <c r="A4342" s="84">
        <v>2026</v>
      </c>
      <c r="B4342" s="84" t="s">
        <v>398</v>
      </c>
      <c r="C4342" s="84">
        <v>25</v>
      </c>
      <c r="D4342" s="84">
        <v>21</v>
      </c>
      <c r="E4342" s="85">
        <v>21328.5</v>
      </c>
      <c r="F4342" s="85">
        <v>18770</v>
      </c>
      <c r="G4342" s="85">
        <v>-2558.5</v>
      </c>
    </row>
    <row r="4343" spans="1:7" x14ac:dyDescent="0.3">
      <c r="A4343" s="84">
        <v>2026</v>
      </c>
      <c r="B4343" s="84" t="s">
        <v>398</v>
      </c>
      <c r="C4343" s="84">
        <v>25</v>
      </c>
      <c r="D4343" s="84">
        <v>22</v>
      </c>
      <c r="E4343" s="85">
        <v>21328.5</v>
      </c>
      <c r="F4343" s="85">
        <v>19408.68</v>
      </c>
      <c r="G4343" s="85">
        <v>-1919.82</v>
      </c>
    </row>
    <row r="4344" spans="1:7" x14ac:dyDescent="0.3">
      <c r="A4344" s="84">
        <v>2026</v>
      </c>
      <c r="B4344" s="84" t="s">
        <v>398</v>
      </c>
      <c r="C4344" s="84">
        <v>25</v>
      </c>
      <c r="D4344" s="84">
        <v>23</v>
      </c>
      <c r="E4344" s="85">
        <v>21328.5</v>
      </c>
      <c r="F4344" s="85">
        <v>20049.18</v>
      </c>
      <c r="G4344" s="85">
        <v>-1279.32</v>
      </c>
    </row>
    <row r="4345" spans="1:7" x14ac:dyDescent="0.3">
      <c r="A4345" s="84">
        <v>2026</v>
      </c>
      <c r="B4345" s="84" t="s">
        <v>398</v>
      </c>
      <c r="C4345" s="84">
        <v>25</v>
      </c>
      <c r="D4345" s="84">
        <v>24</v>
      </c>
      <c r="E4345" s="85">
        <v>21328.5</v>
      </c>
      <c r="F4345" s="85">
        <v>20688.419999999998</v>
      </c>
      <c r="G4345" s="85">
        <v>-640.08000000000004</v>
      </c>
    </row>
    <row r="4346" spans="1:7" x14ac:dyDescent="0.3">
      <c r="A4346" s="84">
        <v>2026</v>
      </c>
      <c r="B4346" s="84" t="s">
        <v>398</v>
      </c>
      <c r="C4346" s="84">
        <v>25</v>
      </c>
      <c r="D4346" s="84">
        <v>25</v>
      </c>
      <c r="E4346" s="85">
        <v>21328.5</v>
      </c>
      <c r="F4346" s="85">
        <v>21328.5</v>
      </c>
      <c r="G4346" s="85">
        <v>0</v>
      </c>
    </row>
    <row r="4347" spans="1:7" x14ac:dyDescent="0.3">
      <c r="A4347" s="84">
        <v>2026</v>
      </c>
      <c r="B4347" s="84" t="s">
        <v>398</v>
      </c>
      <c r="C4347" s="84">
        <v>25</v>
      </c>
      <c r="D4347" s="84">
        <v>26</v>
      </c>
      <c r="E4347" s="85">
        <v>21328.5</v>
      </c>
      <c r="F4347" s="85">
        <v>22707.78</v>
      </c>
      <c r="G4347" s="85">
        <v>1379.28</v>
      </c>
    </row>
    <row r="4348" spans="1:7" x14ac:dyDescent="0.3">
      <c r="A4348" s="84">
        <v>2026</v>
      </c>
      <c r="B4348" s="84" t="s">
        <v>398</v>
      </c>
      <c r="C4348" s="84">
        <v>25</v>
      </c>
      <c r="D4348" s="84">
        <v>27</v>
      </c>
      <c r="E4348" s="85">
        <v>21328.5</v>
      </c>
      <c r="F4348" s="85">
        <v>24417.040000000001</v>
      </c>
      <c r="G4348" s="85">
        <v>3088.54</v>
      </c>
    </row>
    <row r="4349" spans="1:7" x14ac:dyDescent="0.3">
      <c r="A4349" s="84">
        <v>2026</v>
      </c>
      <c r="B4349" s="84" t="s">
        <v>398</v>
      </c>
      <c r="C4349" s="84">
        <v>25</v>
      </c>
      <c r="D4349" s="84">
        <v>28</v>
      </c>
      <c r="E4349" s="85">
        <v>21328.5</v>
      </c>
      <c r="F4349" s="85">
        <v>25057.54</v>
      </c>
      <c r="G4349" s="85">
        <v>3729.04</v>
      </c>
    </row>
    <row r="4350" spans="1:7" x14ac:dyDescent="0.3">
      <c r="A4350" s="84">
        <v>2026</v>
      </c>
      <c r="B4350" s="84" t="s">
        <v>398</v>
      </c>
      <c r="C4350" s="84">
        <v>25</v>
      </c>
      <c r="D4350" s="84">
        <v>29</v>
      </c>
      <c r="E4350" s="85">
        <v>21328.5</v>
      </c>
      <c r="F4350" s="85">
        <v>25696.92</v>
      </c>
      <c r="G4350" s="85">
        <v>4368.42</v>
      </c>
    </row>
    <row r="4351" spans="1:7" x14ac:dyDescent="0.3">
      <c r="A4351" s="84">
        <v>2026</v>
      </c>
      <c r="B4351" s="84" t="s">
        <v>398</v>
      </c>
      <c r="C4351" s="84">
        <v>25</v>
      </c>
      <c r="D4351" s="84">
        <v>30</v>
      </c>
      <c r="E4351" s="85">
        <v>21328.5</v>
      </c>
      <c r="F4351" s="85">
        <v>27445.24</v>
      </c>
      <c r="G4351" s="85">
        <v>6116.74</v>
      </c>
    </row>
    <row r="4352" spans="1:7" x14ac:dyDescent="0.3">
      <c r="A4352" s="84">
        <v>2026</v>
      </c>
      <c r="B4352" s="84" t="s">
        <v>398</v>
      </c>
      <c r="C4352" s="84">
        <v>26</v>
      </c>
      <c r="D4352" s="84">
        <v>1</v>
      </c>
      <c r="E4352" s="85">
        <v>22707.78</v>
      </c>
      <c r="F4352" s="85">
        <v>12087.8</v>
      </c>
      <c r="G4352" s="85">
        <v>-10619.98</v>
      </c>
    </row>
    <row r="4353" spans="1:7" x14ac:dyDescent="0.3">
      <c r="A4353" s="84">
        <v>2026</v>
      </c>
      <c r="B4353" s="84" t="s">
        <v>398</v>
      </c>
      <c r="C4353" s="84">
        <v>26</v>
      </c>
      <c r="D4353" s="84">
        <v>2</v>
      </c>
      <c r="E4353" s="85">
        <v>22707.78</v>
      </c>
      <c r="F4353" s="85">
        <v>12382.22</v>
      </c>
      <c r="G4353" s="85">
        <v>-10325.56</v>
      </c>
    </row>
    <row r="4354" spans="1:7" x14ac:dyDescent="0.3">
      <c r="A4354" s="84">
        <v>2026</v>
      </c>
      <c r="B4354" s="84" t="s">
        <v>398</v>
      </c>
      <c r="C4354" s="84">
        <v>26</v>
      </c>
      <c r="D4354" s="84">
        <v>3</v>
      </c>
      <c r="E4354" s="85">
        <v>22707.78</v>
      </c>
      <c r="F4354" s="85">
        <v>12677.2</v>
      </c>
      <c r="G4354" s="85">
        <v>-10030.58</v>
      </c>
    </row>
    <row r="4355" spans="1:7" x14ac:dyDescent="0.3">
      <c r="A4355" s="84">
        <v>2026</v>
      </c>
      <c r="B4355" s="84" t="s">
        <v>398</v>
      </c>
      <c r="C4355" s="84">
        <v>26</v>
      </c>
      <c r="D4355" s="84">
        <v>4</v>
      </c>
      <c r="E4355" s="85">
        <v>22707.78</v>
      </c>
      <c r="F4355" s="85">
        <v>12971.34</v>
      </c>
      <c r="G4355" s="85">
        <v>-9736.44</v>
      </c>
    </row>
    <row r="4356" spans="1:7" x14ac:dyDescent="0.3">
      <c r="A4356" s="84">
        <v>2026</v>
      </c>
      <c r="B4356" s="84" t="s">
        <v>398</v>
      </c>
      <c r="C4356" s="84">
        <v>26</v>
      </c>
      <c r="D4356" s="84">
        <v>5</v>
      </c>
      <c r="E4356" s="85">
        <v>22707.78</v>
      </c>
      <c r="F4356" s="85">
        <v>13266.04</v>
      </c>
      <c r="G4356" s="85">
        <v>-9441.74</v>
      </c>
    </row>
    <row r="4357" spans="1:7" x14ac:dyDescent="0.3">
      <c r="A4357" s="84">
        <v>2026</v>
      </c>
      <c r="B4357" s="84" t="s">
        <v>398</v>
      </c>
      <c r="C4357" s="84">
        <v>26</v>
      </c>
      <c r="D4357" s="84">
        <v>6</v>
      </c>
      <c r="E4357" s="85">
        <v>22707.78</v>
      </c>
      <c r="F4357" s="85">
        <v>13462.74</v>
      </c>
      <c r="G4357" s="85">
        <v>-9245.0400000000009</v>
      </c>
    </row>
    <row r="4358" spans="1:7" x14ac:dyDescent="0.3">
      <c r="A4358" s="84">
        <v>2026</v>
      </c>
      <c r="B4358" s="84" t="s">
        <v>398</v>
      </c>
      <c r="C4358" s="84">
        <v>26</v>
      </c>
      <c r="D4358" s="84">
        <v>7</v>
      </c>
      <c r="E4358" s="85">
        <v>22707.78</v>
      </c>
      <c r="F4358" s="85">
        <v>13659.44</v>
      </c>
      <c r="G4358" s="85">
        <v>-9048.34</v>
      </c>
    </row>
    <row r="4359" spans="1:7" x14ac:dyDescent="0.3">
      <c r="A4359" s="84">
        <v>2026</v>
      </c>
      <c r="B4359" s="84" t="s">
        <v>398</v>
      </c>
      <c r="C4359" s="84">
        <v>26</v>
      </c>
      <c r="D4359" s="84">
        <v>8</v>
      </c>
      <c r="E4359" s="85">
        <v>22707.78</v>
      </c>
      <c r="F4359" s="85">
        <v>13855.72</v>
      </c>
      <c r="G4359" s="85">
        <v>-8852.06</v>
      </c>
    </row>
    <row r="4360" spans="1:7" x14ac:dyDescent="0.3">
      <c r="A4360" s="84">
        <v>2026</v>
      </c>
      <c r="B4360" s="84" t="s">
        <v>398</v>
      </c>
      <c r="C4360" s="84">
        <v>26</v>
      </c>
      <c r="D4360" s="84">
        <v>9</v>
      </c>
      <c r="E4360" s="85">
        <v>22707.78</v>
      </c>
      <c r="F4360" s="85">
        <v>14052.84</v>
      </c>
      <c r="G4360" s="85">
        <v>-8654.94</v>
      </c>
    </row>
    <row r="4361" spans="1:7" x14ac:dyDescent="0.3">
      <c r="A4361" s="84">
        <v>2026</v>
      </c>
      <c r="B4361" s="84" t="s">
        <v>398</v>
      </c>
      <c r="C4361" s="84">
        <v>26</v>
      </c>
      <c r="D4361" s="84">
        <v>10</v>
      </c>
      <c r="E4361" s="85">
        <v>22707.78</v>
      </c>
      <c r="F4361" s="85">
        <v>14249.26</v>
      </c>
      <c r="G4361" s="85">
        <v>-8458.52</v>
      </c>
    </row>
    <row r="4362" spans="1:7" x14ac:dyDescent="0.3">
      <c r="A4362" s="84">
        <v>2026</v>
      </c>
      <c r="B4362" s="84" t="s">
        <v>398</v>
      </c>
      <c r="C4362" s="84">
        <v>26</v>
      </c>
      <c r="D4362" s="84">
        <v>11</v>
      </c>
      <c r="E4362" s="85">
        <v>22707.78</v>
      </c>
      <c r="F4362" s="85">
        <v>14641.82</v>
      </c>
      <c r="G4362" s="85">
        <v>-8065.96</v>
      </c>
    </row>
    <row r="4363" spans="1:7" x14ac:dyDescent="0.3">
      <c r="A4363" s="84">
        <v>2026</v>
      </c>
      <c r="B4363" s="84" t="s">
        <v>398</v>
      </c>
      <c r="C4363" s="84">
        <v>26</v>
      </c>
      <c r="D4363" s="84">
        <v>12</v>
      </c>
      <c r="E4363" s="85">
        <v>22707.78</v>
      </c>
      <c r="F4363" s="85">
        <v>15035.36</v>
      </c>
      <c r="G4363" s="85">
        <v>-7672.42</v>
      </c>
    </row>
    <row r="4364" spans="1:7" x14ac:dyDescent="0.3">
      <c r="A4364" s="84">
        <v>2026</v>
      </c>
      <c r="B4364" s="84" t="s">
        <v>398</v>
      </c>
      <c r="C4364" s="84">
        <v>26</v>
      </c>
      <c r="D4364" s="84">
        <v>13</v>
      </c>
      <c r="E4364" s="85">
        <v>22707.78</v>
      </c>
      <c r="F4364" s="85">
        <v>15428.62</v>
      </c>
      <c r="G4364" s="85">
        <v>-7279.16</v>
      </c>
    </row>
    <row r="4365" spans="1:7" x14ac:dyDescent="0.3">
      <c r="A4365" s="84">
        <v>2026</v>
      </c>
      <c r="B4365" s="84" t="s">
        <v>398</v>
      </c>
      <c r="C4365" s="84">
        <v>26</v>
      </c>
      <c r="D4365" s="84">
        <v>14</v>
      </c>
      <c r="E4365" s="85">
        <v>22707.78</v>
      </c>
      <c r="F4365" s="85">
        <v>15822.44</v>
      </c>
      <c r="G4365" s="85">
        <v>-6885.34</v>
      </c>
    </row>
    <row r="4366" spans="1:7" x14ac:dyDescent="0.3">
      <c r="A4366" s="84">
        <v>2026</v>
      </c>
      <c r="B4366" s="84" t="s">
        <v>398</v>
      </c>
      <c r="C4366" s="84">
        <v>26</v>
      </c>
      <c r="D4366" s="84">
        <v>15</v>
      </c>
      <c r="E4366" s="85">
        <v>22707.78</v>
      </c>
      <c r="F4366" s="85">
        <v>16214.72</v>
      </c>
      <c r="G4366" s="85">
        <v>-6493.06</v>
      </c>
    </row>
    <row r="4367" spans="1:7" x14ac:dyDescent="0.3">
      <c r="A4367" s="84">
        <v>2026</v>
      </c>
      <c r="B4367" s="84" t="s">
        <v>398</v>
      </c>
      <c r="C4367" s="84">
        <v>26</v>
      </c>
      <c r="D4367" s="84">
        <v>16</v>
      </c>
      <c r="E4367" s="85">
        <v>22707.78</v>
      </c>
      <c r="F4367" s="85">
        <v>16608.68</v>
      </c>
      <c r="G4367" s="85">
        <v>-6099.1</v>
      </c>
    </row>
    <row r="4368" spans="1:7" x14ac:dyDescent="0.3">
      <c r="A4368" s="84">
        <v>2026</v>
      </c>
      <c r="B4368" s="84" t="s">
        <v>398</v>
      </c>
      <c r="C4368" s="84">
        <v>26</v>
      </c>
      <c r="D4368" s="84">
        <v>17</v>
      </c>
      <c r="E4368" s="85">
        <v>22707.78</v>
      </c>
      <c r="F4368" s="85">
        <v>17000.96</v>
      </c>
      <c r="G4368" s="85">
        <v>-5706.82</v>
      </c>
    </row>
    <row r="4369" spans="1:7" x14ac:dyDescent="0.3">
      <c r="A4369" s="84">
        <v>2026</v>
      </c>
      <c r="B4369" s="84" t="s">
        <v>398</v>
      </c>
      <c r="C4369" s="84">
        <v>26</v>
      </c>
      <c r="D4369" s="84">
        <v>18</v>
      </c>
      <c r="E4369" s="85">
        <v>22707.78</v>
      </c>
      <c r="F4369" s="85">
        <v>17394.5</v>
      </c>
      <c r="G4369" s="85">
        <v>-5313.28</v>
      </c>
    </row>
    <row r="4370" spans="1:7" x14ac:dyDescent="0.3">
      <c r="A4370" s="84">
        <v>2026</v>
      </c>
      <c r="B4370" s="84" t="s">
        <v>398</v>
      </c>
      <c r="C4370" s="84">
        <v>26</v>
      </c>
      <c r="D4370" s="84">
        <v>19</v>
      </c>
      <c r="E4370" s="85">
        <v>22707.78</v>
      </c>
      <c r="F4370" s="85">
        <v>17787.62</v>
      </c>
      <c r="G4370" s="85">
        <v>-4920.16</v>
      </c>
    </row>
    <row r="4371" spans="1:7" x14ac:dyDescent="0.3">
      <c r="A4371" s="84">
        <v>2026</v>
      </c>
      <c r="B4371" s="84" t="s">
        <v>398</v>
      </c>
      <c r="C4371" s="84">
        <v>26</v>
      </c>
      <c r="D4371" s="84">
        <v>20</v>
      </c>
      <c r="E4371" s="85">
        <v>22707.78</v>
      </c>
      <c r="F4371" s="85">
        <v>18180.599999999999</v>
      </c>
      <c r="G4371" s="85">
        <v>-4527.18</v>
      </c>
    </row>
    <row r="4372" spans="1:7" x14ac:dyDescent="0.3">
      <c r="A4372" s="84">
        <v>2026</v>
      </c>
      <c r="B4372" s="84" t="s">
        <v>398</v>
      </c>
      <c r="C4372" s="84">
        <v>26</v>
      </c>
      <c r="D4372" s="84">
        <v>21</v>
      </c>
      <c r="E4372" s="85">
        <v>22707.78</v>
      </c>
      <c r="F4372" s="85">
        <v>18770</v>
      </c>
      <c r="G4372" s="85">
        <v>-3937.78</v>
      </c>
    </row>
    <row r="4373" spans="1:7" x14ac:dyDescent="0.3">
      <c r="A4373" s="84">
        <v>2026</v>
      </c>
      <c r="B4373" s="84" t="s">
        <v>398</v>
      </c>
      <c r="C4373" s="84">
        <v>26</v>
      </c>
      <c r="D4373" s="84">
        <v>22</v>
      </c>
      <c r="E4373" s="85">
        <v>22707.78</v>
      </c>
      <c r="F4373" s="85">
        <v>19408.68</v>
      </c>
      <c r="G4373" s="85">
        <v>-3299.1</v>
      </c>
    </row>
    <row r="4374" spans="1:7" x14ac:dyDescent="0.3">
      <c r="A4374" s="84">
        <v>2026</v>
      </c>
      <c r="B4374" s="84" t="s">
        <v>398</v>
      </c>
      <c r="C4374" s="84">
        <v>26</v>
      </c>
      <c r="D4374" s="84">
        <v>23</v>
      </c>
      <c r="E4374" s="85">
        <v>22707.78</v>
      </c>
      <c r="F4374" s="85">
        <v>20049.18</v>
      </c>
      <c r="G4374" s="85">
        <v>-2658.6</v>
      </c>
    </row>
    <row r="4375" spans="1:7" x14ac:dyDescent="0.3">
      <c r="A4375" s="84">
        <v>2026</v>
      </c>
      <c r="B4375" s="84" t="s">
        <v>398</v>
      </c>
      <c r="C4375" s="84">
        <v>26</v>
      </c>
      <c r="D4375" s="84">
        <v>24</v>
      </c>
      <c r="E4375" s="85">
        <v>22707.78</v>
      </c>
      <c r="F4375" s="85">
        <v>20688.419999999998</v>
      </c>
      <c r="G4375" s="85">
        <v>-2019.36</v>
      </c>
    </row>
    <row r="4376" spans="1:7" x14ac:dyDescent="0.3">
      <c r="A4376" s="84">
        <v>2026</v>
      </c>
      <c r="B4376" s="84" t="s">
        <v>398</v>
      </c>
      <c r="C4376" s="84">
        <v>26</v>
      </c>
      <c r="D4376" s="84">
        <v>25</v>
      </c>
      <c r="E4376" s="85">
        <v>22707.78</v>
      </c>
      <c r="F4376" s="85">
        <v>21328.5</v>
      </c>
      <c r="G4376" s="85">
        <v>-1379.28</v>
      </c>
    </row>
    <row r="4377" spans="1:7" x14ac:dyDescent="0.3">
      <c r="A4377" s="84">
        <v>2026</v>
      </c>
      <c r="B4377" s="84" t="s">
        <v>398</v>
      </c>
      <c r="C4377" s="84">
        <v>26</v>
      </c>
      <c r="D4377" s="84">
        <v>26</v>
      </c>
      <c r="E4377" s="85">
        <v>22707.78</v>
      </c>
      <c r="F4377" s="85">
        <v>22707.78</v>
      </c>
      <c r="G4377" s="85">
        <v>0</v>
      </c>
    </row>
    <row r="4378" spans="1:7" x14ac:dyDescent="0.3">
      <c r="A4378" s="84">
        <v>2026</v>
      </c>
      <c r="B4378" s="84" t="s">
        <v>398</v>
      </c>
      <c r="C4378" s="84">
        <v>26</v>
      </c>
      <c r="D4378" s="84">
        <v>27</v>
      </c>
      <c r="E4378" s="85">
        <v>22707.78</v>
      </c>
      <c r="F4378" s="85">
        <v>24417.040000000001</v>
      </c>
      <c r="G4378" s="85">
        <v>1709.26</v>
      </c>
    </row>
    <row r="4379" spans="1:7" x14ac:dyDescent="0.3">
      <c r="A4379" s="84">
        <v>2026</v>
      </c>
      <c r="B4379" s="84" t="s">
        <v>398</v>
      </c>
      <c r="C4379" s="84">
        <v>26</v>
      </c>
      <c r="D4379" s="84">
        <v>28</v>
      </c>
      <c r="E4379" s="85">
        <v>22707.78</v>
      </c>
      <c r="F4379" s="85">
        <v>25057.54</v>
      </c>
      <c r="G4379" s="85">
        <v>2349.7600000000002</v>
      </c>
    </row>
    <row r="4380" spans="1:7" x14ac:dyDescent="0.3">
      <c r="A4380" s="84">
        <v>2026</v>
      </c>
      <c r="B4380" s="84" t="s">
        <v>398</v>
      </c>
      <c r="C4380" s="84">
        <v>26</v>
      </c>
      <c r="D4380" s="84">
        <v>29</v>
      </c>
      <c r="E4380" s="85">
        <v>22707.78</v>
      </c>
      <c r="F4380" s="85">
        <v>25696.92</v>
      </c>
      <c r="G4380" s="85">
        <v>2989.14</v>
      </c>
    </row>
    <row r="4381" spans="1:7" x14ac:dyDescent="0.3">
      <c r="A4381" s="84">
        <v>2026</v>
      </c>
      <c r="B4381" s="84" t="s">
        <v>398</v>
      </c>
      <c r="C4381" s="84">
        <v>26</v>
      </c>
      <c r="D4381" s="84">
        <v>30</v>
      </c>
      <c r="E4381" s="85">
        <v>22707.78</v>
      </c>
      <c r="F4381" s="85">
        <v>27445.24</v>
      </c>
      <c r="G4381" s="85">
        <v>4737.46</v>
      </c>
    </row>
    <row r="4382" spans="1:7" x14ac:dyDescent="0.3">
      <c r="A4382" s="84">
        <v>2026</v>
      </c>
      <c r="B4382" s="84" t="s">
        <v>398</v>
      </c>
      <c r="C4382" s="84">
        <v>27</v>
      </c>
      <c r="D4382" s="84">
        <v>1</v>
      </c>
      <c r="E4382" s="85">
        <v>24417.040000000001</v>
      </c>
      <c r="F4382" s="85">
        <v>12087.8</v>
      </c>
      <c r="G4382" s="85">
        <v>-12329.24</v>
      </c>
    </row>
    <row r="4383" spans="1:7" x14ac:dyDescent="0.3">
      <c r="A4383" s="84">
        <v>2026</v>
      </c>
      <c r="B4383" s="84" t="s">
        <v>398</v>
      </c>
      <c r="C4383" s="84">
        <v>27</v>
      </c>
      <c r="D4383" s="84">
        <v>2</v>
      </c>
      <c r="E4383" s="85">
        <v>24417.040000000001</v>
      </c>
      <c r="F4383" s="85">
        <v>12382.22</v>
      </c>
      <c r="G4383" s="85">
        <v>-12034.82</v>
      </c>
    </row>
    <row r="4384" spans="1:7" x14ac:dyDescent="0.3">
      <c r="A4384" s="84">
        <v>2026</v>
      </c>
      <c r="B4384" s="84" t="s">
        <v>398</v>
      </c>
      <c r="C4384" s="84">
        <v>27</v>
      </c>
      <c r="D4384" s="84">
        <v>3</v>
      </c>
      <c r="E4384" s="85">
        <v>24417.040000000001</v>
      </c>
      <c r="F4384" s="85">
        <v>12677.2</v>
      </c>
      <c r="G4384" s="85">
        <v>-11739.84</v>
      </c>
    </row>
    <row r="4385" spans="1:7" x14ac:dyDescent="0.3">
      <c r="A4385" s="84">
        <v>2026</v>
      </c>
      <c r="B4385" s="84" t="s">
        <v>398</v>
      </c>
      <c r="C4385" s="84">
        <v>27</v>
      </c>
      <c r="D4385" s="84">
        <v>4</v>
      </c>
      <c r="E4385" s="85">
        <v>24417.040000000001</v>
      </c>
      <c r="F4385" s="85">
        <v>12971.34</v>
      </c>
      <c r="G4385" s="85">
        <v>-11445.7</v>
      </c>
    </row>
    <row r="4386" spans="1:7" x14ac:dyDescent="0.3">
      <c r="A4386" s="84">
        <v>2026</v>
      </c>
      <c r="B4386" s="84" t="s">
        <v>398</v>
      </c>
      <c r="C4386" s="84">
        <v>27</v>
      </c>
      <c r="D4386" s="84">
        <v>5</v>
      </c>
      <c r="E4386" s="85">
        <v>24417.040000000001</v>
      </c>
      <c r="F4386" s="85">
        <v>13266.04</v>
      </c>
      <c r="G4386" s="85">
        <v>-11151</v>
      </c>
    </row>
    <row r="4387" spans="1:7" x14ac:dyDescent="0.3">
      <c r="A4387" s="84">
        <v>2026</v>
      </c>
      <c r="B4387" s="84" t="s">
        <v>398</v>
      </c>
      <c r="C4387" s="84">
        <v>27</v>
      </c>
      <c r="D4387" s="84">
        <v>6</v>
      </c>
      <c r="E4387" s="85">
        <v>24417.040000000001</v>
      </c>
      <c r="F4387" s="85">
        <v>13462.74</v>
      </c>
      <c r="G4387" s="85">
        <v>-10954.3</v>
      </c>
    </row>
    <row r="4388" spans="1:7" x14ac:dyDescent="0.3">
      <c r="A4388" s="84">
        <v>2026</v>
      </c>
      <c r="B4388" s="84" t="s">
        <v>398</v>
      </c>
      <c r="C4388" s="84">
        <v>27</v>
      </c>
      <c r="D4388" s="84">
        <v>7</v>
      </c>
      <c r="E4388" s="85">
        <v>24417.040000000001</v>
      </c>
      <c r="F4388" s="85">
        <v>13659.44</v>
      </c>
      <c r="G4388" s="85">
        <v>-10757.6</v>
      </c>
    </row>
    <row r="4389" spans="1:7" x14ac:dyDescent="0.3">
      <c r="A4389" s="84">
        <v>2026</v>
      </c>
      <c r="B4389" s="84" t="s">
        <v>398</v>
      </c>
      <c r="C4389" s="84">
        <v>27</v>
      </c>
      <c r="D4389" s="84">
        <v>8</v>
      </c>
      <c r="E4389" s="85">
        <v>24417.040000000001</v>
      </c>
      <c r="F4389" s="85">
        <v>13855.72</v>
      </c>
      <c r="G4389" s="85">
        <v>-10561.32</v>
      </c>
    </row>
    <row r="4390" spans="1:7" x14ac:dyDescent="0.3">
      <c r="A4390" s="84">
        <v>2026</v>
      </c>
      <c r="B4390" s="84" t="s">
        <v>398</v>
      </c>
      <c r="C4390" s="84">
        <v>27</v>
      </c>
      <c r="D4390" s="84">
        <v>9</v>
      </c>
      <c r="E4390" s="85">
        <v>24417.040000000001</v>
      </c>
      <c r="F4390" s="85">
        <v>14052.84</v>
      </c>
      <c r="G4390" s="85">
        <v>-10364.200000000001</v>
      </c>
    </row>
    <row r="4391" spans="1:7" x14ac:dyDescent="0.3">
      <c r="A4391" s="84">
        <v>2026</v>
      </c>
      <c r="B4391" s="84" t="s">
        <v>398</v>
      </c>
      <c r="C4391" s="84">
        <v>27</v>
      </c>
      <c r="D4391" s="84">
        <v>10</v>
      </c>
      <c r="E4391" s="85">
        <v>24417.040000000001</v>
      </c>
      <c r="F4391" s="85">
        <v>14249.26</v>
      </c>
      <c r="G4391" s="85">
        <v>-10167.780000000001</v>
      </c>
    </row>
    <row r="4392" spans="1:7" x14ac:dyDescent="0.3">
      <c r="A4392" s="84">
        <v>2026</v>
      </c>
      <c r="B4392" s="84" t="s">
        <v>398</v>
      </c>
      <c r="C4392" s="84">
        <v>27</v>
      </c>
      <c r="D4392" s="84">
        <v>11</v>
      </c>
      <c r="E4392" s="85">
        <v>24417.040000000001</v>
      </c>
      <c r="F4392" s="85">
        <v>14641.82</v>
      </c>
      <c r="G4392" s="85">
        <v>-9775.2199999999993</v>
      </c>
    </row>
    <row r="4393" spans="1:7" x14ac:dyDescent="0.3">
      <c r="A4393" s="84">
        <v>2026</v>
      </c>
      <c r="B4393" s="84" t="s">
        <v>398</v>
      </c>
      <c r="C4393" s="84">
        <v>27</v>
      </c>
      <c r="D4393" s="84">
        <v>12</v>
      </c>
      <c r="E4393" s="85">
        <v>24417.040000000001</v>
      </c>
      <c r="F4393" s="85">
        <v>15035.36</v>
      </c>
      <c r="G4393" s="85">
        <v>-9381.68</v>
      </c>
    </row>
    <row r="4394" spans="1:7" x14ac:dyDescent="0.3">
      <c r="A4394" s="84">
        <v>2026</v>
      </c>
      <c r="B4394" s="84" t="s">
        <v>398</v>
      </c>
      <c r="C4394" s="84">
        <v>27</v>
      </c>
      <c r="D4394" s="84">
        <v>13</v>
      </c>
      <c r="E4394" s="85">
        <v>24417.040000000001</v>
      </c>
      <c r="F4394" s="85">
        <v>15428.62</v>
      </c>
      <c r="G4394" s="85">
        <v>-8988.42</v>
      </c>
    </row>
    <row r="4395" spans="1:7" x14ac:dyDescent="0.3">
      <c r="A4395" s="84">
        <v>2026</v>
      </c>
      <c r="B4395" s="84" t="s">
        <v>398</v>
      </c>
      <c r="C4395" s="84">
        <v>27</v>
      </c>
      <c r="D4395" s="84">
        <v>14</v>
      </c>
      <c r="E4395" s="85">
        <v>24417.040000000001</v>
      </c>
      <c r="F4395" s="85">
        <v>15822.44</v>
      </c>
      <c r="G4395" s="85">
        <v>-8594.6</v>
      </c>
    </row>
    <row r="4396" spans="1:7" x14ac:dyDescent="0.3">
      <c r="A4396" s="84">
        <v>2026</v>
      </c>
      <c r="B4396" s="84" t="s">
        <v>398</v>
      </c>
      <c r="C4396" s="84">
        <v>27</v>
      </c>
      <c r="D4396" s="84">
        <v>15</v>
      </c>
      <c r="E4396" s="85">
        <v>24417.040000000001</v>
      </c>
      <c r="F4396" s="85">
        <v>16214.72</v>
      </c>
      <c r="G4396" s="85">
        <v>-8202.32</v>
      </c>
    </row>
    <row r="4397" spans="1:7" x14ac:dyDescent="0.3">
      <c r="A4397" s="84">
        <v>2026</v>
      </c>
      <c r="B4397" s="84" t="s">
        <v>398</v>
      </c>
      <c r="C4397" s="84">
        <v>27</v>
      </c>
      <c r="D4397" s="84">
        <v>16</v>
      </c>
      <c r="E4397" s="85">
        <v>24417.040000000001</v>
      </c>
      <c r="F4397" s="85">
        <v>16608.68</v>
      </c>
      <c r="G4397" s="85">
        <v>-7808.36</v>
      </c>
    </row>
    <row r="4398" spans="1:7" x14ac:dyDescent="0.3">
      <c r="A4398" s="84">
        <v>2026</v>
      </c>
      <c r="B4398" s="84" t="s">
        <v>398</v>
      </c>
      <c r="C4398" s="84">
        <v>27</v>
      </c>
      <c r="D4398" s="84">
        <v>17</v>
      </c>
      <c r="E4398" s="85">
        <v>24417.040000000001</v>
      </c>
      <c r="F4398" s="85">
        <v>17000.96</v>
      </c>
      <c r="G4398" s="85">
        <v>-7416.08</v>
      </c>
    </row>
    <row r="4399" spans="1:7" x14ac:dyDescent="0.3">
      <c r="A4399" s="84">
        <v>2026</v>
      </c>
      <c r="B4399" s="84" t="s">
        <v>398</v>
      </c>
      <c r="C4399" s="84">
        <v>27</v>
      </c>
      <c r="D4399" s="84">
        <v>18</v>
      </c>
      <c r="E4399" s="85">
        <v>24417.040000000001</v>
      </c>
      <c r="F4399" s="85">
        <v>17394.5</v>
      </c>
      <c r="G4399" s="85">
        <v>-7022.54</v>
      </c>
    </row>
    <row r="4400" spans="1:7" x14ac:dyDescent="0.3">
      <c r="A4400" s="84">
        <v>2026</v>
      </c>
      <c r="B4400" s="84" t="s">
        <v>398</v>
      </c>
      <c r="C4400" s="84">
        <v>27</v>
      </c>
      <c r="D4400" s="84">
        <v>19</v>
      </c>
      <c r="E4400" s="85">
        <v>24417.040000000001</v>
      </c>
      <c r="F4400" s="85">
        <v>17787.62</v>
      </c>
      <c r="G4400" s="85">
        <v>-6629.42</v>
      </c>
    </row>
    <row r="4401" spans="1:7" x14ac:dyDescent="0.3">
      <c r="A4401" s="84">
        <v>2026</v>
      </c>
      <c r="B4401" s="84" t="s">
        <v>398</v>
      </c>
      <c r="C4401" s="84">
        <v>27</v>
      </c>
      <c r="D4401" s="84">
        <v>20</v>
      </c>
      <c r="E4401" s="85">
        <v>24417.040000000001</v>
      </c>
      <c r="F4401" s="85">
        <v>18180.599999999999</v>
      </c>
      <c r="G4401" s="85">
        <v>-6236.44</v>
      </c>
    </row>
    <row r="4402" spans="1:7" x14ac:dyDescent="0.3">
      <c r="A4402" s="84">
        <v>2026</v>
      </c>
      <c r="B4402" s="84" t="s">
        <v>398</v>
      </c>
      <c r="C4402" s="84">
        <v>27</v>
      </c>
      <c r="D4402" s="84">
        <v>21</v>
      </c>
      <c r="E4402" s="85">
        <v>24417.040000000001</v>
      </c>
      <c r="F4402" s="85">
        <v>18770</v>
      </c>
      <c r="G4402" s="85">
        <v>-5647.04</v>
      </c>
    </row>
    <row r="4403" spans="1:7" x14ac:dyDescent="0.3">
      <c r="A4403" s="84">
        <v>2026</v>
      </c>
      <c r="B4403" s="84" t="s">
        <v>398</v>
      </c>
      <c r="C4403" s="84">
        <v>27</v>
      </c>
      <c r="D4403" s="84">
        <v>22</v>
      </c>
      <c r="E4403" s="85">
        <v>24417.040000000001</v>
      </c>
      <c r="F4403" s="85">
        <v>19408.68</v>
      </c>
      <c r="G4403" s="85">
        <v>-5008.3599999999997</v>
      </c>
    </row>
    <row r="4404" spans="1:7" x14ac:dyDescent="0.3">
      <c r="A4404" s="84">
        <v>2026</v>
      </c>
      <c r="B4404" s="84" t="s">
        <v>398</v>
      </c>
      <c r="C4404" s="84">
        <v>27</v>
      </c>
      <c r="D4404" s="84">
        <v>23</v>
      </c>
      <c r="E4404" s="85">
        <v>24417.040000000001</v>
      </c>
      <c r="F4404" s="85">
        <v>20049.18</v>
      </c>
      <c r="G4404" s="85">
        <v>-4367.8599999999997</v>
      </c>
    </row>
    <row r="4405" spans="1:7" x14ac:dyDescent="0.3">
      <c r="A4405" s="84">
        <v>2026</v>
      </c>
      <c r="B4405" s="84" t="s">
        <v>398</v>
      </c>
      <c r="C4405" s="84">
        <v>27</v>
      </c>
      <c r="D4405" s="84">
        <v>24</v>
      </c>
      <c r="E4405" s="85">
        <v>24417.040000000001</v>
      </c>
      <c r="F4405" s="85">
        <v>20688.419999999998</v>
      </c>
      <c r="G4405" s="85">
        <v>-3728.62</v>
      </c>
    </row>
    <row r="4406" spans="1:7" x14ac:dyDescent="0.3">
      <c r="A4406" s="84">
        <v>2026</v>
      </c>
      <c r="B4406" s="84" t="s">
        <v>398</v>
      </c>
      <c r="C4406" s="84">
        <v>27</v>
      </c>
      <c r="D4406" s="84">
        <v>25</v>
      </c>
      <c r="E4406" s="85">
        <v>24417.040000000001</v>
      </c>
      <c r="F4406" s="85">
        <v>21328.5</v>
      </c>
      <c r="G4406" s="85">
        <v>-3088.54</v>
      </c>
    </row>
    <row r="4407" spans="1:7" x14ac:dyDescent="0.3">
      <c r="A4407" s="84">
        <v>2026</v>
      </c>
      <c r="B4407" s="84" t="s">
        <v>398</v>
      </c>
      <c r="C4407" s="84">
        <v>27</v>
      </c>
      <c r="D4407" s="84">
        <v>26</v>
      </c>
      <c r="E4407" s="85">
        <v>24417.040000000001</v>
      </c>
      <c r="F4407" s="85">
        <v>22707.78</v>
      </c>
      <c r="G4407" s="85">
        <v>-1709.26</v>
      </c>
    </row>
    <row r="4408" spans="1:7" x14ac:dyDescent="0.3">
      <c r="A4408" s="84">
        <v>2026</v>
      </c>
      <c r="B4408" s="84" t="s">
        <v>398</v>
      </c>
      <c r="C4408" s="84">
        <v>27</v>
      </c>
      <c r="D4408" s="84">
        <v>27</v>
      </c>
      <c r="E4408" s="85">
        <v>24417.040000000001</v>
      </c>
      <c r="F4408" s="85">
        <v>24417.040000000001</v>
      </c>
      <c r="G4408" s="85">
        <v>0</v>
      </c>
    </row>
    <row r="4409" spans="1:7" x14ac:dyDescent="0.3">
      <c r="A4409" s="84">
        <v>2026</v>
      </c>
      <c r="B4409" s="84" t="s">
        <v>398</v>
      </c>
      <c r="C4409" s="84">
        <v>27</v>
      </c>
      <c r="D4409" s="84">
        <v>28</v>
      </c>
      <c r="E4409" s="85">
        <v>24417.040000000001</v>
      </c>
      <c r="F4409" s="85">
        <v>25057.54</v>
      </c>
      <c r="G4409" s="85">
        <v>640.5</v>
      </c>
    </row>
    <row r="4410" spans="1:7" x14ac:dyDescent="0.3">
      <c r="A4410" s="84">
        <v>2026</v>
      </c>
      <c r="B4410" s="84" t="s">
        <v>398</v>
      </c>
      <c r="C4410" s="84">
        <v>27</v>
      </c>
      <c r="D4410" s="84">
        <v>29</v>
      </c>
      <c r="E4410" s="85">
        <v>24417.040000000001</v>
      </c>
      <c r="F4410" s="85">
        <v>25696.92</v>
      </c>
      <c r="G4410" s="85">
        <v>1279.8800000000001</v>
      </c>
    </row>
    <row r="4411" spans="1:7" x14ac:dyDescent="0.3">
      <c r="A4411" s="84">
        <v>2026</v>
      </c>
      <c r="B4411" s="84" t="s">
        <v>398</v>
      </c>
      <c r="C4411" s="84">
        <v>27</v>
      </c>
      <c r="D4411" s="84">
        <v>30</v>
      </c>
      <c r="E4411" s="85">
        <v>24417.040000000001</v>
      </c>
      <c r="F4411" s="85">
        <v>27445.24</v>
      </c>
      <c r="G4411" s="85">
        <v>3028.2</v>
      </c>
    </row>
    <row r="4412" spans="1:7" x14ac:dyDescent="0.3">
      <c r="A4412" s="84">
        <v>2026</v>
      </c>
      <c r="B4412" s="84" t="s">
        <v>398</v>
      </c>
      <c r="C4412" s="84">
        <v>28</v>
      </c>
      <c r="D4412" s="84">
        <v>1</v>
      </c>
      <c r="E4412" s="85">
        <v>25057.54</v>
      </c>
      <c r="F4412" s="85">
        <v>12087.8</v>
      </c>
      <c r="G4412" s="85">
        <v>-12969.74</v>
      </c>
    </row>
    <row r="4413" spans="1:7" x14ac:dyDescent="0.3">
      <c r="A4413" s="84">
        <v>2026</v>
      </c>
      <c r="B4413" s="84" t="s">
        <v>398</v>
      </c>
      <c r="C4413" s="84">
        <v>28</v>
      </c>
      <c r="D4413" s="84">
        <v>2</v>
      </c>
      <c r="E4413" s="85">
        <v>25057.54</v>
      </c>
      <c r="F4413" s="85">
        <v>12382.22</v>
      </c>
      <c r="G4413" s="85">
        <v>-12675.32</v>
      </c>
    </row>
    <row r="4414" spans="1:7" x14ac:dyDescent="0.3">
      <c r="A4414" s="84">
        <v>2026</v>
      </c>
      <c r="B4414" s="84" t="s">
        <v>398</v>
      </c>
      <c r="C4414" s="84">
        <v>28</v>
      </c>
      <c r="D4414" s="84">
        <v>3</v>
      </c>
      <c r="E4414" s="85">
        <v>25057.54</v>
      </c>
      <c r="F4414" s="85">
        <v>12677.2</v>
      </c>
      <c r="G4414" s="85">
        <v>-12380.34</v>
      </c>
    </row>
    <row r="4415" spans="1:7" x14ac:dyDescent="0.3">
      <c r="A4415" s="84">
        <v>2026</v>
      </c>
      <c r="B4415" s="84" t="s">
        <v>398</v>
      </c>
      <c r="C4415" s="84">
        <v>28</v>
      </c>
      <c r="D4415" s="84">
        <v>4</v>
      </c>
      <c r="E4415" s="85">
        <v>25057.54</v>
      </c>
      <c r="F4415" s="85">
        <v>12971.34</v>
      </c>
      <c r="G4415" s="85">
        <v>-12086.2</v>
      </c>
    </row>
    <row r="4416" spans="1:7" x14ac:dyDescent="0.3">
      <c r="A4416" s="84">
        <v>2026</v>
      </c>
      <c r="B4416" s="84" t="s">
        <v>398</v>
      </c>
      <c r="C4416" s="84">
        <v>28</v>
      </c>
      <c r="D4416" s="84">
        <v>5</v>
      </c>
      <c r="E4416" s="85">
        <v>25057.54</v>
      </c>
      <c r="F4416" s="85">
        <v>13266.04</v>
      </c>
      <c r="G4416" s="85">
        <v>-11791.5</v>
      </c>
    </row>
    <row r="4417" spans="1:7" x14ac:dyDescent="0.3">
      <c r="A4417" s="84">
        <v>2026</v>
      </c>
      <c r="B4417" s="84" t="s">
        <v>398</v>
      </c>
      <c r="C4417" s="84">
        <v>28</v>
      </c>
      <c r="D4417" s="84">
        <v>6</v>
      </c>
      <c r="E4417" s="85">
        <v>25057.54</v>
      </c>
      <c r="F4417" s="85">
        <v>13462.74</v>
      </c>
      <c r="G4417" s="85">
        <v>-11594.8</v>
      </c>
    </row>
    <row r="4418" spans="1:7" x14ac:dyDescent="0.3">
      <c r="A4418" s="84">
        <v>2026</v>
      </c>
      <c r="B4418" s="84" t="s">
        <v>398</v>
      </c>
      <c r="C4418" s="84">
        <v>28</v>
      </c>
      <c r="D4418" s="84">
        <v>7</v>
      </c>
      <c r="E4418" s="85">
        <v>25057.54</v>
      </c>
      <c r="F4418" s="85">
        <v>13659.44</v>
      </c>
      <c r="G4418" s="85">
        <v>-11398.1</v>
      </c>
    </row>
    <row r="4419" spans="1:7" x14ac:dyDescent="0.3">
      <c r="A4419" s="84">
        <v>2026</v>
      </c>
      <c r="B4419" s="84" t="s">
        <v>398</v>
      </c>
      <c r="C4419" s="84">
        <v>28</v>
      </c>
      <c r="D4419" s="84">
        <v>8</v>
      </c>
      <c r="E4419" s="85">
        <v>25057.54</v>
      </c>
      <c r="F4419" s="85">
        <v>13855.72</v>
      </c>
      <c r="G4419" s="85">
        <v>-11201.82</v>
      </c>
    </row>
    <row r="4420" spans="1:7" x14ac:dyDescent="0.3">
      <c r="A4420" s="84">
        <v>2026</v>
      </c>
      <c r="B4420" s="84" t="s">
        <v>398</v>
      </c>
      <c r="C4420" s="84">
        <v>28</v>
      </c>
      <c r="D4420" s="84">
        <v>9</v>
      </c>
      <c r="E4420" s="85">
        <v>25057.54</v>
      </c>
      <c r="F4420" s="85">
        <v>14052.84</v>
      </c>
      <c r="G4420" s="85">
        <v>-11004.7</v>
      </c>
    </row>
    <row r="4421" spans="1:7" x14ac:dyDescent="0.3">
      <c r="A4421" s="84">
        <v>2026</v>
      </c>
      <c r="B4421" s="84" t="s">
        <v>398</v>
      </c>
      <c r="C4421" s="84">
        <v>28</v>
      </c>
      <c r="D4421" s="84">
        <v>10</v>
      </c>
      <c r="E4421" s="85">
        <v>25057.54</v>
      </c>
      <c r="F4421" s="85">
        <v>14249.26</v>
      </c>
      <c r="G4421" s="85">
        <v>-10808.28</v>
      </c>
    </row>
    <row r="4422" spans="1:7" x14ac:dyDescent="0.3">
      <c r="A4422" s="84">
        <v>2026</v>
      </c>
      <c r="B4422" s="84" t="s">
        <v>398</v>
      </c>
      <c r="C4422" s="84">
        <v>28</v>
      </c>
      <c r="D4422" s="84">
        <v>11</v>
      </c>
      <c r="E4422" s="85">
        <v>25057.54</v>
      </c>
      <c r="F4422" s="85">
        <v>14641.82</v>
      </c>
      <c r="G4422" s="85">
        <v>-10415.719999999999</v>
      </c>
    </row>
    <row r="4423" spans="1:7" x14ac:dyDescent="0.3">
      <c r="A4423" s="84">
        <v>2026</v>
      </c>
      <c r="B4423" s="84" t="s">
        <v>398</v>
      </c>
      <c r="C4423" s="84">
        <v>28</v>
      </c>
      <c r="D4423" s="84">
        <v>12</v>
      </c>
      <c r="E4423" s="85">
        <v>25057.54</v>
      </c>
      <c r="F4423" s="85">
        <v>15035.36</v>
      </c>
      <c r="G4423" s="85">
        <v>-10022.18</v>
      </c>
    </row>
    <row r="4424" spans="1:7" x14ac:dyDescent="0.3">
      <c r="A4424" s="84">
        <v>2026</v>
      </c>
      <c r="B4424" s="84" t="s">
        <v>398</v>
      </c>
      <c r="C4424" s="84">
        <v>28</v>
      </c>
      <c r="D4424" s="84">
        <v>13</v>
      </c>
      <c r="E4424" s="85">
        <v>25057.54</v>
      </c>
      <c r="F4424" s="85">
        <v>15428.62</v>
      </c>
      <c r="G4424" s="85">
        <v>-9628.92</v>
      </c>
    </row>
    <row r="4425" spans="1:7" x14ac:dyDescent="0.3">
      <c r="A4425" s="84">
        <v>2026</v>
      </c>
      <c r="B4425" s="84" t="s">
        <v>398</v>
      </c>
      <c r="C4425" s="84">
        <v>28</v>
      </c>
      <c r="D4425" s="84">
        <v>14</v>
      </c>
      <c r="E4425" s="85">
        <v>25057.54</v>
      </c>
      <c r="F4425" s="85">
        <v>15822.44</v>
      </c>
      <c r="G4425" s="85">
        <v>-9235.1</v>
      </c>
    </row>
    <row r="4426" spans="1:7" x14ac:dyDescent="0.3">
      <c r="A4426" s="84">
        <v>2026</v>
      </c>
      <c r="B4426" s="84" t="s">
        <v>398</v>
      </c>
      <c r="C4426" s="84">
        <v>28</v>
      </c>
      <c r="D4426" s="84">
        <v>15</v>
      </c>
      <c r="E4426" s="85">
        <v>25057.54</v>
      </c>
      <c r="F4426" s="85">
        <v>16214.72</v>
      </c>
      <c r="G4426" s="85">
        <v>-8842.82</v>
      </c>
    </row>
    <row r="4427" spans="1:7" x14ac:dyDescent="0.3">
      <c r="A4427" s="84">
        <v>2026</v>
      </c>
      <c r="B4427" s="84" t="s">
        <v>398</v>
      </c>
      <c r="C4427" s="84">
        <v>28</v>
      </c>
      <c r="D4427" s="84">
        <v>16</v>
      </c>
      <c r="E4427" s="85">
        <v>25057.54</v>
      </c>
      <c r="F4427" s="85">
        <v>16608.68</v>
      </c>
      <c r="G4427" s="85">
        <v>-8448.86</v>
      </c>
    </row>
    <row r="4428" spans="1:7" x14ac:dyDescent="0.3">
      <c r="A4428" s="84">
        <v>2026</v>
      </c>
      <c r="B4428" s="84" t="s">
        <v>398</v>
      </c>
      <c r="C4428" s="84">
        <v>28</v>
      </c>
      <c r="D4428" s="84">
        <v>17</v>
      </c>
      <c r="E4428" s="85">
        <v>25057.54</v>
      </c>
      <c r="F4428" s="85">
        <v>17000.96</v>
      </c>
      <c r="G4428" s="85">
        <v>-8056.58</v>
      </c>
    </row>
    <row r="4429" spans="1:7" x14ac:dyDescent="0.3">
      <c r="A4429" s="84">
        <v>2026</v>
      </c>
      <c r="B4429" s="84" t="s">
        <v>398</v>
      </c>
      <c r="C4429" s="84">
        <v>28</v>
      </c>
      <c r="D4429" s="84">
        <v>18</v>
      </c>
      <c r="E4429" s="85">
        <v>25057.54</v>
      </c>
      <c r="F4429" s="85">
        <v>17394.5</v>
      </c>
      <c r="G4429" s="85">
        <v>-7663.04</v>
      </c>
    </row>
    <row r="4430" spans="1:7" x14ac:dyDescent="0.3">
      <c r="A4430" s="84">
        <v>2026</v>
      </c>
      <c r="B4430" s="84" t="s">
        <v>398</v>
      </c>
      <c r="C4430" s="84">
        <v>28</v>
      </c>
      <c r="D4430" s="84">
        <v>19</v>
      </c>
      <c r="E4430" s="85">
        <v>25057.54</v>
      </c>
      <c r="F4430" s="85">
        <v>17787.62</v>
      </c>
      <c r="G4430" s="85">
        <v>-7269.92</v>
      </c>
    </row>
    <row r="4431" spans="1:7" x14ac:dyDescent="0.3">
      <c r="A4431" s="84">
        <v>2026</v>
      </c>
      <c r="B4431" s="84" t="s">
        <v>398</v>
      </c>
      <c r="C4431" s="84">
        <v>28</v>
      </c>
      <c r="D4431" s="84">
        <v>20</v>
      </c>
      <c r="E4431" s="85">
        <v>25057.54</v>
      </c>
      <c r="F4431" s="85">
        <v>18180.599999999999</v>
      </c>
      <c r="G4431" s="85">
        <v>-6876.94</v>
      </c>
    </row>
    <row r="4432" spans="1:7" x14ac:dyDescent="0.3">
      <c r="A4432" s="84">
        <v>2026</v>
      </c>
      <c r="B4432" s="84" t="s">
        <v>398</v>
      </c>
      <c r="C4432" s="84">
        <v>28</v>
      </c>
      <c r="D4432" s="84">
        <v>21</v>
      </c>
      <c r="E4432" s="85">
        <v>25057.54</v>
      </c>
      <c r="F4432" s="85">
        <v>18770</v>
      </c>
      <c r="G4432" s="85">
        <v>-6287.54</v>
      </c>
    </row>
    <row r="4433" spans="1:7" x14ac:dyDescent="0.3">
      <c r="A4433" s="84">
        <v>2026</v>
      </c>
      <c r="B4433" s="84" t="s">
        <v>398</v>
      </c>
      <c r="C4433" s="84">
        <v>28</v>
      </c>
      <c r="D4433" s="84">
        <v>22</v>
      </c>
      <c r="E4433" s="85">
        <v>25057.54</v>
      </c>
      <c r="F4433" s="85">
        <v>19408.68</v>
      </c>
      <c r="G4433" s="85">
        <v>-5648.86</v>
      </c>
    </row>
    <row r="4434" spans="1:7" x14ac:dyDescent="0.3">
      <c r="A4434" s="84">
        <v>2026</v>
      </c>
      <c r="B4434" s="84" t="s">
        <v>398</v>
      </c>
      <c r="C4434" s="84">
        <v>28</v>
      </c>
      <c r="D4434" s="84">
        <v>23</v>
      </c>
      <c r="E4434" s="85">
        <v>25057.54</v>
      </c>
      <c r="F4434" s="85">
        <v>20049.18</v>
      </c>
      <c r="G4434" s="85">
        <v>-5008.3599999999997</v>
      </c>
    </row>
    <row r="4435" spans="1:7" x14ac:dyDescent="0.3">
      <c r="A4435" s="84">
        <v>2026</v>
      </c>
      <c r="B4435" s="84" t="s">
        <v>398</v>
      </c>
      <c r="C4435" s="84">
        <v>28</v>
      </c>
      <c r="D4435" s="84">
        <v>24</v>
      </c>
      <c r="E4435" s="85">
        <v>25057.54</v>
      </c>
      <c r="F4435" s="85">
        <v>20688.419999999998</v>
      </c>
      <c r="G4435" s="85">
        <v>-4369.12</v>
      </c>
    </row>
    <row r="4436" spans="1:7" x14ac:dyDescent="0.3">
      <c r="A4436" s="84">
        <v>2026</v>
      </c>
      <c r="B4436" s="84" t="s">
        <v>398</v>
      </c>
      <c r="C4436" s="84">
        <v>28</v>
      </c>
      <c r="D4436" s="84">
        <v>25</v>
      </c>
      <c r="E4436" s="85">
        <v>25057.54</v>
      </c>
      <c r="F4436" s="85">
        <v>21328.5</v>
      </c>
      <c r="G4436" s="85">
        <v>-3729.04</v>
      </c>
    </row>
    <row r="4437" spans="1:7" x14ac:dyDescent="0.3">
      <c r="A4437" s="84">
        <v>2026</v>
      </c>
      <c r="B4437" s="84" t="s">
        <v>398</v>
      </c>
      <c r="C4437" s="84">
        <v>28</v>
      </c>
      <c r="D4437" s="84">
        <v>26</v>
      </c>
      <c r="E4437" s="85">
        <v>25057.54</v>
      </c>
      <c r="F4437" s="85">
        <v>22707.78</v>
      </c>
      <c r="G4437" s="85">
        <v>-2349.7600000000002</v>
      </c>
    </row>
    <row r="4438" spans="1:7" x14ac:dyDescent="0.3">
      <c r="A4438" s="84">
        <v>2026</v>
      </c>
      <c r="B4438" s="84" t="s">
        <v>398</v>
      </c>
      <c r="C4438" s="84">
        <v>28</v>
      </c>
      <c r="D4438" s="84">
        <v>27</v>
      </c>
      <c r="E4438" s="85">
        <v>25057.54</v>
      </c>
      <c r="F4438" s="85">
        <v>24417.040000000001</v>
      </c>
      <c r="G4438" s="85">
        <v>-640.5</v>
      </c>
    </row>
    <row r="4439" spans="1:7" x14ac:dyDescent="0.3">
      <c r="A4439" s="84">
        <v>2026</v>
      </c>
      <c r="B4439" s="84" t="s">
        <v>398</v>
      </c>
      <c r="C4439" s="84">
        <v>28</v>
      </c>
      <c r="D4439" s="84">
        <v>28</v>
      </c>
      <c r="E4439" s="85">
        <v>25057.54</v>
      </c>
      <c r="F4439" s="85">
        <v>25057.54</v>
      </c>
      <c r="G4439" s="85">
        <v>0</v>
      </c>
    </row>
    <row r="4440" spans="1:7" x14ac:dyDescent="0.3">
      <c r="A4440" s="84">
        <v>2026</v>
      </c>
      <c r="B4440" s="84" t="s">
        <v>398</v>
      </c>
      <c r="C4440" s="84">
        <v>28</v>
      </c>
      <c r="D4440" s="84">
        <v>29</v>
      </c>
      <c r="E4440" s="85">
        <v>25057.54</v>
      </c>
      <c r="F4440" s="85">
        <v>25696.92</v>
      </c>
      <c r="G4440" s="85">
        <v>639.38</v>
      </c>
    </row>
    <row r="4441" spans="1:7" x14ac:dyDescent="0.3">
      <c r="A4441" s="84">
        <v>2026</v>
      </c>
      <c r="B4441" s="84" t="s">
        <v>398</v>
      </c>
      <c r="C4441" s="84">
        <v>28</v>
      </c>
      <c r="D4441" s="84">
        <v>30</v>
      </c>
      <c r="E4441" s="85">
        <v>25057.54</v>
      </c>
      <c r="F4441" s="85">
        <v>27445.24</v>
      </c>
      <c r="G4441" s="85">
        <v>2387.6999999999998</v>
      </c>
    </row>
    <row r="4442" spans="1:7" x14ac:dyDescent="0.3">
      <c r="A4442" s="84">
        <v>2026</v>
      </c>
      <c r="B4442" s="84" t="s">
        <v>398</v>
      </c>
      <c r="C4442" s="84">
        <v>29</v>
      </c>
      <c r="D4442" s="84">
        <v>1</v>
      </c>
      <c r="E4442" s="85">
        <v>25696.92</v>
      </c>
      <c r="F4442" s="85">
        <v>12087.8</v>
      </c>
      <c r="G4442" s="85">
        <v>-13609.12</v>
      </c>
    </row>
    <row r="4443" spans="1:7" x14ac:dyDescent="0.3">
      <c r="A4443" s="84">
        <v>2026</v>
      </c>
      <c r="B4443" s="84" t="s">
        <v>398</v>
      </c>
      <c r="C4443" s="84">
        <v>29</v>
      </c>
      <c r="D4443" s="84">
        <v>2</v>
      </c>
      <c r="E4443" s="85">
        <v>25696.92</v>
      </c>
      <c r="F4443" s="85">
        <v>12382.22</v>
      </c>
      <c r="G4443" s="85">
        <v>-13314.7</v>
      </c>
    </row>
    <row r="4444" spans="1:7" x14ac:dyDescent="0.3">
      <c r="A4444" s="84">
        <v>2026</v>
      </c>
      <c r="B4444" s="84" t="s">
        <v>398</v>
      </c>
      <c r="C4444" s="84">
        <v>29</v>
      </c>
      <c r="D4444" s="84">
        <v>3</v>
      </c>
      <c r="E4444" s="85">
        <v>25696.92</v>
      </c>
      <c r="F4444" s="85">
        <v>12677.2</v>
      </c>
      <c r="G4444" s="85">
        <v>-13019.72</v>
      </c>
    </row>
    <row r="4445" spans="1:7" x14ac:dyDescent="0.3">
      <c r="A4445" s="84">
        <v>2026</v>
      </c>
      <c r="B4445" s="84" t="s">
        <v>398</v>
      </c>
      <c r="C4445" s="84">
        <v>29</v>
      </c>
      <c r="D4445" s="84">
        <v>4</v>
      </c>
      <c r="E4445" s="85">
        <v>25696.92</v>
      </c>
      <c r="F4445" s="85">
        <v>12971.34</v>
      </c>
      <c r="G4445" s="85">
        <v>-12725.58</v>
      </c>
    </row>
    <row r="4446" spans="1:7" x14ac:dyDescent="0.3">
      <c r="A4446" s="84">
        <v>2026</v>
      </c>
      <c r="B4446" s="84" t="s">
        <v>398</v>
      </c>
      <c r="C4446" s="84">
        <v>29</v>
      </c>
      <c r="D4446" s="84">
        <v>5</v>
      </c>
      <c r="E4446" s="85">
        <v>25696.92</v>
      </c>
      <c r="F4446" s="85">
        <v>13266.04</v>
      </c>
      <c r="G4446" s="85">
        <v>-12430.88</v>
      </c>
    </row>
    <row r="4447" spans="1:7" x14ac:dyDescent="0.3">
      <c r="A4447" s="84">
        <v>2026</v>
      </c>
      <c r="B4447" s="84" t="s">
        <v>398</v>
      </c>
      <c r="C4447" s="84">
        <v>29</v>
      </c>
      <c r="D4447" s="84">
        <v>6</v>
      </c>
      <c r="E4447" s="85">
        <v>25696.92</v>
      </c>
      <c r="F4447" s="85">
        <v>13462.74</v>
      </c>
      <c r="G4447" s="85">
        <v>-12234.18</v>
      </c>
    </row>
    <row r="4448" spans="1:7" x14ac:dyDescent="0.3">
      <c r="A4448" s="84">
        <v>2026</v>
      </c>
      <c r="B4448" s="84" t="s">
        <v>398</v>
      </c>
      <c r="C4448" s="84">
        <v>29</v>
      </c>
      <c r="D4448" s="84">
        <v>7</v>
      </c>
      <c r="E4448" s="85">
        <v>25696.92</v>
      </c>
      <c r="F4448" s="85">
        <v>13659.44</v>
      </c>
      <c r="G4448" s="85">
        <v>-12037.48</v>
      </c>
    </row>
    <row r="4449" spans="1:7" x14ac:dyDescent="0.3">
      <c r="A4449" s="84">
        <v>2026</v>
      </c>
      <c r="B4449" s="84" t="s">
        <v>398</v>
      </c>
      <c r="C4449" s="84">
        <v>29</v>
      </c>
      <c r="D4449" s="84">
        <v>8</v>
      </c>
      <c r="E4449" s="85">
        <v>25696.92</v>
      </c>
      <c r="F4449" s="85">
        <v>13855.72</v>
      </c>
      <c r="G4449" s="85">
        <v>-11841.2</v>
      </c>
    </row>
    <row r="4450" spans="1:7" x14ac:dyDescent="0.3">
      <c r="A4450" s="84">
        <v>2026</v>
      </c>
      <c r="B4450" s="84" t="s">
        <v>398</v>
      </c>
      <c r="C4450" s="84">
        <v>29</v>
      </c>
      <c r="D4450" s="84">
        <v>9</v>
      </c>
      <c r="E4450" s="85">
        <v>25696.92</v>
      </c>
      <c r="F4450" s="85">
        <v>14052.84</v>
      </c>
      <c r="G4450" s="85">
        <v>-11644.08</v>
      </c>
    </row>
    <row r="4451" spans="1:7" x14ac:dyDescent="0.3">
      <c r="A4451" s="84">
        <v>2026</v>
      </c>
      <c r="B4451" s="84" t="s">
        <v>398</v>
      </c>
      <c r="C4451" s="84">
        <v>29</v>
      </c>
      <c r="D4451" s="84">
        <v>10</v>
      </c>
      <c r="E4451" s="85">
        <v>25696.92</v>
      </c>
      <c r="F4451" s="85">
        <v>14249.26</v>
      </c>
      <c r="G4451" s="85">
        <v>-11447.66</v>
      </c>
    </row>
    <row r="4452" spans="1:7" x14ac:dyDescent="0.3">
      <c r="A4452" s="84">
        <v>2026</v>
      </c>
      <c r="B4452" s="84" t="s">
        <v>398</v>
      </c>
      <c r="C4452" s="84">
        <v>29</v>
      </c>
      <c r="D4452" s="84">
        <v>11</v>
      </c>
      <c r="E4452" s="85">
        <v>25696.92</v>
      </c>
      <c r="F4452" s="85">
        <v>14641.82</v>
      </c>
      <c r="G4452" s="85">
        <v>-11055.1</v>
      </c>
    </row>
    <row r="4453" spans="1:7" x14ac:dyDescent="0.3">
      <c r="A4453" s="84">
        <v>2026</v>
      </c>
      <c r="B4453" s="84" t="s">
        <v>398</v>
      </c>
      <c r="C4453" s="84">
        <v>29</v>
      </c>
      <c r="D4453" s="84">
        <v>12</v>
      </c>
      <c r="E4453" s="85">
        <v>25696.92</v>
      </c>
      <c r="F4453" s="85">
        <v>15035.36</v>
      </c>
      <c r="G4453" s="85">
        <v>-10661.56</v>
      </c>
    </row>
    <row r="4454" spans="1:7" x14ac:dyDescent="0.3">
      <c r="A4454" s="84">
        <v>2026</v>
      </c>
      <c r="B4454" s="84" t="s">
        <v>398</v>
      </c>
      <c r="C4454" s="84">
        <v>29</v>
      </c>
      <c r="D4454" s="84">
        <v>13</v>
      </c>
      <c r="E4454" s="85">
        <v>25696.92</v>
      </c>
      <c r="F4454" s="85">
        <v>15428.62</v>
      </c>
      <c r="G4454" s="85">
        <v>-10268.299999999999</v>
      </c>
    </row>
    <row r="4455" spans="1:7" x14ac:dyDescent="0.3">
      <c r="A4455" s="84">
        <v>2026</v>
      </c>
      <c r="B4455" s="84" t="s">
        <v>398</v>
      </c>
      <c r="C4455" s="84">
        <v>29</v>
      </c>
      <c r="D4455" s="84">
        <v>14</v>
      </c>
      <c r="E4455" s="85">
        <v>25696.92</v>
      </c>
      <c r="F4455" s="85">
        <v>15822.44</v>
      </c>
      <c r="G4455" s="85">
        <v>-9874.48</v>
      </c>
    </row>
    <row r="4456" spans="1:7" x14ac:dyDescent="0.3">
      <c r="A4456" s="84">
        <v>2026</v>
      </c>
      <c r="B4456" s="84" t="s">
        <v>398</v>
      </c>
      <c r="C4456" s="84">
        <v>29</v>
      </c>
      <c r="D4456" s="84">
        <v>15</v>
      </c>
      <c r="E4456" s="85">
        <v>25696.92</v>
      </c>
      <c r="F4456" s="85">
        <v>16214.72</v>
      </c>
      <c r="G4456" s="85">
        <v>-9482.2000000000007</v>
      </c>
    </row>
    <row r="4457" spans="1:7" x14ac:dyDescent="0.3">
      <c r="A4457" s="84">
        <v>2026</v>
      </c>
      <c r="B4457" s="84" t="s">
        <v>398</v>
      </c>
      <c r="C4457" s="84">
        <v>29</v>
      </c>
      <c r="D4457" s="84">
        <v>16</v>
      </c>
      <c r="E4457" s="85">
        <v>25696.92</v>
      </c>
      <c r="F4457" s="85">
        <v>16608.68</v>
      </c>
      <c r="G4457" s="85">
        <v>-9088.24</v>
      </c>
    </row>
    <row r="4458" spans="1:7" x14ac:dyDescent="0.3">
      <c r="A4458" s="84">
        <v>2026</v>
      </c>
      <c r="B4458" s="84" t="s">
        <v>398</v>
      </c>
      <c r="C4458" s="84">
        <v>29</v>
      </c>
      <c r="D4458" s="84">
        <v>17</v>
      </c>
      <c r="E4458" s="85">
        <v>25696.92</v>
      </c>
      <c r="F4458" s="85">
        <v>17000.96</v>
      </c>
      <c r="G4458" s="85">
        <v>-8695.9599999999991</v>
      </c>
    </row>
    <row r="4459" spans="1:7" x14ac:dyDescent="0.3">
      <c r="A4459" s="84">
        <v>2026</v>
      </c>
      <c r="B4459" s="84" t="s">
        <v>398</v>
      </c>
      <c r="C4459" s="84">
        <v>29</v>
      </c>
      <c r="D4459" s="84">
        <v>18</v>
      </c>
      <c r="E4459" s="85">
        <v>25696.92</v>
      </c>
      <c r="F4459" s="85">
        <v>17394.5</v>
      </c>
      <c r="G4459" s="85">
        <v>-8302.42</v>
      </c>
    </row>
    <row r="4460" spans="1:7" x14ac:dyDescent="0.3">
      <c r="A4460" s="84">
        <v>2026</v>
      </c>
      <c r="B4460" s="84" t="s">
        <v>398</v>
      </c>
      <c r="C4460" s="84">
        <v>29</v>
      </c>
      <c r="D4460" s="84">
        <v>19</v>
      </c>
      <c r="E4460" s="85">
        <v>25696.92</v>
      </c>
      <c r="F4460" s="85">
        <v>17787.62</v>
      </c>
      <c r="G4460" s="85">
        <v>-7909.3</v>
      </c>
    </row>
    <row r="4461" spans="1:7" x14ac:dyDescent="0.3">
      <c r="A4461" s="84">
        <v>2026</v>
      </c>
      <c r="B4461" s="84" t="s">
        <v>398</v>
      </c>
      <c r="C4461" s="84">
        <v>29</v>
      </c>
      <c r="D4461" s="84">
        <v>20</v>
      </c>
      <c r="E4461" s="85">
        <v>25696.92</v>
      </c>
      <c r="F4461" s="85">
        <v>18180.599999999999</v>
      </c>
      <c r="G4461" s="85">
        <v>-7516.32</v>
      </c>
    </row>
    <row r="4462" spans="1:7" x14ac:dyDescent="0.3">
      <c r="A4462" s="84">
        <v>2026</v>
      </c>
      <c r="B4462" s="84" t="s">
        <v>398</v>
      </c>
      <c r="C4462" s="84">
        <v>29</v>
      </c>
      <c r="D4462" s="84">
        <v>21</v>
      </c>
      <c r="E4462" s="85">
        <v>25696.92</v>
      </c>
      <c r="F4462" s="85">
        <v>18770</v>
      </c>
      <c r="G4462" s="85">
        <v>-6926.92</v>
      </c>
    </row>
    <row r="4463" spans="1:7" x14ac:dyDescent="0.3">
      <c r="A4463" s="84">
        <v>2026</v>
      </c>
      <c r="B4463" s="84" t="s">
        <v>398</v>
      </c>
      <c r="C4463" s="84">
        <v>29</v>
      </c>
      <c r="D4463" s="84">
        <v>22</v>
      </c>
      <c r="E4463" s="85">
        <v>25696.92</v>
      </c>
      <c r="F4463" s="85">
        <v>19408.68</v>
      </c>
      <c r="G4463" s="85">
        <v>-6288.24</v>
      </c>
    </row>
    <row r="4464" spans="1:7" x14ac:dyDescent="0.3">
      <c r="A4464" s="84">
        <v>2026</v>
      </c>
      <c r="B4464" s="84" t="s">
        <v>398</v>
      </c>
      <c r="C4464" s="84">
        <v>29</v>
      </c>
      <c r="D4464" s="84">
        <v>23</v>
      </c>
      <c r="E4464" s="85">
        <v>25696.92</v>
      </c>
      <c r="F4464" s="85">
        <v>20049.18</v>
      </c>
      <c r="G4464" s="85">
        <v>-5647.74</v>
      </c>
    </row>
    <row r="4465" spans="1:7" x14ac:dyDescent="0.3">
      <c r="A4465" s="84">
        <v>2026</v>
      </c>
      <c r="B4465" s="84" t="s">
        <v>398</v>
      </c>
      <c r="C4465" s="84">
        <v>29</v>
      </c>
      <c r="D4465" s="84">
        <v>24</v>
      </c>
      <c r="E4465" s="85">
        <v>25696.92</v>
      </c>
      <c r="F4465" s="85">
        <v>20688.419999999998</v>
      </c>
      <c r="G4465" s="85">
        <v>-5008.5</v>
      </c>
    </row>
    <row r="4466" spans="1:7" x14ac:dyDescent="0.3">
      <c r="A4466" s="84">
        <v>2026</v>
      </c>
      <c r="B4466" s="84" t="s">
        <v>398</v>
      </c>
      <c r="C4466" s="84">
        <v>29</v>
      </c>
      <c r="D4466" s="84">
        <v>25</v>
      </c>
      <c r="E4466" s="85">
        <v>25696.92</v>
      </c>
      <c r="F4466" s="85">
        <v>21328.5</v>
      </c>
      <c r="G4466" s="85">
        <v>-4368.42</v>
      </c>
    </row>
    <row r="4467" spans="1:7" x14ac:dyDescent="0.3">
      <c r="A4467" s="84">
        <v>2026</v>
      </c>
      <c r="B4467" s="84" t="s">
        <v>398</v>
      </c>
      <c r="C4467" s="84">
        <v>29</v>
      </c>
      <c r="D4467" s="84">
        <v>26</v>
      </c>
      <c r="E4467" s="85">
        <v>25696.92</v>
      </c>
      <c r="F4467" s="85">
        <v>22707.78</v>
      </c>
      <c r="G4467" s="85">
        <v>-2989.14</v>
      </c>
    </row>
    <row r="4468" spans="1:7" x14ac:dyDescent="0.3">
      <c r="A4468" s="84">
        <v>2026</v>
      </c>
      <c r="B4468" s="84" t="s">
        <v>398</v>
      </c>
      <c r="C4468" s="84">
        <v>29</v>
      </c>
      <c r="D4468" s="84">
        <v>27</v>
      </c>
      <c r="E4468" s="85">
        <v>25696.92</v>
      </c>
      <c r="F4468" s="85">
        <v>24417.040000000001</v>
      </c>
      <c r="G4468" s="85">
        <v>-1279.8800000000001</v>
      </c>
    </row>
    <row r="4469" spans="1:7" x14ac:dyDescent="0.3">
      <c r="A4469" s="84">
        <v>2026</v>
      </c>
      <c r="B4469" s="84" t="s">
        <v>398</v>
      </c>
      <c r="C4469" s="84">
        <v>29</v>
      </c>
      <c r="D4469" s="84">
        <v>28</v>
      </c>
      <c r="E4469" s="85">
        <v>25696.92</v>
      </c>
      <c r="F4469" s="85">
        <v>25057.54</v>
      </c>
      <c r="G4469" s="85">
        <v>-639.38</v>
      </c>
    </row>
    <row r="4470" spans="1:7" x14ac:dyDescent="0.3">
      <c r="A4470" s="84">
        <v>2026</v>
      </c>
      <c r="B4470" s="84" t="s">
        <v>398</v>
      </c>
      <c r="C4470" s="84">
        <v>29</v>
      </c>
      <c r="D4470" s="84">
        <v>29</v>
      </c>
      <c r="E4470" s="85">
        <v>25696.92</v>
      </c>
      <c r="F4470" s="85">
        <v>25696.92</v>
      </c>
      <c r="G4470" s="85">
        <v>0</v>
      </c>
    </row>
    <row r="4471" spans="1:7" x14ac:dyDescent="0.3">
      <c r="A4471" s="84">
        <v>2026</v>
      </c>
      <c r="B4471" s="84" t="s">
        <v>398</v>
      </c>
      <c r="C4471" s="84">
        <v>29</v>
      </c>
      <c r="D4471" s="84">
        <v>30</v>
      </c>
      <c r="E4471" s="85">
        <v>25696.92</v>
      </c>
      <c r="F4471" s="85">
        <v>27445.24</v>
      </c>
      <c r="G4471" s="85">
        <v>1748.32</v>
      </c>
    </row>
    <row r="4472" spans="1:7" x14ac:dyDescent="0.3">
      <c r="A4472" s="84">
        <v>2026</v>
      </c>
      <c r="B4472" s="84" t="s">
        <v>398</v>
      </c>
      <c r="C4472" s="84">
        <v>30</v>
      </c>
      <c r="D4472" s="84">
        <v>1</v>
      </c>
      <c r="E4472" s="85">
        <v>27445.24</v>
      </c>
      <c r="F4472" s="85">
        <v>12087.8</v>
      </c>
      <c r="G4472" s="85">
        <v>-15357.44</v>
      </c>
    </row>
    <row r="4473" spans="1:7" x14ac:dyDescent="0.3">
      <c r="A4473" s="84">
        <v>2026</v>
      </c>
      <c r="B4473" s="84" t="s">
        <v>398</v>
      </c>
      <c r="C4473" s="84">
        <v>30</v>
      </c>
      <c r="D4473" s="84">
        <v>2</v>
      </c>
      <c r="E4473" s="85">
        <v>27445.24</v>
      </c>
      <c r="F4473" s="85">
        <v>12382.22</v>
      </c>
      <c r="G4473" s="85">
        <v>-15063.02</v>
      </c>
    </row>
    <row r="4474" spans="1:7" x14ac:dyDescent="0.3">
      <c r="A4474" s="84">
        <v>2026</v>
      </c>
      <c r="B4474" s="84" t="s">
        <v>398</v>
      </c>
      <c r="C4474" s="84">
        <v>30</v>
      </c>
      <c r="D4474" s="84">
        <v>3</v>
      </c>
      <c r="E4474" s="85">
        <v>27445.24</v>
      </c>
      <c r="F4474" s="85">
        <v>12677.2</v>
      </c>
      <c r="G4474" s="85">
        <v>-14768.04</v>
      </c>
    </row>
    <row r="4475" spans="1:7" x14ac:dyDescent="0.3">
      <c r="A4475" s="84">
        <v>2026</v>
      </c>
      <c r="B4475" s="84" t="s">
        <v>398</v>
      </c>
      <c r="C4475" s="84">
        <v>30</v>
      </c>
      <c r="D4475" s="84">
        <v>4</v>
      </c>
      <c r="E4475" s="85">
        <v>27445.24</v>
      </c>
      <c r="F4475" s="85">
        <v>12971.34</v>
      </c>
      <c r="G4475" s="85">
        <v>-14473.9</v>
      </c>
    </row>
    <row r="4476" spans="1:7" x14ac:dyDescent="0.3">
      <c r="A4476" s="84">
        <v>2026</v>
      </c>
      <c r="B4476" s="84" t="s">
        <v>398</v>
      </c>
      <c r="C4476" s="84">
        <v>30</v>
      </c>
      <c r="D4476" s="84">
        <v>5</v>
      </c>
      <c r="E4476" s="85">
        <v>27445.24</v>
      </c>
      <c r="F4476" s="85">
        <v>13266.04</v>
      </c>
      <c r="G4476" s="85">
        <v>-14179.2</v>
      </c>
    </row>
    <row r="4477" spans="1:7" x14ac:dyDescent="0.3">
      <c r="A4477" s="84">
        <v>2026</v>
      </c>
      <c r="B4477" s="84" t="s">
        <v>398</v>
      </c>
      <c r="C4477" s="84">
        <v>30</v>
      </c>
      <c r="D4477" s="84">
        <v>6</v>
      </c>
      <c r="E4477" s="85">
        <v>27445.24</v>
      </c>
      <c r="F4477" s="85">
        <v>13462.74</v>
      </c>
      <c r="G4477" s="85">
        <v>-13982.5</v>
      </c>
    </row>
    <row r="4478" spans="1:7" x14ac:dyDescent="0.3">
      <c r="A4478" s="84">
        <v>2026</v>
      </c>
      <c r="B4478" s="84" t="s">
        <v>398</v>
      </c>
      <c r="C4478" s="84">
        <v>30</v>
      </c>
      <c r="D4478" s="84">
        <v>7</v>
      </c>
      <c r="E4478" s="85">
        <v>27445.24</v>
      </c>
      <c r="F4478" s="85">
        <v>13659.44</v>
      </c>
      <c r="G4478" s="85">
        <v>-13785.8</v>
      </c>
    </row>
    <row r="4479" spans="1:7" x14ac:dyDescent="0.3">
      <c r="A4479" s="84">
        <v>2026</v>
      </c>
      <c r="B4479" s="84" t="s">
        <v>398</v>
      </c>
      <c r="C4479" s="84">
        <v>30</v>
      </c>
      <c r="D4479" s="84">
        <v>8</v>
      </c>
      <c r="E4479" s="85">
        <v>27445.24</v>
      </c>
      <c r="F4479" s="85">
        <v>13855.72</v>
      </c>
      <c r="G4479" s="85">
        <v>-13589.52</v>
      </c>
    </row>
    <row r="4480" spans="1:7" x14ac:dyDescent="0.3">
      <c r="A4480" s="84">
        <v>2026</v>
      </c>
      <c r="B4480" s="84" t="s">
        <v>398</v>
      </c>
      <c r="C4480" s="84">
        <v>30</v>
      </c>
      <c r="D4480" s="84">
        <v>9</v>
      </c>
      <c r="E4480" s="85">
        <v>27445.24</v>
      </c>
      <c r="F4480" s="85">
        <v>14052.84</v>
      </c>
      <c r="G4480" s="85">
        <v>-13392.4</v>
      </c>
    </row>
    <row r="4481" spans="1:7" x14ac:dyDescent="0.3">
      <c r="A4481" s="84">
        <v>2026</v>
      </c>
      <c r="B4481" s="84" t="s">
        <v>398</v>
      </c>
      <c r="C4481" s="84">
        <v>30</v>
      </c>
      <c r="D4481" s="84">
        <v>10</v>
      </c>
      <c r="E4481" s="85">
        <v>27445.24</v>
      </c>
      <c r="F4481" s="85">
        <v>14249.26</v>
      </c>
      <c r="G4481" s="85">
        <v>-13195.98</v>
      </c>
    </row>
    <row r="4482" spans="1:7" x14ac:dyDescent="0.3">
      <c r="A4482" s="84">
        <v>2026</v>
      </c>
      <c r="B4482" s="84" t="s">
        <v>398</v>
      </c>
      <c r="C4482" s="84">
        <v>30</v>
      </c>
      <c r="D4482" s="84">
        <v>11</v>
      </c>
      <c r="E4482" s="85">
        <v>27445.24</v>
      </c>
      <c r="F4482" s="85">
        <v>14641.82</v>
      </c>
      <c r="G4482" s="85">
        <v>-12803.42</v>
      </c>
    </row>
    <row r="4483" spans="1:7" x14ac:dyDescent="0.3">
      <c r="A4483" s="84">
        <v>2026</v>
      </c>
      <c r="B4483" s="84" t="s">
        <v>398</v>
      </c>
      <c r="C4483" s="84">
        <v>30</v>
      </c>
      <c r="D4483" s="84">
        <v>12</v>
      </c>
      <c r="E4483" s="85">
        <v>27445.24</v>
      </c>
      <c r="F4483" s="85">
        <v>15035.36</v>
      </c>
      <c r="G4483" s="85">
        <v>-12409.88</v>
      </c>
    </row>
    <row r="4484" spans="1:7" x14ac:dyDescent="0.3">
      <c r="A4484" s="84">
        <v>2026</v>
      </c>
      <c r="B4484" s="84" t="s">
        <v>398</v>
      </c>
      <c r="C4484" s="84">
        <v>30</v>
      </c>
      <c r="D4484" s="84">
        <v>13</v>
      </c>
      <c r="E4484" s="85">
        <v>27445.24</v>
      </c>
      <c r="F4484" s="85">
        <v>15428.62</v>
      </c>
      <c r="G4484" s="85">
        <v>-12016.62</v>
      </c>
    </row>
    <row r="4485" spans="1:7" x14ac:dyDescent="0.3">
      <c r="A4485" s="84">
        <v>2026</v>
      </c>
      <c r="B4485" s="84" t="s">
        <v>398</v>
      </c>
      <c r="C4485" s="84">
        <v>30</v>
      </c>
      <c r="D4485" s="84">
        <v>14</v>
      </c>
      <c r="E4485" s="85">
        <v>27445.24</v>
      </c>
      <c r="F4485" s="85">
        <v>15822.44</v>
      </c>
      <c r="G4485" s="85">
        <v>-11622.8</v>
      </c>
    </row>
    <row r="4486" spans="1:7" x14ac:dyDescent="0.3">
      <c r="A4486" s="84">
        <v>2026</v>
      </c>
      <c r="B4486" s="84" t="s">
        <v>398</v>
      </c>
      <c r="C4486" s="84">
        <v>30</v>
      </c>
      <c r="D4486" s="84">
        <v>15</v>
      </c>
      <c r="E4486" s="85">
        <v>27445.24</v>
      </c>
      <c r="F4486" s="85">
        <v>16214.72</v>
      </c>
      <c r="G4486" s="85">
        <v>-11230.52</v>
      </c>
    </row>
    <row r="4487" spans="1:7" x14ac:dyDescent="0.3">
      <c r="A4487" s="84">
        <v>2026</v>
      </c>
      <c r="B4487" s="84" t="s">
        <v>398</v>
      </c>
      <c r="C4487" s="84">
        <v>30</v>
      </c>
      <c r="D4487" s="84">
        <v>16</v>
      </c>
      <c r="E4487" s="85">
        <v>27445.24</v>
      </c>
      <c r="F4487" s="85">
        <v>16608.68</v>
      </c>
      <c r="G4487" s="85">
        <v>-10836.56</v>
      </c>
    </row>
    <row r="4488" spans="1:7" x14ac:dyDescent="0.3">
      <c r="A4488" s="84">
        <v>2026</v>
      </c>
      <c r="B4488" s="84" t="s">
        <v>398</v>
      </c>
      <c r="C4488" s="84">
        <v>30</v>
      </c>
      <c r="D4488" s="84">
        <v>17</v>
      </c>
      <c r="E4488" s="85">
        <v>27445.24</v>
      </c>
      <c r="F4488" s="85">
        <v>17000.96</v>
      </c>
      <c r="G4488" s="85">
        <v>-10444.280000000001</v>
      </c>
    </row>
    <row r="4489" spans="1:7" x14ac:dyDescent="0.3">
      <c r="A4489" s="84">
        <v>2026</v>
      </c>
      <c r="B4489" s="84" t="s">
        <v>398</v>
      </c>
      <c r="C4489" s="84">
        <v>30</v>
      </c>
      <c r="D4489" s="84">
        <v>18</v>
      </c>
      <c r="E4489" s="85">
        <v>27445.24</v>
      </c>
      <c r="F4489" s="85">
        <v>17394.5</v>
      </c>
      <c r="G4489" s="85">
        <v>-10050.74</v>
      </c>
    </row>
    <row r="4490" spans="1:7" x14ac:dyDescent="0.3">
      <c r="A4490" s="84">
        <v>2026</v>
      </c>
      <c r="B4490" s="84" t="s">
        <v>398</v>
      </c>
      <c r="C4490" s="84">
        <v>30</v>
      </c>
      <c r="D4490" s="84">
        <v>19</v>
      </c>
      <c r="E4490" s="85">
        <v>27445.24</v>
      </c>
      <c r="F4490" s="85">
        <v>17787.62</v>
      </c>
      <c r="G4490" s="85">
        <v>-9657.6200000000008</v>
      </c>
    </row>
    <row r="4491" spans="1:7" x14ac:dyDescent="0.3">
      <c r="A4491" s="84">
        <v>2026</v>
      </c>
      <c r="B4491" s="84" t="s">
        <v>398</v>
      </c>
      <c r="C4491" s="84">
        <v>30</v>
      </c>
      <c r="D4491" s="84">
        <v>20</v>
      </c>
      <c r="E4491" s="85">
        <v>27445.24</v>
      </c>
      <c r="F4491" s="85">
        <v>18180.599999999999</v>
      </c>
      <c r="G4491" s="85">
        <v>-9264.64</v>
      </c>
    </row>
    <row r="4492" spans="1:7" x14ac:dyDescent="0.3">
      <c r="A4492" s="84">
        <v>2026</v>
      </c>
      <c r="B4492" s="84" t="s">
        <v>398</v>
      </c>
      <c r="C4492" s="84">
        <v>30</v>
      </c>
      <c r="D4492" s="84">
        <v>21</v>
      </c>
      <c r="E4492" s="85">
        <v>27445.24</v>
      </c>
      <c r="F4492" s="85">
        <v>18770</v>
      </c>
      <c r="G4492" s="85">
        <v>-8675.24</v>
      </c>
    </row>
    <row r="4493" spans="1:7" x14ac:dyDescent="0.3">
      <c r="A4493" s="84">
        <v>2026</v>
      </c>
      <c r="B4493" s="84" t="s">
        <v>398</v>
      </c>
      <c r="C4493" s="84">
        <v>30</v>
      </c>
      <c r="D4493" s="84">
        <v>22</v>
      </c>
      <c r="E4493" s="85">
        <v>27445.24</v>
      </c>
      <c r="F4493" s="85">
        <v>19408.68</v>
      </c>
      <c r="G4493" s="85">
        <v>-8036.56</v>
      </c>
    </row>
    <row r="4494" spans="1:7" x14ac:dyDescent="0.3">
      <c r="A4494" s="84">
        <v>2026</v>
      </c>
      <c r="B4494" s="84" t="s">
        <v>398</v>
      </c>
      <c r="C4494" s="84">
        <v>30</v>
      </c>
      <c r="D4494" s="84">
        <v>23</v>
      </c>
      <c r="E4494" s="85">
        <v>27445.24</v>
      </c>
      <c r="F4494" s="85">
        <v>20049.18</v>
      </c>
      <c r="G4494" s="85">
        <v>-7396.06</v>
      </c>
    </row>
    <row r="4495" spans="1:7" x14ac:dyDescent="0.3">
      <c r="A4495" s="84">
        <v>2026</v>
      </c>
      <c r="B4495" s="84" t="s">
        <v>398</v>
      </c>
      <c r="C4495" s="84">
        <v>30</v>
      </c>
      <c r="D4495" s="84">
        <v>24</v>
      </c>
      <c r="E4495" s="85">
        <v>27445.24</v>
      </c>
      <c r="F4495" s="85">
        <v>20688.419999999998</v>
      </c>
      <c r="G4495" s="85">
        <v>-6756.82</v>
      </c>
    </row>
    <row r="4496" spans="1:7" x14ac:dyDescent="0.3">
      <c r="A4496" s="84">
        <v>2026</v>
      </c>
      <c r="B4496" s="84" t="s">
        <v>398</v>
      </c>
      <c r="C4496" s="84">
        <v>30</v>
      </c>
      <c r="D4496" s="84">
        <v>25</v>
      </c>
      <c r="E4496" s="85">
        <v>27445.24</v>
      </c>
      <c r="F4496" s="85">
        <v>21328.5</v>
      </c>
      <c r="G4496" s="85">
        <v>-6116.74</v>
      </c>
    </row>
    <row r="4497" spans="1:7" x14ac:dyDescent="0.3">
      <c r="A4497" s="84">
        <v>2026</v>
      </c>
      <c r="B4497" s="84" t="s">
        <v>398</v>
      </c>
      <c r="C4497" s="84">
        <v>30</v>
      </c>
      <c r="D4497" s="84">
        <v>26</v>
      </c>
      <c r="E4497" s="85">
        <v>27445.24</v>
      </c>
      <c r="F4497" s="85">
        <v>22707.78</v>
      </c>
      <c r="G4497" s="85">
        <v>-4737.46</v>
      </c>
    </row>
    <row r="4498" spans="1:7" x14ac:dyDescent="0.3">
      <c r="A4498" s="84">
        <v>2026</v>
      </c>
      <c r="B4498" s="84" t="s">
        <v>398</v>
      </c>
      <c r="C4498" s="84">
        <v>30</v>
      </c>
      <c r="D4498" s="84">
        <v>27</v>
      </c>
      <c r="E4498" s="85">
        <v>27445.24</v>
      </c>
      <c r="F4498" s="85">
        <v>24417.040000000001</v>
      </c>
      <c r="G4498" s="85">
        <v>-3028.2</v>
      </c>
    </row>
    <row r="4499" spans="1:7" x14ac:dyDescent="0.3">
      <c r="A4499" s="84">
        <v>2026</v>
      </c>
      <c r="B4499" s="84" t="s">
        <v>398</v>
      </c>
      <c r="C4499" s="84">
        <v>30</v>
      </c>
      <c r="D4499" s="84">
        <v>28</v>
      </c>
      <c r="E4499" s="85">
        <v>27445.24</v>
      </c>
      <c r="F4499" s="85">
        <v>25057.54</v>
      </c>
      <c r="G4499" s="85">
        <v>-2387.6999999999998</v>
      </c>
    </row>
    <row r="4500" spans="1:7" x14ac:dyDescent="0.3">
      <c r="A4500" s="84">
        <v>2026</v>
      </c>
      <c r="B4500" s="84" t="s">
        <v>398</v>
      </c>
      <c r="C4500" s="84">
        <v>30</v>
      </c>
      <c r="D4500" s="84">
        <v>29</v>
      </c>
      <c r="E4500" s="85">
        <v>27445.24</v>
      </c>
      <c r="F4500" s="85">
        <v>25696.92</v>
      </c>
      <c r="G4500" s="85">
        <v>-1748.32</v>
      </c>
    </row>
    <row r="4501" spans="1:7" x14ac:dyDescent="0.3">
      <c r="A4501" s="84">
        <v>2026</v>
      </c>
      <c r="B4501" s="84" t="s">
        <v>398</v>
      </c>
      <c r="C4501" s="84">
        <v>30</v>
      </c>
      <c r="D4501" s="84">
        <v>30</v>
      </c>
      <c r="E4501" s="85">
        <v>27445.24</v>
      </c>
      <c r="F4501" s="85">
        <v>27445.24</v>
      </c>
      <c r="G4501" s="85">
        <v>0</v>
      </c>
    </row>
    <row r="4502" spans="1:7" x14ac:dyDescent="0.3">
      <c r="A4502" s="84">
        <v>2026</v>
      </c>
      <c r="B4502" s="84" t="s">
        <v>399</v>
      </c>
      <c r="C4502" s="84">
        <v>1</v>
      </c>
      <c r="D4502" s="84">
        <v>1</v>
      </c>
      <c r="E4502" s="85">
        <v>11279.66</v>
      </c>
      <c r="F4502" s="85">
        <v>11279.66</v>
      </c>
      <c r="G4502" s="85">
        <v>0</v>
      </c>
    </row>
    <row r="4503" spans="1:7" x14ac:dyDescent="0.3">
      <c r="A4503" s="84">
        <v>2026</v>
      </c>
      <c r="B4503" s="84" t="s">
        <v>399</v>
      </c>
      <c r="C4503" s="84">
        <v>1</v>
      </c>
      <c r="D4503" s="84">
        <v>2</v>
      </c>
      <c r="E4503" s="85">
        <v>11279.66</v>
      </c>
      <c r="F4503" s="85">
        <v>11586.96</v>
      </c>
      <c r="G4503" s="85">
        <v>307.3</v>
      </c>
    </row>
    <row r="4504" spans="1:7" x14ac:dyDescent="0.3">
      <c r="A4504" s="84">
        <v>2026</v>
      </c>
      <c r="B4504" s="84" t="s">
        <v>399</v>
      </c>
      <c r="C4504" s="84">
        <v>1</v>
      </c>
      <c r="D4504" s="84">
        <v>3</v>
      </c>
      <c r="E4504" s="85">
        <v>11279.66</v>
      </c>
      <c r="F4504" s="85">
        <v>11894.54</v>
      </c>
      <c r="G4504" s="85">
        <v>614.88</v>
      </c>
    </row>
    <row r="4505" spans="1:7" x14ac:dyDescent="0.3">
      <c r="A4505" s="84">
        <v>2026</v>
      </c>
      <c r="B4505" s="84" t="s">
        <v>399</v>
      </c>
      <c r="C4505" s="84">
        <v>1</v>
      </c>
      <c r="D4505" s="84">
        <v>4</v>
      </c>
      <c r="E4505" s="85">
        <v>11279.66</v>
      </c>
      <c r="F4505" s="85">
        <v>12200.86</v>
      </c>
      <c r="G4505" s="85">
        <v>921.2</v>
      </c>
    </row>
    <row r="4506" spans="1:7" x14ac:dyDescent="0.3">
      <c r="A4506" s="84">
        <v>2026</v>
      </c>
      <c r="B4506" s="84" t="s">
        <v>399</v>
      </c>
      <c r="C4506" s="84">
        <v>1</v>
      </c>
      <c r="D4506" s="84">
        <v>5</v>
      </c>
      <c r="E4506" s="85">
        <v>11279.66</v>
      </c>
      <c r="F4506" s="85">
        <v>12507.88</v>
      </c>
      <c r="G4506" s="85">
        <v>1228.22</v>
      </c>
    </row>
    <row r="4507" spans="1:7" x14ac:dyDescent="0.3">
      <c r="A4507" s="84">
        <v>2026</v>
      </c>
      <c r="B4507" s="84" t="s">
        <v>399</v>
      </c>
      <c r="C4507" s="84">
        <v>1</v>
      </c>
      <c r="D4507" s="84">
        <v>6</v>
      </c>
      <c r="E4507" s="85">
        <v>11279.66</v>
      </c>
      <c r="F4507" s="85">
        <v>12712.7</v>
      </c>
      <c r="G4507" s="85">
        <v>1433.04</v>
      </c>
    </row>
    <row r="4508" spans="1:7" x14ac:dyDescent="0.3">
      <c r="A4508" s="84">
        <v>2026</v>
      </c>
      <c r="B4508" s="84" t="s">
        <v>399</v>
      </c>
      <c r="C4508" s="84">
        <v>1</v>
      </c>
      <c r="D4508" s="84">
        <v>7</v>
      </c>
      <c r="E4508" s="85">
        <v>11279.66</v>
      </c>
      <c r="F4508" s="85">
        <v>12917.94</v>
      </c>
      <c r="G4508" s="85">
        <v>1638.28</v>
      </c>
    </row>
    <row r="4509" spans="1:7" x14ac:dyDescent="0.3">
      <c r="A4509" s="84">
        <v>2026</v>
      </c>
      <c r="B4509" s="84" t="s">
        <v>399</v>
      </c>
      <c r="C4509" s="84">
        <v>1</v>
      </c>
      <c r="D4509" s="84">
        <v>8</v>
      </c>
      <c r="E4509" s="85">
        <v>11279.66</v>
      </c>
      <c r="F4509" s="85">
        <v>13122.48</v>
      </c>
      <c r="G4509" s="85">
        <v>1842.82</v>
      </c>
    </row>
    <row r="4510" spans="1:7" x14ac:dyDescent="0.3">
      <c r="A4510" s="84">
        <v>2026</v>
      </c>
      <c r="B4510" s="84" t="s">
        <v>399</v>
      </c>
      <c r="C4510" s="84">
        <v>1</v>
      </c>
      <c r="D4510" s="84">
        <v>9</v>
      </c>
      <c r="E4510" s="85">
        <v>11279.66</v>
      </c>
      <c r="F4510" s="85">
        <v>13327.86</v>
      </c>
      <c r="G4510" s="85">
        <v>2048.1999999999998</v>
      </c>
    </row>
    <row r="4511" spans="1:7" x14ac:dyDescent="0.3">
      <c r="A4511" s="84">
        <v>2026</v>
      </c>
      <c r="B4511" s="84" t="s">
        <v>399</v>
      </c>
      <c r="C4511" s="84">
        <v>1</v>
      </c>
      <c r="D4511" s="84">
        <v>10</v>
      </c>
      <c r="E4511" s="85">
        <v>11279.66</v>
      </c>
      <c r="F4511" s="85">
        <v>13532.82</v>
      </c>
      <c r="G4511" s="85">
        <v>2253.16</v>
      </c>
    </row>
    <row r="4512" spans="1:7" x14ac:dyDescent="0.3">
      <c r="A4512" s="84">
        <v>2026</v>
      </c>
      <c r="B4512" s="84" t="s">
        <v>399</v>
      </c>
      <c r="C4512" s="84">
        <v>1</v>
      </c>
      <c r="D4512" s="84">
        <v>11</v>
      </c>
      <c r="E4512" s="85">
        <v>11279.66</v>
      </c>
      <c r="F4512" s="85">
        <v>13941.62</v>
      </c>
      <c r="G4512" s="85">
        <v>2661.96</v>
      </c>
    </row>
    <row r="4513" spans="1:7" x14ac:dyDescent="0.3">
      <c r="A4513" s="84">
        <v>2026</v>
      </c>
      <c r="B4513" s="84" t="s">
        <v>399</v>
      </c>
      <c r="C4513" s="84">
        <v>1</v>
      </c>
      <c r="D4513" s="84">
        <v>12</v>
      </c>
      <c r="E4513" s="85">
        <v>11279.66</v>
      </c>
      <c r="F4513" s="85">
        <v>14351.54</v>
      </c>
      <c r="G4513" s="85">
        <v>3071.88</v>
      </c>
    </row>
    <row r="4514" spans="1:7" x14ac:dyDescent="0.3">
      <c r="A4514" s="84">
        <v>2026</v>
      </c>
      <c r="B4514" s="84" t="s">
        <v>399</v>
      </c>
      <c r="C4514" s="84">
        <v>1</v>
      </c>
      <c r="D4514" s="84">
        <v>13</v>
      </c>
      <c r="E4514" s="85">
        <v>11279.66</v>
      </c>
      <c r="F4514" s="85">
        <v>14761.32</v>
      </c>
      <c r="G4514" s="85">
        <v>3481.66</v>
      </c>
    </row>
    <row r="4515" spans="1:7" x14ac:dyDescent="0.3">
      <c r="A4515" s="84">
        <v>2026</v>
      </c>
      <c r="B4515" s="84" t="s">
        <v>399</v>
      </c>
      <c r="C4515" s="84">
        <v>1</v>
      </c>
      <c r="D4515" s="84">
        <v>14</v>
      </c>
      <c r="E4515" s="85">
        <v>11279.66</v>
      </c>
      <c r="F4515" s="85">
        <v>15171.52</v>
      </c>
      <c r="G4515" s="85">
        <v>3891.86</v>
      </c>
    </row>
    <row r="4516" spans="1:7" x14ac:dyDescent="0.3">
      <c r="A4516" s="84">
        <v>2026</v>
      </c>
      <c r="B4516" s="84" t="s">
        <v>399</v>
      </c>
      <c r="C4516" s="84">
        <v>1</v>
      </c>
      <c r="D4516" s="84">
        <v>15</v>
      </c>
      <c r="E4516" s="85">
        <v>11279.66</v>
      </c>
      <c r="F4516" s="85">
        <v>15581.16</v>
      </c>
      <c r="G4516" s="85">
        <v>4301.5</v>
      </c>
    </row>
    <row r="4517" spans="1:7" x14ac:dyDescent="0.3">
      <c r="A4517" s="84">
        <v>2026</v>
      </c>
      <c r="B4517" s="84" t="s">
        <v>399</v>
      </c>
      <c r="C4517" s="84">
        <v>1</v>
      </c>
      <c r="D4517" s="84">
        <v>16</v>
      </c>
      <c r="E4517" s="85">
        <v>11279.66</v>
      </c>
      <c r="F4517" s="85">
        <v>15990.8</v>
      </c>
      <c r="G4517" s="85">
        <v>4711.1400000000003</v>
      </c>
    </row>
    <row r="4518" spans="1:7" x14ac:dyDescent="0.3">
      <c r="A4518" s="84">
        <v>2026</v>
      </c>
      <c r="B4518" s="84" t="s">
        <v>399</v>
      </c>
      <c r="C4518" s="84">
        <v>1</v>
      </c>
      <c r="D4518" s="84">
        <v>17</v>
      </c>
      <c r="E4518" s="85">
        <v>11279.66</v>
      </c>
      <c r="F4518" s="85">
        <v>16399.88</v>
      </c>
      <c r="G4518" s="85">
        <v>5120.22</v>
      </c>
    </row>
    <row r="4519" spans="1:7" x14ac:dyDescent="0.3">
      <c r="A4519" s="84">
        <v>2026</v>
      </c>
      <c r="B4519" s="84" t="s">
        <v>399</v>
      </c>
      <c r="C4519" s="84">
        <v>1</v>
      </c>
      <c r="D4519" s="84">
        <v>18</v>
      </c>
      <c r="E4519" s="85">
        <v>11279.66</v>
      </c>
      <c r="F4519" s="85">
        <v>16809.8</v>
      </c>
      <c r="G4519" s="85">
        <v>5530.14</v>
      </c>
    </row>
    <row r="4520" spans="1:7" x14ac:dyDescent="0.3">
      <c r="A4520" s="84">
        <v>2026</v>
      </c>
      <c r="B4520" s="84" t="s">
        <v>399</v>
      </c>
      <c r="C4520" s="84">
        <v>1</v>
      </c>
      <c r="D4520" s="84">
        <v>19</v>
      </c>
      <c r="E4520" s="85">
        <v>11279.66</v>
      </c>
      <c r="F4520" s="85">
        <v>17219.86</v>
      </c>
      <c r="G4520" s="85">
        <v>5940.2</v>
      </c>
    </row>
    <row r="4521" spans="1:7" x14ac:dyDescent="0.3">
      <c r="A4521" s="84">
        <v>2026</v>
      </c>
      <c r="B4521" s="84" t="s">
        <v>399</v>
      </c>
      <c r="C4521" s="84">
        <v>1</v>
      </c>
      <c r="D4521" s="84">
        <v>20</v>
      </c>
      <c r="E4521" s="85">
        <v>11279.66</v>
      </c>
      <c r="F4521" s="85">
        <v>17629.64</v>
      </c>
      <c r="G4521" s="85">
        <v>6349.98</v>
      </c>
    </row>
    <row r="4522" spans="1:7" x14ac:dyDescent="0.3">
      <c r="A4522" s="84">
        <v>2026</v>
      </c>
      <c r="B4522" s="84" t="s">
        <v>399</v>
      </c>
      <c r="C4522" s="84">
        <v>1</v>
      </c>
      <c r="D4522" s="84">
        <v>21</v>
      </c>
      <c r="E4522" s="85">
        <v>11279.66</v>
      </c>
      <c r="F4522" s="85">
        <v>18243.82</v>
      </c>
      <c r="G4522" s="85">
        <v>6964.16</v>
      </c>
    </row>
    <row r="4523" spans="1:7" x14ac:dyDescent="0.3">
      <c r="A4523" s="84">
        <v>2026</v>
      </c>
      <c r="B4523" s="84" t="s">
        <v>399</v>
      </c>
      <c r="C4523" s="84">
        <v>1</v>
      </c>
      <c r="D4523" s="84">
        <v>22</v>
      </c>
      <c r="E4523" s="85">
        <v>11279.66</v>
      </c>
      <c r="F4523" s="85">
        <v>18909.099999999999</v>
      </c>
      <c r="G4523" s="85">
        <v>7629.44</v>
      </c>
    </row>
    <row r="4524" spans="1:7" x14ac:dyDescent="0.3">
      <c r="A4524" s="84">
        <v>2026</v>
      </c>
      <c r="B4524" s="84" t="s">
        <v>399</v>
      </c>
      <c r="C4524" s="84">
        <v>1</v>
      </c>
      <c r="D4524" s="84">
        <v>23</v>
      </c>
      <c r="E4524" s="85">
        <v>11279.66</v>
      </c>
      <c r="F4524" s="85">
        <v>19576.759999999998</v>
      </c>
      <c r="G4524" s="85">
        <v>8297.1</v>
      </c>
    </row>
    <row r="4525" spans="1:7" x14ac:dyDescent="0.3">
      <c r="A4525" s="84">
        <v>2026</v>
      </c>
      <c r="B4525" s="84" t="s">
        <v>399</v>
      </c>
      <c r="C4525" s="84">
        <v>1</v>
      </c>
      <c r="D4525" s="84">
        <v>24</v>
      </c>
      <c r="E4525" s="85">
        <v>11279.66</v>
      </c>
      <c r="F4525" s="85">
        <v>20242.88</v>
      </c>
      <c r="G4525" s="85">
        <v>8963.2199999999993</v>
      </c>
    </row>
    <row r="4526" spans="1:7" x14ac:dyDescent="0.3">
      <c r="A4526" s="84">
        <v>2026</v>
      </c>
      <c r="B4526" s="84" t="s">
        <v>399</v>
      </c>
      <c r="C4526" s="84">
        <v>1</v>
      </c>
      <c r="D4526" s="84">
        <v>25</v>
      </c>
      <c r="E4526" s="85">
        <v>11279.66</v>
      </c>
      <c r="F4526" s="85">
        <v>20909.84</v>
      </c>
      <c r="G4526" s="85">
        <v>9630.18</v>
      </c>
    </row>
    <row r="4527" spans="1:7" x14ac:dyDescent="0.3">
      <c r="A4527" s="84">
        <v>2026</v>
      </c>
      <c r="B4527" s="84" t="s">
        <v>399</v>
      </c>
      <c r="C4527" s="84">
        <v>1</v>
      </c>
      <c r="D4527" s="84">
        <v>26</v>
      </c>
      <c r="E4527" s="85">
        <v>11279.66</v>
      </c>
      <c r="F4527" s="85">
        <v>22346.799999999999</v>
      </c>
      <c r="G4527" s="85">
        <v>11067.14</v>
      </c>
    </row>
    <row r="4528" spans="1:7" x14ac:dyDescent="0.3">
      <c r="A4528" s="84">
        <v>2026</v>
      </c>
      <c r="B4528" s="84" t="s">
        <v>399</v>
      </c>
      <c r="C4528" s="84">
        <v>1</v>
      </c>
      <c r="D4528" s="84">
        <v>27</v>
      </c>
      <c r="E4528" s="85">
        <v>11279.66</v>
      </c>
      <c r="F4528" s="85">
        <v>24128.720000000001</v>
      </c>
      <c r="G4528" s="85">
        <v>12849.06</v>
      </c>
    </row>
    <row r="4529" spans="1:7" x14ac:dyDescent="0.3">
      <c r="A4529" s="84">
        <v>2026</v>
      </c>
      <c r="B4529" s="84" t="s">
        <v>399</v>
      </c>
      <c r="C4529" s="84">
        <v>1</v>
      </c>
      <c r="D4529" s="84">
        <v>28</v>
      </c>
      <c r="E4529" s="85">
        <v>11279.66</v>
      </c>
      <c r="F4529" s="85">
        <v>24795.82</v>
      </c>
      <c r="G4529" s="85">
        <v>13516.16</v>
      </c>
    </row>
    <row r="4530" spans="1:7" x14ac:dyDescent="0.3">
      <c r="A4530" s="84">
        <v>2026</v>
      </c>
      <c r="B4530" s="84" t="s">
        <v>399</v>
      </c>
      <c r="C4530" s="84">
        <v>1</v>
      </c>
      <c r="D4530" s="84">
        <v>29</v>
      </c>
      <c r="E4530" s="85">
        <v>11279.66</v>
      </c>
      <c r="F4530" s="85">
        <v>25461.94</v>
      </c>
      <c r="G4530" s="85">
        <v>14182.28</v>
      </c>
    </row>
    <row r="4531" spans="1:7" x14ac:dyDescent="0.3">
      <c r="A4531" s="84">
        <v>2026</v>
      </c>
      <c r="B4531" s="84" t="s">
        <v>399</v>
      </c>
      <c r="C4531" s="84">
        <v>1</v>
      </c>
      <c r="D4531" s="84">
        <v>30</v>
      </c>
      <c r="E4531" s="85">
        <v>11279.66</v>
      </c>
      <c r="F4531" s="85">
        <v>27284.38</v>
      </c>
      <c r="G4531" s="85">
        <v>16004.72</v>
      </c>
    </row>
    <row r="4532" spans="1:7" x14ac:dyDescent="0.3">
      <c r="A4532" s="84">
        <v>2026</v>
      </c>
      <c r="B4532" s="84" t="s">
        <v>399</v>
      </c>
      <c r="C4532" s="84">
        <v>2</v>
      </c>
      <c r="D4532" s="84">
        <v>1</v>
      </c>
      <c r="E4532" s="85">
        <v>11586.96</v>
      </c>
      <c r="F4532" s="85">
        <v>11279.66</v>
      </c>
      <c r="G4532" s="85">
        <v>-307.3</v>
      </c>
    </row>
    <row r="4533" spans="1:7" x14ac:dyDescent="0.3">
      <c r="A4533" s="84">
        <v>2026</v>
      </c>
      <c r="B4533" s="84" t="s">
        <v>399</v>
      </c>
      <c r="C4533" s="84">
        <v>2</v>
      </c>
      <c r="D4533" s="84">
        <v>2</v>
      </c>
      <c r="E4533" s="85">
        <v>11586.96</v>
      </c>
      <c r="F4533" s="85">
        <v>11586.96</v>
      </c>
      <c r="G4533" s="85">
        <v>0</v>
      </c>
    </row>
    <row r="4534" spans="1:7" x14ac:dyDescent="0.3">
      <c r="A4534" s="84">
        <v>2026</v>
      </c>
      <c r="B4534" s="84" t="s">
        <v>399</v>
      </c>
      <c r="C4534" s="84">
        <v>2</v>
      </c>
      <c r="D4534" s="84">
        <v>3</v>
      </c>
      <c r="E4534" s="85">
        <v>11586.96</v>
      </c>
      <c r="F4534" s="85">
        <v>11894.54</v>
      </c>
      <c r="G4534" s="85">
        <v>307.58</v>
      </c>
    </row>
    <row r="4535" spans="1:7" x14ac:dyDescent="0.3">
      <c r="A4535" s="84">
        <v>2026</v>
      </c>
      <c r="B4535" s="84" t="s">
        <v>399</v>
      </c>
      <c r="C4535" s="84">
        <v>2</v>
      </c>
      <c r="D4535" s="84">
        <v>4</v>
      </c>
      <c r="E4535" s="85">
        <v>11586.96</v>
      </c>
      <c r="F4535" s="85">
        <v>12200.86</v>
      </c>
      <c r="G4535" s="85">
        <v>613.9</v>
      </c>
    </row>
    <row r="4536" spans="1:7" x14ac:dyDescent="0.3">
      <c r="A4536" s="84">
        <v>2026</v>
      </c>
      <c r="B4536" s="84" t="s">
        <v>399</v>
      </c>
      <c r="C4536" s="84">
        <v>2</v>
      </c>
      <c r="D4536" s="84">
        <v>5</v>
      </c>
      <c r="E4536" s="85">
        <v>11586.96</v>
      </c>
      <c r="F4536" s="85">
        <v>12507.88</v>
      </c>
      <c r="G4536" s="85">
        <v>920.92</v>
      </c>
    </row>
    <row r="4537" spans="1:7" x14ac:dyDescent="0.3">
      <c r="A4537" s="84">
        <v>2026</v>
      </c>
      <c r="B4537" s="84" t="s">
        <v>399</v>
      </c>
      <c r="C4537" s="84">
        <v>2</v>
      </c>
      <c r="D4537" s="84">
        <v>6</v>
      </c>
      <c r="E4537" s="85">
        <v>11586.96</v>
      </c>
      <c r="F4537" s="85">
        <v>12712.7</v>
      </c>
      <c r="G4537" s="85">
        <v>1125.74</v>
      </c>
    </row>
    <row r="4538" spans="1:7" x14ac:dyDescent="0.3">
      <c r="A4538" s="84">
        <v>2026</v>
      </c>
      <c r="B4538" s="84" t="s">
        <v>399</v>
      </c>
      <c r="C4538" s="84">
        <v>2</v>
      </c>
      <c r="D4538" s="84">
        <v>7</v>
      </c>
      <c r="E4538" s="85">
        <v>11586.96</v>
      </c>
      <c r="F4538" s="85">
        <v>12917.94</v>
      </c>
      <c r="G4538" s="85">
        <v>1330.98</v>
      </c>
    </row>
    <row r="4539" spans="1:7" x14ac:dyDescent="0.3">
      <c r="A4539" s="84">
        <v>2026</v>
      </c>
      <c r="B4539" s="84" t="s">
        <v>399</v>
      </c>
      <c r="C4539" s="84">
        <v>2</v>
      </c>
      <c r="D4539" s="84">
        <v>8</v>
      </c>
      <c r="E4539" s="85">
        <v>11586.96</v>
      </c>
      <c r="F4539" s="85">
        <v>13122.48</v>
      </c>
      <c r="G4539" s="85">
        <v>1535.52</v>
      </c>
    </row>
    <row r="4540" spans="1:7" x14ac:dyDescent="0.3">
      <c r="A4540" s="84">
        <v>2026</v>
      </c>
      <c r="B4540" s="84" t="s">
        <v>399</v>
      </c>
      <c r="C4540" s="84">
        <v>2</v>
      </c>
      <c r="D4540" s="84">
        <v>9</v>
      </c>
      <c r="E4540" s="85">
        <v>11586.96</v>
      </c>
      <c r="F4540" s="85">
        <v>13327.86</v>
      </c>
      <c r="G4540" s="85">
        <v>1740.9</v>
      </c>
    </row>
    <row r="4541" spans="1:7" x14ac:dyDescent="0.3">
      <c r="A4541" s="84">
        <v>2026</v>
      </c>
      <c r="B4541" s="84" t="s">
        <v>399</v>
      </c>
      <c r="C4541" s="84">
        <v>2</v>
      </c>
      <c r="D4541" s="84">
        <v>10</v>
      </c>
      <c r="E4541" s="85">
        <v>11586.96</v>
      </c>
      <c r="F4541" s="85">
        <v>13532.82</v>
      </c>
      <c r="G4541" s="85">
        <v>1945.86</v>
      </c>
    </row>
    <row r="4542" spans="1:7" x14ac:dyDescent="0.3">
      <c r="A4542" s="84">
        <v>2026</v>
      </c>
      <c r="B4542" s="84" t="s">
        <v>399</v>
      </c>
      <c r="C4542" s="84">
        <v>2</v>
      </c>
      <c r="D4542" s="84">
        <v>11</v>
      </c>
      <c r="E4542" s="85">
        <v>11586.96</v>
      </c>
      <c r="F4542" s="85">
        <v>13941.62</v>
      </c>
      <c r="G4542" s="85">
        <v>2354.66</v>
      </c>
    </row>
    <row r="4543" spans="1:7" x14ac:dyDescent="0.3">
      <c r="A4543" s="84">
        <v>2026</v>
      </c>
      <c r="B4543" s="84" t="s">
        <v>399</v>
      </c>
      <c r="C4543" s="84">
        <v>2</v>
      </c>
      <c r="D4543" s="84">
        <v>12</v>
      </c>
      <c r="E4543" s="85">
        <v>11586.96</v>
      </c>
      <c r="F4543" s="85">
        <v>14351.54</v>
      </c>
      <c r="G4543" s="85">
        <v>2764.58</v>
      </c>
    </row>
    <row r="4544" spans="1:7" x14ac:dyDescent="0.3">
      <c r="A4544" s="84">
        <v>2026</v>
      </c>
      <c r="B4544" s="84" t="s">
        <v>399</v>
      </c>
      <c r="C4544" s="84">
        <v>2</v>
      </c>
      <c r="D4544" s="84">
        <v>13</v>
      </c>
      <c r="E4544" s="85">
        <v>11586.96</v>
      </c>
      <c r="F4544" s="85">
        <v>14761.32</v>
      </c>
      <c r="G4544" s="85">
        <v>3174.36</v>
      </c>
    </row>
    <row r="4545" spans="1:7" x14ac:dyDescent="0.3">
      <c r="A4545" s="84">
        <v>2026</v>
      </c>
      <c r="B4545" s="84" t="s">
        <v>399</v>
      </c>
      <c r="C4545" s="84">
        <v>2</v>
      </c>
      <c r="D4545" s="84">
        <v>14</v>
      </c>
      <c r="E4545" s="85">
        <v>11586.96</v>
      </c>
      <c r="F4545" s="85">
        <v>15171.52</v>
      </c>
      <c r="G4545" s="85">
        <v>3584.56</v>
      </c>
    </row>
    <row r="4546" spans="1:7" x14ac:dyDescent="0.3">
      <c r="A4546" s="84">
        <v>2026</v>
      </c>
      <c r="B4546" s="84" t="s">
        <v>399</v>
      </c>
      <c r="C4546" s="84">
        <v>2</v>
      </c>
      <c r="D4546" s="84">
        <v>15</v>
      </c>
      <c r="E4546" s="85">
        <v>11586.96</v>
      </c>
      <c r="F4546" s="85">
        <v>15581.16</v>
      </c>
      <c r="G4546" s="85">
        <v>3994.2</v>
      </c>
    </row>
    <row r="4547" spans="1:7" x14ac:dyDescent="0.3">
      <c r="A4547" s="84">
        <v>2026</v>
      </c>
      <c r="B4547" s="84" t="s">
        <v>399</v>
      </c>
      <c r="C4547" s="84">
        <v>2</v>
      </c>
      <c r="D4547" s="84">
        <v>16</v>
      </c>
      <c r="E4547" s="85">
        <v>11586.96</v>
      </c>
      <c r="F4547" s="85">
        <v>15990.8</v>
      </c>
      <c r="G4547" s="85">
        <v>4403.84</v>
      </c>
    </row>
    <row r="4548" spans="1:7" x14ac:dyDescent="0.3">
      <c r="A4548" s="84">
        <v>2026</v>
      </c>
      <c r="B4548" s="84" t="s">
        <v>399</v>
      </c>
      <c r="C4548" s="84">
        <v>2</v>
      </c>
      <c r="D4548" s="84">
        <v>17</v>
      </c>
      <c r="E4548" s="85">
        <v>11586.96</v>
      </c>
      <c r="F4548" s="85">
        <v>16399.88</v>
      </c>
      <c r="G4548" s="85">
        <v>4812.92</v>
      </c>
    </row>
    <row r="4549" spans="1:7" x14ac:dyDescent="0.3">
      <c r="A4549" s="84">
        <v>2026</v>
      </c>
      <c r="B4549" s="84" t="s">
        <v>399</v>
      </c>
      <c r="C4549" s="84">
        <v>2</v>
      </c>
      <c r="D4549" s="84">
        <v>18</v>
      </c>
      <c r="E4549" s="85">
        <v>11586.96</v>
      </c>
      <c r="F4549" s="85">
        <v>16809.8</v>
      </c>
      <c r="G4549" s="85">
        <v>5222.84</v>
      </c>
    </row>
    <row r="4550" spans="1:7" x14ac:dyDescent="0.3">
      <c r="A4550" s="84">
        <v>2026</v>
      </c>
      <c r="B4550" s="84" t="s">
        <v>399</v>
      </c>
      <c r="C4550" s="84">
        <v>2</v>
      </c>
      <c r="D4550" s="84">
        <v>19</v>
      </c>
      <c r="E4550" s="85">
        <v>11586.96</v>
      </c>
      <c r="F4550" s="85">
        <v>17219.86</v>
      </c>
      <c r="G4550" s="85">
        <v>5632.9</v>
      </c>
    </row>
    <row r="4551" spans="1:7" x14ac:dyDescent="0.3">
      <c r="A4551" s="84">
        <v>2026</v>
      </c>
      <c r="B4551" s="84" t="s">
        <v>399</v>
      </c>
      <c r="C4551" s="84">
        <v>2</v>
      </c>
      <c r="D4551" s="84">
        <v>20</v>
      </c>
      <c r="E4551" s="85">
        <v>11586.96</v>
      </c>
      <c r="F4551" s="85">
        <v>17629.64</v>
      </c>
      <c r="G4551" s="85">
        <v>6042.68</v>
      </c>
    </row>
    <row r="4552" spans="1:7" x14ac:dyDescent="0.3">
      <c r="A4552" s="84">
        <v>2026</v>
      </c>
      <c r="B4552" s="84" t="s">
        <v>399</v>
      </c>
      <c r="C4552" s="84">
        <v>2</v>
      </c>
      <c r="D4552" s="84">
        <v>21</v>
      </c>
      <c r="E4552" s="85">
        <v>11586.96</v>
      </c>
      <c r="F4552" s="85">
        <v>18243.82</v>
      </c>
      <c r="G4552" s="85">
        <v>6656.86</v>
      </c>
    </row>
    <row r="4553" spans="1:7" x14ac:dyDescent="0.3">
      <c r="A4553" s="84">
        <v>2026</v>
      </c>
      <c r="B4553" s="84" t="s">
        <v>399</v>
      </c>
      <c r="C4553" s="84">
        <v>2</v>
      </c>
      <c r="D4553" s="84">
        <v>22</v>
      </c>
      <c r="E4553" s="85">
        <v>11586.96</v>
      </c>
      <c r="F4553" s="85">
        <v>18909.099999999999</v>
      </c>
      <c r="G4553" s="85">
        <v>7322.14</v>
      </c>
    </row>
    <row r="4554" spans="1:7" x14ac:dyDescent="0.3">
      <c r="A4554" s="84">
        <v>2026</v>
      </c>
      <c r="B4554" s="84" t="s">
        <v>399</v>
      </c>
      <c r="C4554" s="84">
        <v>2</v>
      </c>
      <c r="D4554" s="84">
        <v>23</v>
      </c>
      <c r="E4554" s="85">
        <v>11586.96</v>
      </c>
      <c r="F4554" s="85">
        <v>19576.759999999998</v>
      </c>
      <c r="G4554" s="85">
        <v>7989.8</v>
      </c>
    </row>
    <row r="4555" spans="1:7" x14ac:dyDescent="0.3">
      <c r="A4555" s="84">
        <v>2026</v>
      </c>
      <c r="B4555" s="84" t="s">
        <v>399</v>
      </c>
      <c r="C4555" s="84">
        <v>2</v>
      </c>
      <c r="D4555" s="84">
        <v>24</v>
      </c>
      <c r="E4555" s="85">
        <v>11586.96</v>
      </c>
      <c r="F4555" s="85">
        <v>20242.88</v>
      </c>
      <c r="G4555" s="85">
        <v>8655.92</v>
      </c>
    </row>
    <row r="4556" spans="1:7" x14ac:dyDescent="0.3">
      <c r="A4556" s="84">
        <v>2026</v>
      </c>
      <c r="B4556" s="84" t="s">
        <v>399</v>
      </c>
      <c r="C4556" s="84">
        <v>2</v>
      </c>
      <c r="D4556" s="84">
        <v>25</v>
      </c>
      <c r="E4556" s="85">
        <v>11586.96</v>
      </c>
      <c r="F4556" s="85">
        <v>20909.84</v>
      </c>
      <c r="G4556" s="85">
        <v>9322.8799999999992</v>
      </c>
    </row>
    <row r="4557" spans="1:7" x14ac:dyDescent="0.3">
      <c r="A4557" s="84">
        <v>2026</v>
      </c>
      <c r="B4557" s="84" t="s">
        <v>399</v>
      </c>
      <c r="C4557" s="84">
        <v>2</v>
      </c>
      <c r="D4557" s="84">
        <v>26</v>
      </c>
      <c r="E4557" s="85">
        <v>11586.96</v>
      </c>
      <c r="F4557" s="85">
        <v>22346.799999999999</v>
      </c>
      <c r="G4557" s="85">
        <v>10759.84</v>
      </c>
    </row>
    <row r="4558" spans="1:7" x14ac:dyDescent="0.3">
      <c r="A4558" s="84">
        <v>2026</v>
      </c>
      <c r="B4558" s="84" t="s">
        <v>399</v>
      </c>
      <c r="C4558" s="84">
        <v>2</v>
      </c>
      <c r="D4558" s="84">
        <v>27</v>
      </c>
      <c r="E4558" s="85">
        <v>11586.96</v>
      </c>
      <c r="F4558" s="85">
        <v>24128.720000000001</v>
      </c>
      <c r="G4558" s="85">
        <v>12541.76</v>
      </c>
    </row>
    <row r="4559" spans="1:7" x14ac:dyDescent="0.3">
      <c r="A4559" s="84">
        <v>2026</v>
      </c>
      <c r="B4559" s="84" t="s">
        <v>399</v>
      </c>
      <c r="C4559" s="84">
        <v>2</v>
      </c>
      <c r="D4559" s="84">
        <v>28</v>
      </c>
      <c r="E4559" s="85">
        <v>11586.96</v>
      </c>
      <c r="F4559" s="85">
        <v>24795.82</v>
      </c>
      <c r="G4559" s="85">
        <v>13208.86</v>
      </c>
    </row>
    <row r="4560" spans="1:7" x14ac:dyDescent="0.3">
      <c r="A4560" s="84">
        <v>2026</v>
      </c>
      <c r="B4560" s="84" t="s">
        <v>399</v>
      </c>
      <c r="C4560" s="84">
        <v>2</v>
      </c>
      <c r="D4560" s="84">
        <v>29</v>
      </c>
      <c r="E4560" s="85">
        <v>11586.96</v>
      </c>
      <c r="F4560" s="85">
        <v>25461.94</v>
      </c>
      <c r="G4560" s="85">
        <v>13874.98</v>
      </c>
    </row>
    <row r="4561" spans="1:7" x14ac:dyDescent="0.3">
      <c r="A4561" s="84">
        <v>2026</v>
      </c>
      <c r="B4561" s="84" t="s">
        <v>399</v>
      </c>
      <c r="C4561" s="84">
        <v>2</v>
      </c>
      <c r="D4561" s="84">
        <v>30</v>
      </c>
      <c r="E4561" s="85">
        <v>11586.96</v>
      </c>
      <c r="F4561" s="85">
        <v>27284.38</v>
      </c>
      <c r="G4561" s="85">
        <v>15697.42</v>
      </c>
    </row>
    <row r="4562" spans="1:7" x14ac:dyDescent="0.3">
      <c r="A4562" s="84">
        <v>2026</v>
      </c>
      <c r="B4562" s="84" t="s">
        <v>399</v>
      </c>
      <c r="C4562" s="84">
        <v>3</v>
      </c>
      <c r="D4562" s="84">
        <v>1</v>
      </c>
      <c r="E4562" s="85">
        <v>11894.54</v>
      </c>
      <c r="F4562" s="85">
        <v>11279.66</v>
      </c>
      <c r="G4562" s="85">
        <v>-614.88</v>
      </c>
    </row>
    <row r="4563" spans="1:7" x14ac:dyDescent="0.3">
      <c r="A4563" s="84">
        <v>2026</v>
      </c>
      <c r="B4563" s="84" t="s">
        <v>399</v>
      </c>
      <c r="C4563" s="84">
        <v>3</v>
      </c>
      <c r="D4563" s="84">
        <v>2</v>
      </c>
      <c r="E4563" s="85">
        <v>11894.54</v>
      </c>
      <c r="F4563" s="85">
        <v>11586.96</v>
      </c>
      <c r="G4563" s="85">
        <v>-307.58</v>
      </c>
    </row>
    <row r="4564" spans="1:7" x14ac:dyDescent="0.3">
      <c r="A4564" s="84">
        <v>2026</v>
      </c>
      <c r="B4564" s="84" t="s">
        <v>399</v>
      </c>
      <c r="C4564" s="84">
        <v>3</v>
      </c>
      <c r="D4564" s="84">
        <v>3</v>
      </c>
      <c r="E4564" s="85">
        <v>11894.54</v>
      </c>
      <c r="F4564" s="85">
        <v>11894.54</v>
      </c>
      <c r="G4564" s="85">
        <v>0</v>
      </c>
    </row>
    <row r="4565" spans="1:7" x14ac:dyDescent="0.3">
      <c r="A4565" s="84">
        <v>2026</v>
      </c>
      <c r="B4565" s="84" t="s">
        <v>399</v>
      </c>
      <c r="C4565" s="84">
        <v>3</v>
      </c>
      <c r="D4565" s="84">
        <v>4</v>
      </c>
      <c r="E4565" s="85">
        <v>11894.54</v>
      </c>
      <c r="F4565" s="85">
        <v>12200.86</v>
      </c>
      <c r="G4565" s="85">
        <v>306.32</v>
      </c>
    </row>
    <row r="4566" spans="1:7" x14ac:dyDescent="0.3">
      <c r="A4566" s="84">
        <v>2026</v>
      </c>
      <c r="B4566" s="84" t="s">
        <v>399</v>
      </c>
      <c r="C4566" s="84">
        <v>3</v>
      </c>
      <c r="D4566" s="84">
        <v>5</v>
      </c>
      <c r="E4566" s="85">
        <v>11894.54</v>
      </c>
      <c r="F4566" s="85">
        <v>12507.88</v>
      </c>
      <c r="G4566" s="85">
        <v>613.34</v>
      </c>
    </row>
    <row r="4567" spans="1:7" x14ac:dyDescent="0.3">
      <c r="A4567" s="84">
        <v>2026</v>
      </c>
      <c r="B4567" s="84" t="s">
        <v>399</v>
      </c>
      <c r="C4567" s="84">
        <v>3</v>
      </c>
      <c r="D4567" s="84">
        <v>6</v>
      </c>
      <c r="E4567" s="85">
        <v>11894.54</v>
      </c>
      <c r="F4567" s="85">
        <v>12712.7</v>
      </c>
      <c r="G4567" s="85">
        <v>818.16</v>
      </c>
    </row>
    <row r="4568" spans="1:7" x14ac:dyDescent="0.3">
      <c r="A4568" s="84">
        <v>2026</v>
      </c>
      <c r="B4568" s="84" t="s">
        <v>399</v>
      </c>
      <c r="C4568" s="84">
        <v>3</v>
      </c>
      <c r="D4568" s="84">
        <v>7</v>
      </c>
      <c r="E4568" s="85">
        <v>11894.54</v>
      </c>
      <c r="F4568" s="85">
        <v>12917.94</v>
      </c>
      <c r="G4568" s="85">
        <v>1023.4</v>
      </c>
    </row>
    <row r="4569" spans="1:7" x14ac:dyDescent="0.3">
      <c r="A4569" s="84">
        <v>2026</v>
      </c>
      <c r="B4569" s="84" t="s">
        <v>399</v>
      </c>
      <c r="C4569" s="84">
        <v>3</v>
      </c>
      <c r="D4569" s="84">
        <v>8</v>
      </c>
      <c r="E4569" s="85">
        <v>11894.54</v>
      </c>
      <c r="F4569" s="85">
        <v>13122.48</v>
      </c>
      <c r="G4569" s="85">
        <v>1227.94</v>
      </c>
    </row>
    <row r="4570" spans="1:7" x14ac:dyDescent="0.3">
      <c r="A4570" s="84">
        <v>2026</v>
      </c>
      <c r="B4570" s="84" t="s">
        <v>399</v>
      </c>
      <c r="C4570" s="84">
        <v>3</v>
      </c>
      <c r="D4570" s="84">
        <v>9</v>
      </c>
      <c r="E4570" s="85">
        <v>11894.54</v>
      </c>
      <c r="F4570" s="85">
        <v>13327.86</v>
      </c>
      <c r="G4570" s="85">
        <v>1433.32</v>
      </c>
    </row>
    <row r="4571" spans="1:7" x14ac:dyDescent="0.3">
      <c r="A4571" s="84">
        <v>2026</v>
      </c>
      <c r="B4571" s="84" t="s">
        <v>399</v>
      </c>
      <c r="C4571" s="84">
        <v>3</v>
      </c>
      <c r="D4571" s="84">
        <v>10</v>
      </c>
      <c r="E4571" s="85">
        <v>11894.54</v>
      </c>
      <c r="F4571" s="85">
        <v>13532.82</v>
      </c>
      <c r="G4571" s="85">
        <v>1638.28</v>
      </c>
    </row>
    <row r="4572" spans="1:7" x14ac:dyDescent="0.3">
      <c r="A4572" s="84">
        <v>2026</v>
      </c>
      <c r="B4572" s="84" t="s">
        <v>399</v>
      </c>
      <c r="C4572" s="84">
        <v>3</v>
      </c>
      <c r="D4572" s="84">
        <v>11</v>
      </c>
      <c r="E4572" s="85">
        <v>11894.54</v>
      </c>
      <c r="F4572" s="85">
        <v>13941.62</v>
      </c>
      <c r="G4572" s="85">
        <v>2047.08</v>
      </c>
    </row>
    <row r="4573" spans="1:7" x14ac:dyDescent="0.3">
      <c r="A4573" s="84">
        <v>2026</v>
      </c>
      <c r="B4573" s="84" t="s">
        <v>399</v>
      </c>
      <c r="C4573" s="84">
        <v>3</v>
      </c>
      <c r="D4573" s="84">
        <v>12</v>
      </c>
      <c r="E4573" s="85">
        <v>11894.54</v>
      </c>
      <c r="F4573" s="85">
        <v>14351.54</v>
      </c>
      <c r="G4573" s="85">
        <v>2457</v>
      </c>
    </row>
    <row r="4574" spans="1:7" x14ac:dyDescent="0.3">
      <c r="A4574" s="84">
        <v>2026</v>
      </c>
      <c r="B4574" s="84" t="s">
        <v>399</v>
      </c>
      <c r="C4574" s="84">
        <v>3</v>
      </c>
      <c r="D4574" s="84">
        <v>13</v>
      </c>
      <c r="E4574" s="85">
        <v>11894.54</v>
      </c>
      <c r="F4574" s="85">
        <v>14761.32</v>
      </c>
      <c r="G4574" s="85">
        <v>2866.78</v>
      </c>
    </row>
    <row r="4575" spans="1:7" x14ac:dyDescent="0.3">
      <c r="A4575" s="84">
        <v>2026</v>
      </c>
      <c r="B4575" s="84" t="s">
        <v>399</v>
      </c>
      <c r="C4575" s="84">
        <v>3</v>
      </c>
      <c r="D4575" s="84">
        <v>14</v>
      </c>
      <c r="E4575" s="85">
        <v>11894.54</v>
      </c>
      <c r="F4575" s="85">
        <v>15171.52</v>
      </c>
      <c r="G4575" s="85">
        <v>3276.98</v>
      </c>
    </row>
    <row r="4576" spans="1:7" x14ac:dyDescent="0.3">
      <c r="A4576" s="84">
        <v>2026</v>
      </c>
      <c r="B4576" s="84" t="s">
        <v>399</v>
      </c>
      <c r="C4576" s="84">
        <v>3</v>
      </c>
      <c r="D4576" s="84">
        <v>15</v>
      </c>
      <c r="E4576" s="85">
        <v>11894.54</v>
      </c>
      <c r="F4576" s="85">
        <v>15581.16</v>
      </c>
      <c r="G4576" s="85">
        <v>3686.62</v>
      </c>
    </row>
    <row r="4577" spans="1:7" x14ac:dyDescent="0.3">
      <c r="A4577" s="84">
        <v>2026</v>
      </c>
      <c r="B4577" s="84" t="s">
        <v>399</v>
      </c>
      <c r="C4577" s="84">
        <v>3</v>
      </c>
      <c r="D4577" s="84">
        <v>16</v>
      </c>
      <c r="E4577" s="85">
        <v>11894.54</v>
      </c>
      <c r="F4577" s="85">
        <v>15990.8</v>
      </c>
      <c r="G4577" s="85">
        <v>4096.26</v>
      </c>
    </row>
    <row r="4578" spans="1:7" x14ac:dyDescent="0.3">
      <c r="A4578" s="84">
        <v>2026</v>
      </c>
      <c r="B4578" s="84" t="s">
        <v>399</v>
      </c>
      <c r="C4578" s="84">
        <v>3</v>
      </c>
      <c r="D4578" s="84">
        <v>17</v>
      </c>
      <c r="E4578" s="85">
        <v>11894.54</v>
      </c>
      <c r="F4578" s="85">
        <v>16399.88</v>
      </c>
      <c r="G4578" s="85">
        <v>4505.34</v>
      </c>
    </row>
    <row r="4579" spans="1:7" x14ac:dyDescent="0.3">
      <c r="A4579" s="84">
        <v>2026</v>
      </c>
      <c r="B4579" s="84" t="s">
        <v>399</v>
      </c>
      <c r="C4579" s="84">
        <v>3</v>
      </c>
      <c r="D4579" s="84">
        <v>18</v>
      </c>
      <c r="E4579" s="85">
        <v>11894.54</v>
      </c>
      <c r="F4579" s="85">
        <v>16809.8</v>
      </c>
      <c r="G4579" s="85">
        <v>4915.26</v>
      </c>
    </row>
    <row r="4580" spans="1:7" x14ac:dyDescent="0.3">
      <c r="A4580" s="84">
        <v>2026</v>
      </c>
      <c r="B4580" s="84" t="s">
        <v>399</v>
      </c>
      <c r="C4580" s="84">
        <v>3</v>
      </c>
      <c r="D4580" s="84">
        <v>19</v>
      </c>
      <c r="E4580" s="85">
        <v>11894.54</v>
      </c>
      <c r="F4580" s="85">
        <v>17219.86</v>
      </c>
      <c r="G4580" s="85">
        <v>5325.32</v>
      </c>
    </row>
    <row r="4581" spans="1:7" x14ac:dyDescent="0.3">
      <c r="A4581" s="84">
        <v>2026</v>
      </c>
      <c r="B4581" s="84" t="s">
        <v>399</v>
      </c>
      <c r="C4581" s="84">
        <v>3</v>
      </c>
      <c r="D4581" s="84">
        <v>20</v>
      </c>
      <c r="E4581" s="85">
        <v>11894.54</v>
      </c>
      <c r="F4581" s="85">
        <v>17629.64</v>
      </c>
      <c r="G4581" s="85">
        <v>5735.1</v>
      </c>
    </row>
    <row r="4582" spans="1:7" x14ac:dyDescent="0.3">
      <c r="A4582" s="84">
        <v>2026</v>
      </c>
      <c r="B4582" s="84" t="s">
        <v>399</v>
      </c>
      <c r="C4582" s="84">
        <v>3</v>
      </c>
      <c r="D4582" s="84">
        <v>21</v>
      </c>
      <c r="E4582" s="85">
        <v>11894.54</v>
      </c>
      <c r="F4582" s="85">
        <v>18243.82</v>
      </c>
      <c r="G4582" s="85">
        <v>6349.28</v>
      </c>
    </row>
    <row r="4583" spans="1:7" x14ac:dyDescent="0.3">
      <c r="A4583" s="84">
        <v>2026</v>
      </c>
      <c r="B4583" s="84" t="s">
        <v>399</v>
      </c>
      <c r="C4583" s="84">
        <v>3</v>
      </c>
      <c r="D4583" s="84">
        <v>22</v>
      </c>
      <c r="E4583" s="85">
        <v>11894.54</v>
      </c>
      <c r="F4583" s="85">
        <v>18909.099999999999</v>
      </c>
      <c r="G4583" s="85">
        <v>7014.56</v>
      </c>
    </row>
    <row r="4584" spans="1:7" x14ac:dyDescent="0.3">
      <c r="A4584" s="84">
        <v>2026</v>
      </c>
      <c r="B4584" s="84" t="s">
        <v>399</v>
      </c>
      <c r="C4584" s="84">
        <v>3</v>
      </c>
      <c r="D4584" s="84">
        <v>23</v>
      </c>
      <c r="E4584" s="85">
        <v>11894.54</v>
      </c>
      <c r="F4584" s="85">
        <v>19576.759999999998</v>
      </c>
      <c r="G4584" s="85">
        <v>7682.22</v>
      </c>
    </row>
    <row r="4585" spans="1:7" x14ac:dyDescent="0.3">
      <c r="A4585" s="84">
        <v>2026</v>
      </c>
      <c r="B4585" s="84" t="s">
        <v>399</v>
      </c>
      <c r="C4585" s="84">
        <v>3</v>
      </c>
      <c r="D4585" s="84">
        <v>24</v>
      </c>
      <c r="E4585" s="85">
        <v>11894.54</v>
      </c>
      <c r="F4585" s="85">
        <v>20242.88</v>
      </c>
      <c r="G4585" s="85">
        <v>8348.34</v>
      </c>
    </row>
    <row r="4586" spans="1:7" x14ac:dyDescent="0.3">
      <c r="A4586" s="84">
        <v>2026</v>
      </c>
      <c r="B4586" s="84" t="s">
        <v>399</v>
      </c>
      <c r="C4586" s="84">
        <v>3</v>
      </c>
      <c r="D4586" s="84">
        <v>25</v>
      </c>
      <c r="E4586" s="85">
        <v>11894.54</v>
      </c>
      <c r="F4586" s="85">
        <v>20909.84</v>
      </c>
      <c r="G4586" s="85">
        <v>9015.2999999999993</v>
      </c>
    </row>
    <row r="4587" spans="1:7" x14ac:dyDescent="0.3">
      <c r="A4587" s="84">
        <v>2026</v>
      </c>
      <c r="B4587" s="84" t="s">
        <v>399</v>
      </c>
      <c r="C4587" s="84">
        <v>3</v>
      </c>
      <c r="D4587" s="84">
        <v>26</v>
      </c>
      <c r="E4587" s="85">
        <v>11894.54</v>
      </c>
      <c r="F4587" s="85">
        <v>22346.799999999999</v>
      </c>
      <c r="G4587" s="85">
        <v>10452.26</v>
      </c>
    </row>
    <row r="4588" spans="1:7" x14ac:dyDescent="0.3">
      <c r="A4588" s="84">
        <v>2026</v>
      </c>
      <c r="B4588" s="84" t="s">
        <v>399</v>
      </c>
      <c r="C4588" s="84">
        <v>3</v>
      </c>
      <c r="D4588" s="84">
        <v>27</v>
      </c>
      <c r="E4588" s="85">
        <v>11894.54</v>
      </c>
      <c r="F4588" s="85">
        <v>24128.720000000001</v>
      </c>
      <c r="G4588" s="85">
        <v>12234.18</v>
      </c>
    </row>
    <row r="4589" spans="1:7" x14ac:dyDescent="0.3">
      <c r="A4589" s="84">
        <v>2026</v>
      </c>
      <c r="B4589" s="84" t="s">
        <v>399</v>
      </c>
      <c r="C4589" s="84">
        <v>3</v>
      </c>
      <c r="D4589" s="84">
        <v>28</v>
      </c>
      <c r="E4589" s="85">
        <v>11894.54</v>
      </c>
      <c r="F4589" s="85">
        <v>24795.82</v>
      </c>
      <c r="G4589" s="85">
        <v>12901.28</v>
      </c>
    </row>
    <row r="4590" spans="1:7" x14ac:dyDescent="0.3">
      <c r="A4590" s="84">
        <v>2026</v>
      </c>
      <c r="B4590" s="84" t="s">
        <v>399</v>
      </c>
      <c r="C4590" s="84">
        <v>3</v>
      </c>
      <c r="D4590" s="84">
        <v>29</v>
      </c>
      <c r="E4590" s="85">
        <v>11894.54</v>
      </c>
      <c r="F4590" s="85">
        <v>25461.94</v>
      </c>
      <c r="G4590" s="85">
        <v>13567.4</v>
      </c>
    </row>
    <row r="4591" spans="1:7" x14ac:dyDescent="0.3">
      <c r="A4591" s="84">
        <v>2026</v>
      </c>
      <c r="B4591" s="84" t="s">
        <v>399</v>
      </c>
      <c r="C4591" s="84">
        <v>3</v>
      </c>
      <c r="D4591" s="84">
        <v>30</v>
      </c>
      <c r="E4591" s="85">
        <v>11894.54</v>
      </c>
      <c r="F4591" s="85">
        <v>27284.38</v>
      </c>
      <c r="G4591" s="85">
        <v>15389.84</v>
      </c>
    </row>
    <row r="4592" spans="1:7" x14ac:dyDescent="0.3">
      <c r="A4592" s="84">
        <v>2026</v>
      </c>
      <c r="B4592" s="84" t="s">
        <v>399</v>
      </c>
      <c r="C4592" s="84">
        <v>4</v>
      </c>
      <c r="D4592" s="84">
        <v>1</v>
      </c>
      <c r="E4592" s="85">
        <v>12200.86</v>
      </c>
      <c r="F4592" s="85">
        <v>11279.66</v>
      </c>
      <c r="G4592" s="85">
        <v>-921.2</v>
      </c>
    </row>
    <row r="4593" spans="1:7" x14ac:dyDescent="0.3">
      <c r="A4593" s="84">
        <v>2026</v>
      </c>
      <c r="B4593" s="84" t="s">
        <v>399</v>
      </c>
      <c r="C4593" s="84">
        <v>4</v>
      </c>
      <c r="D4593" s="84">
        <v>2</v>
      </c>
      <c r="E4593" s="85">
        <v>12200.86</v>
      </c>
      <c r="F4593" s="85">
        <v>11586.96</v>
      </c>
      <c r="G4593" s="85">
        <v>-613.9</v>
      </c>
    </row>
    <row r="4594" spans="1:7" x14ac:dyDescent="0.3">
      <c r="A4594" s="84">
        <v>2026</v>
      </c>
      <c r="B4594" s="84" t="s">
        <v>399</v>
      </c>
      <c r="C4594" s="84">
        <v>4</v>
      </c>
      <c r="D4594" s="84">
        <v>3</v>
      </c>
      <c r="E4594" s="85">
        <v>12200.86</v>
      </c>
      <c r="F4594" s="85">
        <v>11894.54</v>
      </c>
      <c r="G4594" s="85">
        <v>-306.32</v>
      </c>
    </row>
    <row r="4595" spans="1:7" x14ac:dyDescent="0.3">
      <c r="A4595" s="84">
        <v>2026</v>
      </c>
      <c r="B4595" s="84" t="s">
        <v>399</v>
      </c>
      <c r="C4595" s="84">
        <v>4</v>
      </c>
      <c r="D4595" s="84">
        <v>4</v>
      </c>
      <c r="E4595" s="85">
        <v>12200.86</v>
      </c>
      <c r="F4595" s="85">
        <v>12200.86</v>
      </c>
      <c r="G4595" s="85">
        <v>0</v>
      </c>
    </row>
    <row r="4596" spans="1:7" x14ac:dyDescent="0.3">
      <c r="A4596" s="84">
        <v>2026</v>
      </c>
      <c r="B4596" s="84" t="s">
        <v>399</v>
      </c>
      <c r="C4596" s="84">
        <v>4</v>
      </c>
      <c r="D4596" s="84">
        <v>5</v>
      </c>
      <c r="E4596" s="85">
        <v>12200.86</v>
      </c>
      <c r="F4596" s="85">
        <v>12507.88</v>
      </c>
      <c r="G4596" s="85">
        <v>307.02</v>
      </c>
    </row>
    <row r="4597" spans="1:7" x14ac:dyDescent="0.3">
      <c r="A4597" s="84">
        <v>2026</v>
      </c>
      <c r="B4597" s="84" t="s">
        <v>399</v>
      </c>
      <c r="C4597" s="84">
        <v>4</v>
      </c>
      <c r="D4597" s="84">
        <v>6</v>
      </c>
      <c r="E4597" s="85">
        <v>12200.86</v>
      </c>
      <c r="F4597" s="85">
        <v>12712.7</v>
      </c>
      <c r="G4597" s="85">
        <v>511.84</v>
      </c>
    </row>
    <row r="4598" spans="1:7" x14ac:dyDescent="0.3">
      <c r="A4598" s="84">
        <v>2026</v>
      </c>
      <c r="B4598" s="84" t="s">
        <v>399</v>
      </c>
      <c r="C4598" s="84">
        <v>4</v>
      </c>
      <c r="D4598" s="84">
        <v>7</v>
      </c>
      <c r="E4598" s="85">
        <v>12200.86</v>
      </c>
      <c r="F4598" s="85">
        <v>12917.94</v>
      </c>
      <c r="G4598" s="85">
        <v>717.08</v>
      </c>
    </row>
    <row r="4599" spans="1:7" x14ac:dyDescent="0.3">
      <c r="A4599" s="84">
        <v>2026</v>
      </c>
      <c r="B4599" s="84" t="s">
        <v>399</v>
      </c>
      <c r="C4599" s="84">
        <v>4</v>
      </c>
      <c r="D4599" s="84">
        <v>8</v>
      </c>
      <c r="E4599" s="85">
        <v>12200.86</v>
      </c>
      <c r="F4599" s="85">
        <v>13122.48</v>
      </c>
      <c r="G4599" s="85">
        <v>921.62</v>
      </c>
    </row>
    <row r="4600" spans="1:7" x14ac:dyDescent="0.3">
      <c r="A4600" s="84">
        <v>2026</v>
      </c>
      <c r="B4600" s="84" t="s">
        <v>399</v>
      </c>
      <c r="C4600" s="84">
        <v>4</v>
      </c>
      <c r="D4600" s="84">
        <v>9</v>
      </c>
      <c r="E4600" s="85">
        <v>12200.86</v>
      </c>
      <c r="F4600" s="85">
        <v>13327.86</v>
      </c>
      <c r="G4600" s="85">
        <v>1127</v>
      </c>
    </row>
    <row r="4601" spans="1:7" x14ac:dyDescent="0.3">
      <c r="A4601" s="84">
        <v>2026</v>
      </c>
      <c r="B4601" s="84" t="s">
        <v>399</v>
      </c>
      <c r="C4601" s="84">
        <v>4</v>
      </c>
      <c r="D4601" s="84">
        <v>10</v>
      </c>
      <c r="E4601" s="85">
        <v>12200.86</v>
      </c>
      <c r="F4601" s="85">
        <v>13532.82</v>
      </c>
      <c r="G4601" s="85">
        <v>1331.96</v>
      </c>
    </row>
    <row r="4602" spans="1:7" x14ac:dyDescent="0.3">
      <c r="A4602" s="84">
        <v>2026</v>
      </c>
      <c r="B4602" s="84" t="s">
        <v>399</v>
      </c>
      <c r="C4602" s="84">
        <v>4</v>
      </c>
      <c r="D4602" s="84">
        <v>11</v>
      </c>
      <c r="E4602" s="85">
        <v>12200.86</v>
      </c>
      <c r="F4602" s="85">
        <v>13941.62</v>
      </c>
      <c r="G4602" s="85">
        <v>1740.76</v>
      </c>
    </row>
    <row r="4603" spans="1:7" x14ac:dyDescent="0.3">
      <c r="A4603" s="84">
        <v>2026</v>
      </c>
      <c r="B4603" s="84" t="s">
        <v>399</v>
      </c>
      <c r="C4603" s="84">
        <v>4</v>
      </c>
      <c r="D4603" s="84">
        <v>12</v>
      </c>
      <c r="E4603" s="85">
        <v>12200.86</v>
      </c>
      <c r="F4603" s="85">
        <v>14351.54</v>
      </c>
      <c r="G4603" s="85">
        <v>2150.6799999999998</v>
      </c>
    </row>
    <row r="4604" spans="1:7" x14ac:dyDescent="0.3">
      <c r="A4604" s="84">
        <v>2026</v>
      </c>
      <c r="B4604" s="84" t="s">
        <v>399</v>
      </c>
      <c r="C4604" s="84">
        <v>4</v>
      </c>
      <c r="D4604" s="84">
        <v>13</v>
      </c>
      <c r="E4604" s="85">
        <v>12200.86</v>
      </c>
      <c r="F4604" s="85">
        <v>14761.32</v>
      </c>
      <c r="G4604" s="85">
        <v>2560.46</v>
      </c>
    </row>
    <row r="4605" spans="1:7" x14ac:dyDescent="0.3">
      <c r="A4605" s="84">
        <v>2026</v>
      </c>
      <c r="B4605" s="84" t="s">
        <v>399</v>
      </c>
      <c r="C4605" s="84">
        <v>4</v>
      </c>
      <c r="D4605" s="84">
        <v>14</v>
      </c>
      <c r="E4605" s="85">
        <v>12200.86</v>
      </c>
      <c r="F4605" s="85">
        <v>15171.52</v>
      </c>
      <c r="G4605" s="85">
        <v>2970.66</v>
      </c>
    </row>
    <row r="4606" spans="1:7" x14ac:dyDescent="0.3">
      <c r="A4606" s="84">
        <v>2026</v>
      </c>
      <c r="B4606" s="84" t="s">
        <v>399</v>
      </c>
      <c r="C4606" s="84">
        <v>4</v>
      </c>
      <c r="D4606" s="84">
        <v>15</v>
      </c>
      <c r="E4606" s="85">
        <v>12200.86</v>
      </c>
      <c r="F4606" s="85">
        <v>15581.16</v>
      </c>
      <c r="G4606" s="85">
        <v>3380.3</v>
      </c>
    </row>
    <row r="4607" spans="1:7" x14ac:dyDescent="0.3">
      <c r="A4607" s="84">
        <v>2026</v>
      </c>
      <c r="B4607" s="84" t="s">
        <v>399</v>
      </c>
      <c r="C4607" s="84">
        <v>4</v>
      </c>
      <c r="D4607" s="84">
        <v>16</v>
      </c>
      <c r="E4607" s="85">
        <v>12200.86</v>
      </c>
      <c r="F4607" s="85">
        <v>15990.8</v>
      </c>
      <c r="G4607" s="85">
        <v>3789.94</v>
      </c>
    </row>
    <row r="4608" spans="1:7" x14ac:dyDescent="0.3">
      <c r="A4608" s="84">
        <v>2026</v>
      </c>
      <c r="B4608" s="84" t="s">
        <v>399</v>
      </c>
      <c r="C4608" s="84">
        <v>4</v>
      </c>
      <c r="D4608" s="84">
        <v>17</v>
      </c>
      <c r="E4608" s="85">
        <v>12200.86</v>
      </c>
      <c r="F4608" s="85">
        <v>16399.88</v>
      </c>
      <c r="G4608" s="85">
        <v>4199.0200000000004</v>
      </c>
    </row>
    <row r="4609" spans="1:7" x14ac:dyDescent="0.3">
      <c r="A4609" s="84">
        <v>2026</v>
      </c>
      <c r="B4609" s="84" t="s">
        <v>399</v>
      </c>
      <c r="C4609" s="84">
        <v>4</v>
      </c>
      <c r="D4609" s="84">
        <v>18</v>
      </c>
      <c r="E4609" s="85">
        <v>12200.86</v>
      </c>
      <c r="F4609" s="85">
        <v>16809.8</v>
      </c>
      <c r="G4609" s="85">
        <v>4608.9399999999996</v>
      </c>
    </row>
    <row r="4610" spans="1:7" x14ac:dyDescent="0.3">
      <c r="A4610" s="84">
        <v>2026</v>
      </c>
      <c r="B4610" s="84" t="s">
        <v>399</v>
      </c>
      <c r="C4610" s="84">
        <v>4</v>
      </c>
      <c r="D4610" s="84">
        <v>19</v>
      </c>
      <c r="E4610" s="85">
        <v>12200.86</v>
      </c>
      <c r="F4610" s="85">
        <v>17219.86</v>
      </c>
      <c r="G4610" s="85">
        <v>5019</v>
      </c>
    </row>
    <row r="4611" spans="1:7" x14ac:dyDescent="0.3">
      <c r="A4611" s="84">
        <v>2026</v>
      </c>
      <c r="B4611" s="84" t="s">
        <v>399</v>
      </c>
      <c r="C4611" s="84">
        <v>4</v>
      </c>
      <c r="D4611" s="84">
        <v>20</v>
      </c>
      <c r="E4611" s="85">
        <v>12200.86</v>
      </c>
      <c r="F4611" s="85">
        <v>17629.64</v>
      </c>
      <c r="G4611" s="85">
        <v>5428.78</v>
      </c>
    </row>
    <row r="4612" spans="1:7" x14ac:dyDescent="0.3">
      <c r="A4612" s="84">
        <v>2026</v>
      </c>
      <c r="B4612" s="84" t="s">
        <v>399</v>
      </c>
      <c r="C4612" s="84">
        <v>4</v>
      </c>
      <c r="D4612" s="84">
        <v>21</v>
      </c>
      <c r="E4612" s="85">
        <v>12200.86</v>
      </c>
      <c r="F4612" s="85">
        <v>18243.82</v>
      </c>
      <c r="G4612" s="85">
        <v>6042.96</v>
      </c>
    </row>
    <row r="4613" spans="1:7" x14ac:dyDescent="0.3">
      <c r="A4613" s="84">
        <v>2026</v>
      </c>
      <c r="B4613" s="84" t="s">
        <v>399</v>
      </c>
      <c r="C4613" s="84">
        <v>4</v>
      </c>
      <c r="D4613" s="84">
        <v>22</v>
      </c>
      <c r="E4613" s="85">
        <v>12200.86</v>
      </c>
      <c r="F4613" s="85">
        <v>18909.099999999999</v>
      </c>
      <c r="G4613" s="85">
        <v>6708.24</v>
      </c>
    </row>
    <row r="4614" spans="1:7" x14ac:dyDescent="0.3">
      <c r="A4614" s="84">
        <v>2026</v>
      </c>
      <c r="B4614" s="84" t="s">
        <v>399</v>
      </c>
      <c r="C4614" s="84">
        <v>4</v>
      </c>
      <c r="D4614" s="84">
        <v>23</v>
      </c>
      <c r="E4614" s="85">
        <v>12200.86</v>
      </c>
      <c r="F4614" s="85">
        <v>19576.759999999998</v>
      </c>
      <c r="G4614" s="85">
        <v>7375.9</v>
      </c>
    </row>
    <row r="4615" spans="1:7" x14ac:dyDescent="0.3">
      <c r="A4615" s="84">
        <v>2026</v>
      </c>
      <c r="B4615" s="84" t="s">
        <v>399</v>
      </c>
      <c r="C4615" s="84">
        <v>4</v>
      </c>
      <c r="D4615" s="84">
        <v>24</v>
      </c>
      <c r="E4615" s="85">
        <v>12200.86</v>
      </c>
      <c r="F4615" s="85">
        <v>20242.88</v>
      </c>
      <c r="G4615" s="85">
        <v>8042.02</v>
      </c>
    </row>
    <row r="4616" spans="1:7" x14ac:dyDescent="0.3">
      <c r="A4616" s="84">
        <v>2026</v>
      </c>
      <c r="B4616" s="84" t="s">
        <v>399</v>
      </c>
      <c r="C4616" s="84">
        <v>4</v>
      </c>
      <c r="D4616" s="84">
        <v>25</v>
      </c>
      <c r="E4616" s="85">
        <v>12200.86</v>
      </c>
      <c r="F4616" s="85">
        <v>20909.84</v>
      </c>
      <c r="G4616" s="85">
        <v>8708.98</v>
      </c>
    </row>
    <row r="4617" spans="1:7" x14ac:dyDescent="0.3">
      <c r="A4617" s="84">
        <v>2026</v>
      </c>
      <c r="B4617" s="84" t="s">
        <v>399</v>
      </c>
      <c r="C4617" s="84">
        <v>4</v>
      </c>
      <c r="D4617" s="84">
        <v>26</v>
      </c>
      <c r="E4617" s="85">
        <v>12200.86</v>
      </c>
      <c r="F4617" s="85">
        <v>22346.799999999999</v>
      </c>
      <c r="G4617" s="85">
        <v>10145.94</v>
      </c>
    </row>
    <row r="4618" spans="1:7" x14ac:dyDescent="0.3">
      <c r="A4618" s="84">
        <v>2026</v>
      </c>
      <c r="B4618" s="84" t="s">
        <v>399</v>
      </c>
      <c r="C4618" s="84">
        <v>4</v>
      </c>
      <c r="D4618" s="84">
        <v>27</v>
      </c>
      <c r="E4618" s="85">
        <v>12200.86</v>
      </c>
      <c r="F4618" s="85">
        <v>24128.720000000001</v>
      </c>
      <c r="G4618" s="85">
        <v>11927.86</v>
      </c>
    </row>
    <row r="4619" spans="1:7" x14ac:dyDescent="0.3">
      <c r="A4619" s="84">
        <v>2026</v>
      </c>
      <c r="B4619" s="84" t="s">
        <v>399</v>
      </c>
      <c r="C4619" s="84">
        <v>4</v>
      </c>
      <c r="D4619" s="84">
        <v>28</v>
      </c>
      <c r="E4619" s="85">
        <v>12200.86</v>
      </c>
      <c r="F4619" s="85">
        <v>24795.82</v>
      </c>
      <c r="G4619" s="85">
        <v>12594.96</v>
      </c>
    </row>
    <row r="4620" spans="1:7" x14ac:dyDescent="0.3">
      <c r="A4620" s="84">
        <v>2026</v>
      </c>
      <c r="B4620" s="84" t="s">
        <v>399</v>
      </c>
      <c r="C4620" s="84">
        <v>4</v>
      </c>
      <c r="D4620" s="84">
        <v>29</v>
      </c>
      <c r="E4620" s="85">
        <v>12200.86</v>
      </c>
      <c r="F4620" s="85">
        <v>25461.94</v>
      </c>
      <c r="G4620" s="85">
        <v>13261.08</v>
      </c>
    </row>
    <row r="4621" spans="1:7" x14ac:dyDescent="0.3">
      <c r="A4621" s="84">
        <v>2026</v>
      </c>
      <c r="B4621" s="84" t="s">
        <v>399</v>
      </c>
      <c r="C4621" s="84">
        <v>4</v>
      </c>
      <c r="D4621" s="84">
        <v>30</v>
      </c>
      <c r="E4621" s="85">
        <v>12200.86</v>
      </c>
      <c r="F4621" s="85">
        <v>27284.38</v>
      </c>
      <c r="G4621" s="85">
        <v>15083.52</v>
      </c>
    </row>
    <row r="4622" spans="1:7" x14ac:dyDescent="0.3">
      <c r="A4622" s="84">
        <v>2026</v>
      </c>
      <c r="B4622" s="84" t="s">
        <v>399</v>
      </c>
      <c r="C4622" s="84">
        <v>5</v>
      </c>
      <c r="D4622" s="84">
        <v>1</v>
      </c>
      <c r="E4622" s="85">
        <v>12507.88</v>
      </c>
      <c r="F4622" s="85">
        <v>11279.66</v>
      </c>
      <c r="G4622" s="85">
        <v>-1228.22</v>
      </c>
    </row>
    <row r="4623" spans="1:7" x14ac:dyDescent="0.3">
      <c r="A4623" s="84">
        <v>2026</v>
      </c>
      <c r="B4623" s="84" t="s">
        <v>399</v>
      </c>
      <c r="C4623" s="84">
        <v>5</v>
      </c>
      <c r="D4623" s="84">
        <v>2</v>
      </c>
      <c r="E4623" s="85">
        <v>12507.88</v>
      </c>
      <c r="F4623" s="85">
        <v>11586.96</v>
      </c>
      <c r="G4623" s="85">
        <v>-920.92</v>
      </c>
    </row>
    <row r="4624" spans="1:7" x14ac:dyDescent="0.3">
      <c r="A4624" s="84">
        <v>2026</v>
      </c>
      <c r="B4624" s="84" t="s">
        <v>399</v>
      </c>
      <c r="C4624" s="84">
        <v>5</v>
      </c>
      <c r="D4624" s="84">
        <v>3</v>
      </c>
      <c r="E4624" s="85">
        <v>12507.88</v>
      </c>
      <c r="F4624" s="85">
        <v>11894.54</v>
      </c>
      <c r="G4624" s="85">
        <v>-613.34</v>
      </c>
    </row>
    <row r="4625" spans="1:7" x14ac:dyDescent="0.3">
      <c r="A4625" s="84">
        <v>2026</v>
      </c>
      <c r="B4625" s="84" t="s">
        <v>399</v>
      </c>
      <c r="C4625" s="84">
        <v>5</v>
      </c>
      <c r="D4625" s="84">
        <v>4</v>
      </c>
      <c r="E4625" s="85">
        <v>12507.88</v>
      </c>
      <c r="F4625" s="85">
        <v>12200.86</v>
      </c>
      <c r="G4625" s="85">
        <v>-307.02</v>
      </c>
    </row>
    <row r="4626" spans="1:7" x14ac:dyDescent="0.3">
      <c r="A4626" s="84">
        <v>2026</v>
      </c>
      <c r="B4626" s="84" t="s">
        <v>399</v>
      </c>
      <c r="C4626" s="84">
        <v>5</v>
      </c>
      <c r="D4626" s="84">
        <v>5</v>
      </c>
      <c r="E4626" s="85">
        <v>12507.88</v>
      </c>
      <c r="F4626" s="85">
        <v>12507.88</v>
      </c>
      <c r="G4626" s="85">
        <v>0</v>
      </c>
    </row>
    <row r="4627" spans="1:7" x14ac:dyDescent="0.3">
      <c r="A4627" s="84">
        <v>2026</v>
      </c>
      <c r="B4627" s="84" t="s">
        <v>399</v>
      </c>
      <c r="C4627" s="84">
        <v>5</v>
      </c>
      <c r="D4627" s="84">
        <v>6</v>
      </c>
      <c r="E4627" s="85">
        <v>12507.88</v>
      </c>
      <c r="F4627" s="85">
        <v>12712.7</v>
      </c>
      <c r="G4627" s="85">
        <v>204.82</v>
      </c>
    </row>
    <row r="4628" spans="1:7" x14ac:dyDescent="0.3">
      <c r="A4628" s="84">
        <v>2026</v>
      </c>
      <c r="B4628" s="84" t="s">
        <v>399</v>
      </c>
      <c r="C4628" s="84">
        <v>5</v>
      </c>
      <c r="D4628" s="84">
        <v>7</v>
      </c>
      <c r="E4628" s="85">
        <v>12507.88</v>
      </c>
      <c r="F4628" s="85">
        <v>12917.94</v>
      </c>
      <c r="G4628" s="85">
        <v>410.06</v>
      </c>
    </row>
    <row r="4629" spans="1:7" x14ac:dyDescent="0.3">
      <c r="A4629" s="84">
        <v>2026</v>
      </c>
      <c r="B4629" s="84" t="s">
        <v>399</v>
      </c>
      <c r="C4629" s="84">
        <v>5</v>
      </c>
      <c r="D4629" s="84">
        <v>8</v>
      </c>
      <c r="E4629" s="85">
        <v>12507.88</v>
      </c>
      <c r="F4629" s="85">
        <v>13122.48</v>
      </c>
      <c r="G4629" s="85">
        <v>614.6</v>
      </c>
    </row>
    <row r="4630" spans="1:7" x14ac:dyDescent="0.3">
      <c r="A4630" s="84">
        <v>2026</v>
      </c>
      <c r="B4630" s="84" t="s">
        <v>399</v>
      </c>
      <c r="C4630" s="84">
        <v>5</v>
      </c>
      <c r="D4630" s="84">
        <v>9</v>
      </c>
      <c r="E4630" s="85">
        <v>12507.88</v>
      </c>
      <c r="F4630" s="85">
        <v>13327.86</v>
      </c>
      <c r="G4630" s="85">
        <v>819.98</v>
      </c>
    </row>
    <row r="4631" spans="1:7" x14ac:dyDescent="0.3">
      <c r="A4631" s="84">
        <v>2026</v>
      </c>
      <c r="B4631" s="84" t="s">
        <v>399</v>
      </c>
      <c r="C4631" s="84">
        <v>5</v>
      </c>
      <c r="D4631" s="84">
        <v>10</v>
      </c>
      <c r="E4631" s="85">
        <v>12507.88</v>
      </c>
      <c r="F4631" s="85">
        <v>13532.82</v>
      </c>
      <c r="G4631" s="85">
        <v>1024.94</v>
      </c>
    </row>
    <row r="4632" spans="1:7" x14ac:dyDescent="0.3">
      <c r="A4632" s="84">
        <v>2026</v>
      </c>
      <c r="B4632" s="84" t="s">
        <v>399</v>
      </c>
      <c r="C4632" s="84">
        <v>5</v>
      </c>
      <c r="D4632" s="84">
        <v>11</v>
      </c>
      <c r="E4632" s="85">
        <v>12507.88</v>
      </c>
      <c r="F4632" s="85">
        <v>13941.62</v>
      </c>
      <c r="G4632" s="85">
        <v>1433.74</v>
      </c>
    </row>
    <row r="4633" spans="1:7" x14ac:dyDescent="0.3">
      <c r="A4633" s="84">
        <v>2026</v>
      </c>
      <c r="B4633" s="84" t="s">
        <v>399</v>
      </c>
      <c r="C4633" s="84">
        <v>5</v>
      </c>
      <c r="D4633" s="84">
        <v>12</v>
      </c>
      <c r="E4633" s="85">
        <v>12507.88</v>
      </c>
      <c r="F4633" s="85">
        <v>14351.54</v>
      </c>
      <c r="G4633" s="85">
        <v>1843.66</v>
      </c>
    </row>
    <row r="4634" spans="1:7" x14ac:dyDescent="0.3">
      <c r="A4634" s="84">
        <v>2026</v>
      </c>
      <c r="B4634" s="84" t="s">
        <v>399</v>
      </c>
      <c r="C4634" s="84">
        <v>5</v>
      </c>
      <c r="D4634" s="84">
        <v>13</v>
      </c>
      <c r="E4634" s="85">
        <v>12507.88</v>
      </c>
      <c r="F4634" s="85">
        <v>14761.32</v>
      </c>
      <c r="G4634" s="85">
        <v>2253.44</v>
      </c>
    </row>
    <row r="4635" spans="1:7" x14ac:dyDescent="0.3">
      <c r="A4635" s="84">
        <v>2026</v>
      </c>
      <c r="B4635" s="84" t="s">
        <v>399</v>
      </c>
      <c r="C4635" s="84">
        <v>5</v>
      </c>
      <c r="D4635" s="84">
        <v>14</v>
      </c>
      <c r="E4635" s="85">
        <v>12507.88</v>
      </c>
      <c r="F4635" s="85">
        <v>15171.52</v>
      </c>
      <c r="G4635" s="85">
        <v>2663.64</v>
      </c>
    </row>
    <row r="4636" spans="1:7" x14ac:dyDescent="0.3">
      <c r="A4636" s="84">
        <v>2026</v>
      </c>
      <c r="B4636" s="84" t="s">
        <v>399</v>
      </c>
      <c r="C4636" s="84">
        <v>5</v>
      </c>
      <c r="D4636" s="84">
        <v>15</v>
      </c>
      <c r="E4636" s="85">
        <v>12507.88</v>
      </c>
      <c r="F4636" s="85">
        <v>15581.16</v>
      </c>
      <c r="G4636" s="85">
        <v>3073.28</v>
      </c>
    </row>
    <row r="4637" spans="1:7" x14ac:dyDescent="0.3">
      <c r="A4637" s="84">
        <v>2026</v>
      </c>
      <c r="B4637" s="84" t="s">
        <v>399</v>
      </c>
      <c r="C4637" s="84">
        <v>5</v>
      </c>
      <c r="D4637" s="84">
        <v>16</v>
      </c>
      <c r="E4637" s="85">
        <v>12507.88</v>
      </c>
      <c r="F4637" s="85">
        <v>15990.8</v>
      </c>
      <c r="G4637" s="85">
        <v>3482.92</v>
      </c>
    </row>
    <row r="4638" spans="1:7" x14ac:dyDescent="0.3">
      <c r="A4638" s="84">
        <v>2026</v>
      </c>
      <c r="B4638" s="84" t="s">
        <v>399</v>
      </c>
      <c r="C4638" s="84">
        <v>5</v>
      </c>
      <c r="D4638" s="84">
        <v>17</v>
      </c>
      <c r="E4638" s="85">
        <v>12507.88</v>
      </c>
      <c r="F4638" s="85">
        <v>16399.88</v>
      </c>
      <c r="G4638" s="85">
        <v>3892</v>
      </c>
    </row>
    <row r="4639" spans="1:7" x14ac:dyDescent="0.3">
      <c r="A4639" s="84">
        <v>2026</v>
      </c>
      <c r="B4639" s="84" t="s">
        <v>399</v>
      </c>
      <c r="C4639" s="84">
        <v>5</v>
      </c>
      <c r="D4639" s="84">
        <v>18</v>
      </c>
      <c r="E4639" s="85">
        <v>12507.88</v>
      </c>
      <c r="F4639" s="85">
        <v>16809.8</v>
      </c>
      <c r="G4639" s="85">
        <v>4301.92</v>
      </c>
    </row>
    <row r="4640" spans="1:7" x14ac:dyDescent="0.3">
      <c r="A4640" s="84">
        <v>2026</v>
      </c>
      <c r="B4640" s="84" t="s">
        <v>399</v>
      </c>
      <c r="C4640" s="84">
        <v>5</v>
      </c>
      <c r="D4640" s="84">
        <v>19</v>
      </c>
      <c r="E4640" s="85">
        <v>12507.88</v>
      </c>
      <c r="F4640" s="85">
        <v>17219.86</v>
      </c>
      <c r="G4640" s="85">
        <v>4711.9799999999996</v>
      </c>
    </row>
    <row r="4641" spans="1:7" x14ac:dyDescent="0.3">
      <c r="A4641" s="84">
        <v>2026</v>
      </c>
      <c r="B4641" s="84" t="s">
        <v>399</v>
      </c>
      <c r="C4641" s="84">
        <v>5</v>
      </c>
      <c r="D4641" s="84">
        <v>20</v>
      </c>
      <c r="E4641" s="85">
        <v>12507.88</v>
      </c>
      <c r="F4641" s="85">
        <v>17629.64</v>
      </c>
      <c r="G4641" s="85">
        <v>5121.76</v>
      </c>
    </row>
    <row r="4642" spans="1:7" x14ac:dyDescent="0.3">
      <c r="A4642" s="84">
        <v>2026</v>
      </c>
      <c r="B4642" s="84" t="s">
        <v>399</v>
      </c>
      <c r="C4642" s="84">
        <v>5</v>
      </c>
      <c r="D4642" s="84">
        <v>21</v>
      </c>
      <c r="E4642" s="85">
        <v>12507.88</v>
      </c>
      <c r="F4642" s="85">
        <v>18243.82</v>
      </c>
      <c r="G4642" s="85">
        <v>5735.94</v>
      </c>
    </row>
    <row r="4643" spans="1:7" x14ac:dyDescent="0.3">
      <c r="A4643" s="84">
        <v>2026</v>
      </c>
      <c r="B4643" s="84" t="s">
        <v>399</v>
      </c>
      <c r="C4643" s="84">
        <v>5</v>
      </c>
      <c r="D4643" s="84">
        <v>22</v>
      </c>
      <c r="E4643" s="85">
        <v>12507.88</v>
      </c>
      <c r="F4643" s="85">
        <v>18909.099999999999</v>
      </c>
      <c r="G4643" s="85">
        <v>6401.22</v>
      </c>
    </row>
    <row r="4644" spans="1:7" x14ac:dyDescent="0.3">
      <c r="A4644" s="84">
        <v>2026</v>
      </c>
      <c r="B4644" s="84" t="s">
        <v>399</v>
      </c>
      <c r="C4644" s="84">
        <v>5</v>
      </c>
      <c r="D4644" s="84">
        <v>23</v>
      </c>
      <c r="E4644" s="85">
        <v>12507.88</v>
      </c>
      <c r="F4644" s="85">
        <v>19576.759999999998</v>
      </c>
      <c r="G4644" s="85">
        <v>7068.88</v>
      </c>
    </row>
    <row r="4645" spans="1:7" x14ac:dyDescent="0.3">
      <c r="A4645" s="84">
        <v>2026</v>
      </c>
      <c r="B4645" s="84" t="s">
        <v>399</v>
      </c>
      <c r="C4645" s="84">
        <v>5</v>
      </c>
      <c r="D4645" s="84">
        <v>24</v>
      </c>
      <c r="E4645" s="85">
        <v>12507.88</v>
      </c>
      <c r="F4645" s="85">
        <v>20242.88</v>
      </c>
      <c r="G4645" s="85">
        <v>7735</v>
      </c>
    </row>
    <row r="4646" spans="1:7" x14ac:dyDescent="0.3">
      <c r="A4646" s="84">
        <v>2026</v>
      </c>
      <c r="B4646" s="84" t="s">
        <v>399</v>
      </c>
      <c r="C4646" s="84">
        <v>5</v>
      </c>
      <c r="D4646" s="84">
        <v>25</v>
      </c>
      <c r="E4646" s="85">
        <v>12507.88</v>
      </c>
      <c r="F4646" s="85">
        <v>20909.84</v>
      </c>
      <c r="G4646" s="85">
        <v>8401.9599999999991</v>
      </c>
    </row>
    <row r="4647" spans="1:7" x14ac:dyDescent="0.3">
      <c r="A4647" s="84">
        <v>2026</v>
      </c>
      <c r="B4647" s="84" t="s">
        <v>399</v>
      </c>
      <c r="C4647" s="84">
        <v>5</v>
      </c>
      <c r="D4647" s="84">
        <v>26</v>
      </c>
      <c r="E4647" s="85">
        <v>12507.88</v>
      </c>
      <c r="F4647" s="85">
        <v>22346.799999999999</v>
      </c>
      <c r="G4647" s="85">
        <v>9838.92</v>
      </c>
    </row>
    <row r="4648" spans="1:7" x14ac:dyDescent="0.3">
      <c r="A4648" s="84">
        <v>2026</v>
      </c>
      <c r="B4648" s="84" t="s">
        <v>399</v>
      </c>
      <c r="C4648" s="84">
        <v>5</v>
      </c>
      <c r="D4648" s="84">
        <v>27</v>
      </c>
      <c r="E4648" s="85">
        <v>12507.88</v>
      </c>
      <c r="F4648" s="85">
        <v>24128.720000000001</v>
      </c>
      <c r="G4648" s="85">
        <v>11620.84</v>
      </c>
    </row>
    <row r="4649" spans="1:7" x14ac:dyDescent="0.3">
      <c r="A4649" s="84">
        <v>2026</v>
      </c>
      <c r="B4649" s="84" t="s">
        <v>399</v>
      </c>
      <c r="C4649" s="84">
        <v>5</v>
      </c>
      <c r="D4649" s="84">
        <v>28</v>
      </c>
      <c r="E4649" s="85">
        <v>12507.88</v>
      </c>
      <c r="F4649" s="85">
        <v>24795.82</v>
      </c>
      <c r="G4649" s="85">
        <v>12287.94</v>
      </c>
    </row>
    <row r="4650" spans="1:7" x14ac:dyDescent="0.3">
      <c r="A4650" s="84">
        <v>2026</v>
      </c>
      <c r="B4650" s="84" t="s">
        <v>399</v>
      </c>
      <c r="C4650" s="84">
        <v>5</v>
      </c>
      <c r="D4650" s="84">
        <v>29</v>
      </c>
      <c r="E4650" s="85">
        <v>12507.88</v>
      </c>
      <c r="F4650" s="85">
        <v>25461.94</v>
      </c>
      <c r="G4650" s="85">
        <v>12954.06</v>
      </c>
    </row>
    <row r="4651" spans="1:7" x14ac:dyDescent="0.3">
      <c r="A4651" s="84">
        <v>2026</v>
      </c>
      <c r="B4651" s="84" t="s">
        <v>399</v>
      </c>
      <c r="C4651" s="84">
        <v>5</v>
      </c>
      <c r="D4651" s="84">
        <v>30</v>
      </c>
      <c r="E4651" s="85">
        <v>12507.88</v>
      </c>
      <c r="F4651" s="85">
        <v>27284.38</v>
      </c>
      <c r="G4651" s="85">
        <v>14776.5</v>
      </c>
    </row>
    <row r="4652" spans="1:7" x14ac:dyDescent="0.3">
      <c r="A4652" s="84">
        <v>2026</v>
      </c>
      <c r="B4652" s="84" t="s">
        <v>399</v>
      </c>
      <c r="C4652" s="84">
        <v>6</v>
      </c>
      <c r="D4652" s="84">
        <v>1</v>
      </c>
      <c r="E4652" s="85">
        <v>12712.7</v>
      </c>
      <c r="F4652" s="85">
        <v>11279.66</v>
      </c>
      <c r="G4652" s="85">
        <v>-1433.04</v>
      </c>
    </row>
    <row r="4653" spans="1:7" x14ac:dyDescent="0.3">
      <c r="A4653" s="84">
        <v>2026</v>
      </c>
      <c r="B4653" s="84" t="s">
        <v>399</v>
      </c>
      <c r="C4653" s="84">
        <v>6</v>
      </c>
      <c r="D4653" s="84">
        <v>2</v>
      </c>
      <c r="E4653" s="85">
        <v>12712.7</v>
      </c>
      <c r="F4653" s="85">
        <v>11586.96</v>
      </c>
      <c r="G4653" s="85">
        <v>-1125.74</v>
      </c>
    </row>
    <row r="4654" spans="1:7" x14ac:dyDescent="0.3">
      <c r="A4654" s="84">
        <v>2026</v>
      </c>
      <c r="B4654" s="84" t="s">
        <v>399</v>
      </c>
      <c r="C4654" s="84">
        <v>6</v>
      </c>
      <c r="D4654" s="84">
        <v>3</v>
      </c>
      <c r="E4654" s="85">
        <v>12712.7</v>
      </c>
      <c r="F4654" s="85">
        <v>11894.54</v>
      </c>
      <c r="G4654" s="85">
        <v>-818.16</v>
      </c>
    </row>
    <row r="4655" spans="1:7" x14ac:dyDescent="0.3">
      <c r="A4655" s="84">
        <v>2026</v>
      </c>
      <c r="B4655" s="84" t="s">
        <v>399</v>
      </c>
      <c r="C4655" s="84">
        <v>6</v>
      </c>
      <c r="D4655" s="84">
        <v>4</v>
      </c>
      <c r="E4655" s="85">
        <v>12712.7</v>
      </c>
      <c r="F4655" s="85">
        <v>12200.86</v>
      </c>
      <c r="G4655" s="85">
        <v>-511.84</v>
      </c>
    </row>
    <row r="4656" spans="1:7" x14ac:dyDescent="0.3">
      <c r="A4656" s="84">
        <v>2026</v>
      </c>
      <c r="B4656" s="84" t="s">
        <v>399</v>
      </c>
      <c r="C4656" s="84">
        <v>6</v>
      </c>
      <c r="D4656" s="84">
        <v>5</v>
      </c>
      <c r="E4656" s="85">
        <v>12712.7</v>
      </c>
      <c r="F4656" s="85">
        <v>12507.88</v>
      </c>
      <c r="G4656" s="85">
        <v>-204.82</v>
      </c>
    </row>
    <row r="4657" spans="1:7" x14ac:dyDescent="0.3">
      <c r="A4657" s="84">
        <v>2026</v>
      </c>
      <c r="B4657" s="84" t="s">
        <v>399</v>
      </c>
      <c r="C4657" s="84">
        <v>6</v>
      </c>
      <c r="D4657" s="84">
        <v>6</v>
      </c>
      <c r="E4657" s="85">
        <v>12712.7</v>
      </c>
      <c r="F4657" s="85">
        <v>12712.7</v>
      </c>
      <c r="G4657" s="85">
        <v>0</v>
      </c>
    </row>
    <row r="4658" spans="1:7" x14ac:dyDescent="0.3">
      <c r="A4658" s="84">
        <v>2026</v>
      </c>
      <c r="B4658" s="84" t="s">
        <v>399</v>
      </c>
      <c r="C4658" s="84">
        <v>6</v>
      </c>
      <c r="D4658" s="84">
        <v>7</v>
      </c>
      <c r="E4658" s="85">
        <v>12712.7</v>
      </c>
      <c r="F4658" s="85">
        <v>12917.94</v>
      </c>
      <c r="G4658" s="85">
        <v>205.24</v>
      </c>
    </row>
    <row r="4659" spans="1:7" x14ac:dyDescent="0.3">
      <c r="A4659" s="84">
        <v>2026</v>
      </c>
      <c r="B4659" s="84" t="s">
        <v>399</v>
      </c>
      <c r="C4659" s="84">
        <v>6</v>
      </c>
      <c r="D4659" s="84">
        <v>8</v>
      </c>
      <c r="E4659" s="85">
        <v>12712.7</v>
      </c>
      <c r="F4659" s="85">
        <v>13122.48</v>
      </c>
      <c r="G4659" s="85">
        <v>409.78</v>
      </c>
    </row>
    <row r="4660" spans="1:7" x14ac:dyDescent="0.3">
      <c r="A4660" s="84">
        <v>2026</v>
      </c>
      <c r="B4660" s="84" t="s">
        <v>399</v>
      </c>
      <c r="C4660" s="84">
        <v>6</v>
      </c>
      <c r="D4660" s="84">
        <v>9</v>
      </c>
      <c r="E4660" s="85">
        <v>12712.7</v>
      </c>
      <c r="F4660" s="85">
        <v>13327.86</v>
      </c>
      <c r="G4660" s="85">
        <v>615.16</v>
      </c>
    </row>
    <row r="4661" spans="1:7" x14ac:dyDescent="0.3">
      <c r="A4661" s="84">
        <v>2026</v>
      </c>
      <c r="B4661" s="84" t="s">
        <v>399</v>
      </c>
      <c r="C4661" s="84">
        <v>6</v>
      </c>
      <c r="D4661" s="84">
        <v>10</v>
      </c>
      <c r="E4661" s="85">
        <v>12712.7</v>
      </c>
      <c r="F4661" s="85">
        <v>13532.82</v>
      </c>
      <c r="G4661" s="85">
        <v>820.12</v>
      </c>
    </row>
    <row r="4662" spans="1:7" x14ac:dyDescent="0.3">
      <c r="A4662" s="84">
        <v>2026</v>
      </c>
      <c r="B4662" s="84" t="s">
        <v>399</v>
      </c>
      <c r="C4662" s="84">
        <v>6</v>
      </c>
      <c r="D4662" s="84">
        <v>11</v>
      </c>
      <c r="E4662" s="85">
        <v>12712.7</v>
      </c>
      <c r="F4662" s="85">
        <v>13941.62</v>
      </c>
      <c r="G4662" s="85">
        <v>1228.92</v>
      </c>
    </row>
    <row r="4663" spans="1:7" x14ac:dyDescent="0.3">
      <c r="A4663" s="84">
        <v>2026</v>
      </c>
      <c r="B4663" s="84" t="s">
        <v>399</v>
      </c>
      <c r="C4663" s="84">
        <v>6</v>
      </c>
      <c r="D4663" s="84">
        <v>12</v>
      </c>
      <c r="E4663" s="85">
        <v>12712.7</v>
      </c>
      <c r="F4663" s="85">
        <v>14351.54</v>
      </c>
      <c r="G4663" s="85">
        <v>1638.84</v>
      </c>
    </row>
    <row r="4664" spans="1:7" x14ac:dyDescent="0.3">
      <c r="A4664" s="84">
        <v>2026</v>
      </c>
      <c r="B4664" s="84" t="s">
        <v>399</v>
      </c>
      <c r="C4664" s="84">
        <v>6</v>
      </c>
      <c r="D4664" s="84">
        <v>13</v>
      </c>
      <c r="E4664" s="85">
        <v>12712.7</v>
      </c>
      <c r="F4664" s="85">
        <v>14761.32</v>
      </c>
      <c r="G4664" s="85">
        <v>2048.62</v>
      </c>
    </row>
    <row r="4665" spans="1:7" x14ac:dyDescent="0.3">
      <c r="A4665" s="84">
        <v>2026</v>
      </c>
      <c r="B4665" s="84" t="s">
        <v>399</v>
      </c>
      <c r="C4665" s="84">
        <v>6</v>
      </c>
      <c r="D4665" s="84">
        <v>14</v>
      </c>
      <c r="E4665" s="85">
        <v>12712.7</v>
      </c>
      <c r="F4665" s="85">
        <v>15171.52</v>
      </c>
      <c r="G4665" s="85">
        <v>2458.8200000000002</v>
      </c>
    </row>
    <row r="4666" spans="1:7" x14ac:dyDescent="0.3">
      <c r="A4666" s="84">
        <v>2026</v>
      </c>
      <c r="B4666" s="84" t="s">
        <v>399</v>
      </c>
      <c r="C4666" s="84">
        <v>6</v>
      </c>
      <c r="D4666" s="84">
        <v>15</v>
      </c>
      <c r="E4666" s="85">
        <v>12712.7</v>
      </c>
      <c r="F4666" s="85">
        <v>15581.16</v>
      </c>
      <c r="G4666" s="85">
        <v>2868.46</v>
      </c>
    </row>
    <row r="4667" spans="1:7" x14ac:dyDescent="0.3">
      <c r="A4667" s="84">
        <v>2026</v>
      </c>
      <c r="B4667" s="84" t="s">
        <v>399</v>
      </c>
      <c r="C4667" s="84">
        <v>6</v>
      </c>
      <c r="D4667" s="84">
        <v>16</v>
      </c>
      <c r="E4667" s="85">
        <v>12712.7</v>
      </c>
      <c r="F4667" s="85">
        <v>15990.8</v>
      </c>
      <c r="G4667" s="85">
        <v>3278.1</v>
      </c>
    </row>
    <row r="4668" spans="1:7" x14ac:dyDescent="0.3">
      <c r="A4668" s="84">
        <v>2026</v>
      </c>
      <c r="B4668" s="84" t="s">
        <v>399</v>
      </c>
      <c r="C4668" s="84">
        <v>6</v>
      </c>
      <c r="D4668" s="84">
        <v>17</v>
      </c>
      <c r="E4668" s="85">
        <v>12712.7</v>
      </c>
      <c r="F4668" s="85">
        <v>16399.88</v>
      </c>
      <c r="G4668" s="85">
        <v>3687.18</v>
      </c>
    </row>
    <row r="4669" spans="1:7" x14ac:dyDescent="0.3">
      <c r="A4669" s="84">
        <v>2026</v>
      </c>
      <c r="B4669" s="84" t="s">
        <v>399</v>
      </c>
      <c r="C4669" s="84">
        <v>6</v>
      </c>
      <c r="D4669" s="84">
        <v>18</v>
      </c>
      <c r="E4669" s="85">
        <v>12712.7</v>
      </c>
      <c r="F4669" s="85">
        <v>16809.8</v>
      </c>
      <c r="G4669" s="85">
        <v>4097.1000000000004</v>
      </c>
    </row>
    <row r="4670" spans="1:7" x14ac:dyDescent="0.3">
      <c r="A4670" s="84">
        <v>2026</v>
      </c>
      <c r="B4670" s="84" t="s">
        <v>399</v>
      </c>
      <c r="C4670" s="84">
        <v>6</v>
      </c>
      <c r="D4670" s="84">
        <v>19</v>
      </c>
      <c r="E4670" s="85">
        <v>12712.7</v>
      </c>
      <c r="F4670" s="85">
        <v>17219.86</v>
      </c>
      <c r="G4670" s="85">
        <v>4507.16</v>
      </c>
    </row>
    <row r="4671" spans="1:7" x14ac:dyDescent="0.3">
      <c r="A4671" s="84">
        <v>2026</v>
      </c>
      <c r="B4671" s="84" t="s">
        <v>399</v>
      </c>
      <c r="C4671" s="84">
        <v>6</v>
      </c>
      <c r="D4671" s="84">
        <v>20</v>
      </c>
      <c r="E4671" s="85">
        <v>12712.7</v>
      </c>
      <c r="F4671" s="85">
        <v>17629.64</v>
      </c>
      <c r="G4671" s="85">
        <v>4916.9399999999996</v>
      </c>
    </row>
    <row r="4672" spans="1:7" x14ac:dyDescent="0.3">
      <c r="A4672" s="84">
        <v>2026</v>
      </c>
      <c r="B4672" s="84" t="s">
        <v>399</v>
      </c>
      <c r="C4672" s="84">
        <v>6</v>
      </c>
      <c r="D4672" s="84">
        <v>21</v>
      </c>
      <c r="E4672" s="85">
        <v>12712.7</v>
      </c>
      <c r="F4672" s="85">
        <v>18243.82</v>
      </c>
      <c r="G4672" s="85">
        <v>5531.12</v>
      </c>
    </row>
    <row r="4673" spans="1:7" x14ac:dyDescent="0.3">
      <c r="A4673" s="84">
        <v>2026</v>
      </c>
      <c r="B4673" s="84" t="s">
        <v>399</v>
      </c>
      <c r="C4673" s="84">
        <v>6</v>
      </c>
      <c r="D4673" s="84">
        <v>22</v>
      </c>
      <c r="E4673" s="85">
        <v>12712.7</v>
      </c>
      <c r="F4673" s="85">
        <v>18909.099999999999</v>
      </c>
      <c r="G4673" s="85">
        <v>6196.4</v>
      </c>
    </row>
    <row r="4674" spans="1:7" x14ac:dyDescent="0.3">
      <c r="A4674" s="84">
        <v>2026</v>
      </c>
      <c r="B4674" s="84" t="s">
        <v>399</v>
      </c>
      <c r="C4674" s="84">
        <v>6</v>
      </c>
      <c r="D4674" s="84">
        <v>23</v>
      </c>
      <c r="E4674" s="85">
        <v>12712.7</v>
      </c>
      <c r="F4674" s="85">
        <v>19576.759999999998</v>
      </c>
      <c r="G4674" s="85">
        <v>6864.06</v>
      </c>
    </row>
    <row r="4675" spans="1:7" x14ac:dyDescent="0.3">
      <c r="A4675" s="84">
        <v>2026</v>
      </c>
      <c r="B4675" s="84" t="s">
        <v>399</v>
      </c>
      <c r="C4675" s="84">
        <v>6</v>
      </c>
      <c r="D4675" s="84">
        <v>24</v>
      </c>
      <c r="E4675" s="85">
        <v>12712.7</v>
      </c>
      <c r="F4675" s="85">
        <v>20242.88</v>
      </c>
      <c r="G4675" s="85">
        <v>7530.18</v>
      </c>
    </row>
    <row r="4676" spans="1:7" x14ac:dyDescent="0.3">
      <c r="A4676" s="84">
        <v>2026</v>
      </c>
      <c r="B4676" s="84" t="s">
        <v>399</v>
      </c>
      <c r="C4676" s="84">
        <v>6</v>
      </c>
      <c r="D4676" s="84">
        <v>25</v>
      </c>
      <c r="E4676" s="85">
        <v>12712.7</v>
      </c>
      <c r="F4676" s="85">
        <v>20909.84</v>
      </c>
      <c r="G4676" s="85">
        <v>8197.14</v>
      </c>
    </row>
    <row r="4677" spans="1:7" x14ac:dyDescent="0.3">
      <c r="A4677" s="84">
        <v>2026</v>
      </c>
      <c r="B4677" s="84" t="s">
        <v>399</v>
      </c>
      <c r="C4677" s="84">
        <v>6</v>
      </c>
      <c r="D4677" s="84">
        <v>26</v>
      </c>
      <c r="E4677" s="85">
        <v>12712.7</v>
      </c>
      <c r="F4677" s="85">
        <v>22346.799999999999</v>
      </c>
      <c r="G4677" s="85">
        <v>9634.1</v>
      </c>
    </row>
    <row r="4678" spans="1:7" x14ac:dyDescent="0.3">
      <c r="A4678" s="84">
        <v>2026</v>
      </c>
      <c r="B4678" s="84" t="s">
        <v>399</v>
      </c>
      <c r="C4678" s="84">
        <v>6</v>
      </c>
      <c r="D4678" s="84">
        <v>27</v>
      </c>
      <c r="E4678" s="85">
        <v>12712.7</v>
      </c>
      <c r="F4678" s="85">
        <v>24128.720000000001</v>
      </c>
      <c r="G4678" s="85">
        <v>11416.02</v>
      </c>
    </row>
    <row r="4679" spans="1:7" x14ac:dyDescent="0.3">
      <c r="A4679" s="84">
        <v>2026</v>
      </c>
      <c r="B4679" s="84" t="s">
        <v>399</v>
      </c>
      <c r="C4679" s="84">
        <v>6</v>
      </c>
      <c r="D4679" s="84">
        <v>28</v>
      </c>
      <c r="E4679" s="85">
        <v>12712.7</v>
      </c>
      <c r="F4679" s="85">
        <v>24795.82</v>
      </c>
      <c r="G4679" s="85">
        <v>12083.12</v>
      </c>
    </row>
    <row r="4680" spans="1:7" x14ac:dyDescent="0.3">
      <c r="A4680" s="84">
        <v>2026</v>
      </c>
      <c r="B4680" s="84" t="s">
        <v>399</v>
      </c>
      <c r="C4680" s="84">
        <v>6</v>
      </c>
      <c r="D4680" s="84">
        <v>29</v>
      </c>
      <c r="E4680" s="85">
        <v>12712.7</v>
      </c>
      <c r="F4680" s="85">
        <v>25461.94</v>
      </c>
      <c r="G4680" s="85">
        <v>12749.24</v>
      </c>
    </row>
    <row r="4681" spans="1:7" x14ac:dyDescent="0.3">
      <c r="A4681" s="84">
        <v>2026</v>
      </c>
      <c r="B4681" s="84" t="s">
        <v>399</v>
      </c>
      <c r="C4681" s="84">
        <v>6</v>
      </c>
      <c r="D4681" s="84">
        <v>30</v>
      </c>
      <c r="E4681" s="85">
        <v>12712.7</v>
      </c>
      <c r="F4681" s="85">
        <v>27284.38</v>
      </c>
      <c r="G4681" s="85">
        <v>14571.68</v>
      </c>
    </row>
    <row r="4682" spans="1:7" x14ac:dyDescent="0.3">
      <c r="A4682" s="84">
        <v>2026</v>
      </c>
      <c r="B4682" s="84" t="s">
        <v>399</v>
      </c>
      <c r="C4682" s="84">
        <v>7</v>
      </c>
      <c r="D4682" s="84">
        <v>1</v>
      </c>
      <c r="E4682" s="85">
        <v>12917.94</v>
      </c>
      <c r="F4682" s="85">
        <v>11279.66</v>
      </c>
      <c r="G4682" s="85">
        <v>-1638.28</v>
      </c>
    </row>
    <row r="4683" spans="1:7" x14ac:dyDescent="0.3">
      <c r="A4683" s="84">
        <v>2026</v>
      </c>
      <c r="B4683" s="84" t="s">
        <v>399</v>
      </c>
      <c r="C4683" s="84">
        <v>7</v>
      </c>
      <c r="D4683" s="84">
        <v>2</v>
      </c>
      <c r="E4683" s="85">
        <v>12917.94</v>
      </c>
      <c r="F4683" s="85">
        <v>11586.96</v>
      </c>
      <c r="G4683" s="85">
        <v>-1330.98</v>
      </c>
    </row>
    <row r="4684" spans="1:7" x14ac:dyDescent="0.3">
      <c r="A4684" s="84">
        <v>2026</v>
      </c>
      <c r="B4684" s="84" t="s">
        <v>399</v>
      </c>
      <c r="C4684" s="84">
        <v>7</v>
      </c>
      <c r="D4684" s="84">
        <v>3</v>
      </c>
      <c r="E4684" s="85">
        <v>12917.94</v>
      </c>
      <c r="F4684" s="85">
        <v>11894.54</v>
      </c>
      <c r="G4684" s="85">
        <v>-1023.4</v>
      </c>
    </row>
    <row r="4685" spans="1:7" x14ac:dyDescent="0.3">
      <c r="A4685" s="84">
        <v>2026</v>
      </c>
      <c r="B4685" s="84" t="s">
        <v>399</v>
      </c>
      <c r="C4685" s="84">
        <v>7</v>
      </c>
      <c r="D4685" s="84">
        <v>4</v>
      </c>
      <c r="E4685" s="85">
        <v>12917.94</v>
      </c>
      <c r="F4685" s="85">
        <v>12200.86</v>
      </c>
      <c r="G4685" s="85">
        <v>-717.08</v>
      </c>
    </row>
    <row r="4686" spans="1:7" x14ac:dyDescent="0.3">
      <c r="A4686" s="84">
        <v>2026</v>
      </c>
      <c r="B4686" s="84" t="s">
        <v>399</v>
      </c>
      <c r="C4686" s="84">
        <v>7</v>
      </c>
      <c r="D4686" s="84">
        <v>5</v>
      </c>
      <c r="E4686" s="85">
        <v>12917.94</v>
      </c>
      <c r="F4686" s="85">
        <v>12507.88</v>
      </c>
      <c r="G4686" s="85">
        <v>-410.06</v>
      </c>
    </row>
    <row r="4687" spans="1:7" x14ac:dyDescent="0.3">
      <c r="A4687" s="84">
        <v>2026</v>
      </c>
      <c r="B4687" s="84" t="s">
        <v>399</v>
      </c>
      <c r="C4687" s="84">
        <v>7</v>
      </c>
      <c r="D4687" s="84">
        <v>6</v>
      </c>
      <c r="E4687" s="85">
        <v>12917.94</v>
      </c>
      <c r="F4687" s="85">
        <v>12712.7</v>
      </c>
      <c r="G4687" s="85">
        <v>-205.24</v>
      </c>
    </row>
    <row r="4688" spans="1:7" x14ac:dyDescent="0.3">
      <c r="A4688" s="84">
        <v>2026</v>
      </c>
      <c r="B4688" s="84" t="s">
        <v>399</v>
      </c>
      <c r="C4688" s="84">
        <v>7</v>
      </c>
      <c r="D4688" s="84">
        <v>7</v>
      </c>
      <c r="E4688" s="85">
        <v>12917.94</v>
      </c>
      <c r="F4688" s="85">
        <v>12917.94</v>
      </c>
      <c r="G4688" s="85">
        <v>0</v>
      </c>
    </row>
    <row r="4689" spans="1:7" x14ac:dyDescent="0.3">
      <c r="A4689" s="84">
        <v>2026</v>
      </c>
      <c r="B4689" s="84" t="s">
        <v>399</v>
      </c>
      <c r="C4689" s="84">
        <v>7</v>
      </c>
      <c r="D4689" s="84">
        <v>8</v>
      </c>
      <c r="E4689" s="85">
        <v>12917.94</v>
      </c>
      <c r="F4689" s="85">
        <v>13122.48</v>
      </c>
      <c r="G4689" s="85">
        <v>204.54</v>
      </c>
    </row>
    <row r="4690" spans="1:7" x14ac:dyDescent="0.3">
      <c r="A4690" s="84">
        <v>2026</v>
      </c>
      <c r="B4690" s="84" t="s">
        <v>399</v>
      </c>
      <c r="C4690" s="84">
        <v>7</v>
      </c>
      <c r="D4690" s="84">
        <v>9</v>
      </c>
      <c r="E4690" s="85">
        <v>12917.94</v>
      </c>
      <c r="F4690" s="85">
        <v>13327.86</v>
      </c>
      <c r="G4690" s="85">
        <v>409.92</v>
      </c>
    </row>
    <row r="4691" spans="1:7" x14ac:dyDescent="0.3">
      <c r="A4691" s="84">
        <v>2026</v>
      </c>
      <c r="B4691" s="84" t="s">
        <v>399</v>
      </c>
      <c r="C4691" s="84">
        <v>7</v>
      </c>
      <c r="D4691" s="84">
        <v>10</v>
      </c>
      <c r="E4691" s="85">
        <v>12917.94</v>
      </c>
      <c r="F4691" s="85">
        <v>13532.82</v>
      </c>
      <c r="G4691" s="85">
        <v>614.88</v>
      </c>
    </row>
    <row r="4692" spans="1:7" x14ac:dyDescent="0.3">
      <c r="A4692" s="84">
        <v>2026</v>
      </c>
      <c r="B4692" s="84" t="s">
        <v>399</v>
      </c>
      <c r="C4692" s="84">
        <v>7</v>
      </c>
      <c r="D4692" s="84">
        <v>11</v>
      </c>
      <c r="E4692" s="85">
        <v>12917.94</v>
      </c>
      <c r="F4692" s="85">
        <v>13941.62</v>
      </c>
      <c r="G4692" s="85">
        <v>1023.68</v>
      </c>
    </row>
    <row r="4693" spans="1:7" x14ac:dyDescent="0.3">
      <c r="A4693" s="84">
        <v>2026</v>
      </c>
      <c r="B4693" s="84" t="s">
        <v>399</v>
      </c>
      <c r="C4693" s="84">
        <v>7</v>
      </c>
      <c r="D4693" s="84">
        <v>12</v>
      </c>
      <c r="E4693" s="85">
        <v>12917.94</v>
      </c>
      <c r="F4693" s="85">
        <v>14351.54</v>
      </c>
      <c r="G4693" s="85">
        <v>1433.6</v>
      </c>
    </row>
    <row r="4694" spans="1:7" x14ac:dyDescent="0.3">
      <c r="A4694" s="84">
        <v>2026</v>
      </c>
      <c r="B4694" s="84" t="s">
        <v>399</v>
      </c>
      <c r="C4694" s="84">
        <v>7</v>
      </c>
      <c r="D4694" s="84">
        <v>13</v>
      </c>
      <c r="E4694" s="85">
        <v>12917.94</v>
      </c>
      <c r="F4694" s="85">
        <v>14761.32</v>
      </c>
      <c r="G4694" s="85">
        <v>1843.38</v>
      </c>
    </row>
    <row r="4695" spans="1:7" x14ac:dyDescent="0.3">
      <c r="A4695" s="84">
        <v>2026</v>
      </c>
      <c r="B4695" s="84" t="s">
        <v>399</v>
      </c>
      <c r="C4695" s="84">
        <v>7</v>
      </c>
      <c r="D4695" s="84">
        <v>14</v>
      </c>
      <c r="E4695" s="85">
        <v>12917.94</v>
      </c>
      <c r="F4695" s="85">
        <v>15171.52</v>
      </c>
      <c r="G4695" s="85">
        <v>2253.58</v>
      </c>
    </row>
    <row r="4696" spans="1:7" x14ac:dyDescent="0.3">
      <c r="A4696" s="84">
        <v>2026</v>
      </c>
      <c r="B4696" s="84" t="s">
        <v>399</v>
      </c>
      <c r="C4696" s="84">
        <v>7</v>
      </c>
      <c r="D4696" s="84">
        <v>15</v>
      </c>
      <c r="E4696" s="85">
        <v>12917.94</v>
      </c>
      <c r="F4696" s="85">
        <v>15581.16</v>
      </c>
      <c r="G4696" s="85">
        <v>2663.22</v>
      </c>
    </row>
    <row r="4697" spans="1:7" x14ac:dyDescent="0.3">
      <c r="A4697" s="84">
        <v>2026</v>
      </c>
      <c r="B4697" s="84" t="s">
        <v>399</v>
      </c>
      <c r="C4697" s="84">
        <v>7</v>
      </c>
      <c r="D4697" s="84">
        <v>16</v>
      </c>
      <c r="E4697" s="85">
        <v>12917.94</v>
      </c>
      <c r="F4697" s="85">
        <v>15990.8</v>
      </c>
      <c r="G4697" s="85">
        <v>3072.86</v>
      </c>
    </row>
    <row r="4698" spans="1:7" x14ac:dyDescent="0.3">
      <c r="A4698" s="84">
        <v>2026</v>
      </c>
      <c r="B4698" s="84" t="s">
        <v>399</v>
      </c>
      <c r="C4698" s="84">
        <v>7</v>
      </c>
      <c r="D4698" s="84">
        <v>17</v>
      </c>
      <c r="E4698" s="85">
        <v>12917.94</v>
      </c>
      <c r="F4698" s="85">
        <v>16399.88</v>
      </c>
      <c r="G4698" s="85">
        <v>3481.94</v>
      </c>
    </row>
    <row r="4699" spans="1:7" x14ac:dyDescent="0.3">
      <c r="A4699" s="84">
        <v>2026</v>
      </c>
      <c r="B4699" s="84" t="s">
        <v>399</v>
      </c>
      <c r="C4699" s="84">
        <v>7</v>
      </c>
      <c r="D4699" s="84">
        <v>18</v>
      </c>
      <c r="E4699" s="85">
        <v>12917.94</v>
      </c>
      <c r="F4699" s="85">
        <v>16809.8</v>
      </c>
      <c r="G4699" s="85">
        <v>3891.86</v>
      </c>
    </row>
    <row r="4700" spans="1:7" x14ac:dyDescent="0.3">
      <c r="A4700" s="84">
        <v>2026</v>
      </c>
      <c r="B4700" s="84" t="s">
        <v>399</v>
      </c>
      <c r="C4700" s="84">
        <v>7</v>
      </c>
      <c r="D4700" s="84">
        <v>19</v>
      </c>
      <c r="E4700" s="85">
        <v>12917.94</v>
      </c>
      <c r="F4700" s="85">
        <v>17219.86</v>
      </c>
      <c r="G4700" s="85">
        <v>4301.92</v>
      </c>
    </row>
    <row r="4701" spans="1:7" x14ac:dyDescent="0.3">
      <c r="A4701" s="84">
        <v>2026</v>
      </c>
      <c r="B4701" s="84" t="s">
        <v>399</v>
      </c>
      <c r="C4701" s="84">
        <v>7</v>
      </c>
      <c r="D4701" s="84">
        <v>20</v>
      </c>
      <c r="E4701" s="85">
        <v>12917.94</v>
      </c>
      <c r="F4701" s="85">
        <v>17629.64</v>
      </c>
      <c r="G4701" s="85">
        <v>4711.7</v>
      </c>
    </row>
    <row r="4702" spans="1:7" x14ac:dyDescent="0.3">
      <c r="A4702" s="84">
        <v>2026</v>
      </c>
      <c r="B4702" s="84" t="s">
        <v>399</v>
      </c>
      <c r="C4702" s="84">
        <v>7</v>
      </c>
      <c r="D4702" s="84">
        <v>21</v>
      </c>
      <c r="E4702" s="85">
        <v>12917.94</v>
      </c>
      <c r="F4702" s="85">
        <v>18243.82</v>
      </c>
      <c r="G4702" s="85">
        <v>5325.88</v>
      </c>
    </row>
    <row r="4703" spans="1:7" x14ac:dyDescent="0.3">
      <c r="A4703" s="84">
        <v>2026</v>
      </c>
      <c r="B4703" s="84" t="s">
        <v>399</v>
      </c>
      <c r="C4703" s="84">
        <v>7</v>
      </c>
      <c r="D4703" s="84">
        <v>22</v>
      </c>
      <c r="E4703" s="85">
        <v>12917.94</v>
      </c>
      <c r="F4703" s="85">
        <v>18909.099999999999</v>
      </c>
      <c r="G4703" s="85">
        <v>5991.16</v>
      </c>
    </row>
    <row r="4704" spans="1:7" x14ac:dyDescent="0.3">
      <c r="A4704" s="84">
        <v>2026</v>
      </c>
      <c r="B4704" s="84" t="s">
        <v>399</v>
      </c>
      <c r="C4704" s="84">
        <v>7</v>
      </c>
      <c r="D4704" s="84">
        <v>23</v>
      </c>
      <c r="E4704" s="85">
        <v>12917.94</v>
      </c>
      <c r="F4704" s="85">
        <v>19576.759999999998</v>
      </c>
      <c r="G4704" s="85">
        <v>6658.82</v>
      </c>
    </row>
    <row r="4705" spans="1:7" x14ac:dyDescent="0.3">
      <c r="A4705" s="84">
        <v>2026</v>
      </c>
      <c r="B4705" s="84" t="s">
        <v>399</v>
      </c>
      <c r="C4705" s="84">
        <v>7</v>
      </c>
      <c r="D4705" s="84">
        <v>24</v>
      </c>
      <c r="E4705" s="85">
        <v>12917.94</v>
      </c>
      <c r="F4705" s="85">
        <v>20242.88</v>
      </c>
      <c r="G4705" s="85">
        <v>7324.94</v>
      </c>
    </row>
    <row r="4706" spans="1:7" x14ac:dyDescent="0.3">
      <c r="A4706" s="84">
        <v>2026</v>
      </c>
      <c r="B4706" s="84" t="s">
        <v>399</v>
      </c>
      <c r="C4706" s="84">
        <v>7</v>
      </c>
      <c r="D4706" s="84">
        <v>25</v>
      </c>
      <c r="E4706" s="85">
        <v>12917.94</v>
      </c>
      <c r="F4706" s="85">
        <v>20909.84</v>
      </c>
      <c r="G4706" s="85">
        <v>7991.9</v>
      </c>
    </row>
    <row r="4707" spans="1:7" x14ac:dyDescent="0.3">
      <c r="A4707" s="84">
        <v>2026</v>
      </c>
      <c r="B4707" s="84" t="s">
        <v>399</v>
      </c>
      <c r="C4707" s="84">
        <v>7</v>
      </c>
      <c r="D4707" s="84">
        <v>26</v>
      </c>
      <c r="E4707" s="85">
        <v>12917.94</v>
      </c>
      <c r="F4707" s="85">
        <v>22346.799999999999</v>
      </c>
      <c r="G4707" s="85">
        <v>9428.86</v>
      </c>
    </row>
    <row r="4708" spans="1:7" x14ac:dyDescent="0.3">
      <c r="A4708" s="84">
        <v>2026</v>
      </c>
      <c r="B4708" s="84" t="s">
        <v>399</v>
      </c>
      <c r="C4708" s="84">
        <v>7</v>
      </c>
      <c r="D4708" s="84">
        <v>27</v>
      </c>
      <c r="E4708" s="85">
        <v>12917.94</v>
      </c>
      <c r="F4708" s="85">
        <v>24128.720000000001</v>
      </c>
      <c r="G4708" s="85">
        <v>11210.78</v>
      </c>
    </row>
    <row r="4709" spans="1:7" x14ac:dyDescent="0.3">
      <c r="A4709" s="84">
        <v>2026</v>
      </c>
      <c r="B4709" s="84" t="s">
        <v>399</v>
      </c>
      <c r="C4709" s="84">
        <v>7</v>
      </c>
      <c r="D4709" s="84">
        <v>28</v>
      </c>
      <c r="E4709" s="85">
        <v>12917.94</v>
      </c>
      <c r="F4709" s="85">
        <v>24795.82</v>
      </c>
      <c r="G4709" s="85">
        <v>11877.88</v>
      </c>
    </row>
    <row r="4710" spans="1:7" x14ac:dyDescent="0.3">
      <c r="A4710" s="84">
        <v>2026</v>
      </c>
      <c r="B4710" s="84" t="s">
        <v>399</v>
      </c>
      <c r="C4710" s="84">
        <v>7</v>
      </c>
      <c r="D4710" s="84">
        <v>29</v>
      </c>
      <c r="E4710" s="85">
        <v>12917.94</v>
      </c>
      <c r="F4710" s="85">
        <v>25461.94</v>
      </c>
      <c r="G4710" s="85">
        <v>12544</v>
      </c>
    </row>
    <row r="4711" spans="1:7" x14ac:dyDescent="0.3">
      <c r="A4711" s="84">
        <v>2026</v>
      </c>
      <c r="B4711" s="84" t="s">
        <v>399</v>
      </c>
      <c r="C4711" s="84">
        <v>7</v>
      </c>
      <c r="D4711" s="84">
        <v>30</v>
      </c>
      <c r="E4711" s="85">
        <v>12917.94</v>
      </c>
      <c r="F4711" s="85">
        <v>27284.38</v>
      </c>
      <c r="G4711" s="85">
        <v>14366.44</v>
      </c>
    </row>
    <row r="4712" spans="1:7" x14ac:dyDescent="0.3">
      <c r="A4712" s="84">
        <v>2026</v>
      </c>
      <c r="B4712" s="84" t="s">
        <v>399</v>
      </c>
      <c r="C4712" s="84">
        <v>8</v>
      </c>
      <c r="D4712" s="84">
        <v>1</v>
      </c>
      <c r="E4712" s="85">
        <v>13122.48</v>
      </c>
      <c r="F4712" s="85">
        <v>11279.66</v>
      </c>
      <c r="G4712" s="85">
        <v>-1842.82</v>
      </c>
    </row>
    <row r="4713" spans="1:7" x14ac:dyDescent="0.3">
      <c r="A4713" s="84">
        <v>2026</v>
      </c>
      <c r="B4713" s="84" t="s">
        <v>399</v>
      </c>
      <c r="C4713" s="84">
        <v>8</v>
      </c>
      <c r="D4713" s="84">
        <v>2</v>
      </c>
      <c r="E4713" s="85">
        <v>13122.48</v>
      </c>
      <c r="F4713" s="85">
        <v>11586.96</v>
      </c>
      <c r="G4713" s="85">
        <v>-1535.52</v>
      </c>
    </row>
    <row r="4714" spans="1:7" x14ac:dyDescent="0.3">
      <c r="A4714" s="84">
        <v>2026</v>
      </c>
      <c r="B4714" s="84" t="s">
        <v>399</v>
      </c>
      <c r="C4714" s="84">
        <v>8</v>
      </c>
      <c r="D4714" s="84">
        <v>3</v>
      </c>
      <c r="E4714" s="85">
        <v>13122.48</v>
      </c>
      <c r="F4714" s="85">
        <v>11894.54</v>
      </c>
      <c r="G4714" s="85">
        <v>-1227.94</v>
      </c>
    </row>
    <row r="4715" spans="1:7" x14ac:dyDescent="0.3">
      <c r="A4715" s="84">
        <v>2026</v>
      </c>
      <c r="B4715" s="84" t="s">
        <v>399</v>
      </c>
      <c r="C4715" s="84">
        <v>8</v>
      </c>
      <c r="D4715" s="84">
        <v>4</v>
      </c>
      <c r="E4715" s="85">
        <v>13122.48</v>
      </c>
      <c r="F4715" s="85">
        <v>12200.86</v>
      </c>
      <c r="G4715" s="85">
        <v>-921.62</v>
      </c>
    </row>
    <row r="4716" spans="1:7" x14ac:dyDescent="0.3">
      <c r="A4716" s="84">
        <v>2026</v>
      </c>
      <c r="B4716" s="84" t="s">
        <v>399</v>
      </c>
      <c r="C4716" s="84">
        <v>8</v>
      </c>
      <c r="D4716" s="84">
        <v>5</v>
      </c>
      <c r="E4716" s="85">
        <v>13122.48</v>
      </c>
      <c r="F4716" s="85">
        <v>12507.88</v>
      </c>
      <c r="G4716" s="85">
        <v>-614.6</v>
      </c>
    </row>
    <row r="4717" spans="1:7" x14ac:dyDescent="0.3">
      <c r="A4717" s="84">
        <v>2026</v>
      </c>
      <c r="B4717" s="84" t="s">
        <v>399</v>
      </c>
      <c r="C4717" s="84">
        <v>8</v>
      </c>
      <c r="D4717" s="84">
        <v>6</v>
      </c>
      <c r="E4717" s="85">
        <v>13122.48</v>
      </c>
      <c r="F4717" s="85">
        <v>12712.7</v>
      </c>
      <c r="G4717" s="85">
        <v>-409.78</v>
      </c>
    </row>
    <row r="4718" spans="1:7" x14ac:dyDescent="0.3">
      <c r="A4718" s="84">
        <v>2026</v>
      </c>
      <c r="B4718" s="84" t="s">
        <v>399</v>
      </c>
      <c r="C4718" s="84">
        <v>8</v>
      </c>
      <c r="D4718" s="84">
        <v>7</v>
      </c>
      <c r="E4718" s="85">
        <v>13122.48</v>
      </c>
      <c r="F4718" s="85">
        <v>12917.94</v>
      </c>
      <c r="G4718" s="85">
        <v>-204.54</v>
      </c>
    </row>
    <row r="4719" spans="1:7" x14ac:dyDescent="0.3">
      <c r="A4719" s="84">
        <v>2026</v>
      </c>
      <c r="B4719" s="84" t="s">
        <v>399</v>
      </c>
      <c r="C4719" s="84">
        <v>8</v>
      </c>
      <c r="D4719" s="84">
        <v>8</v>
      </c>
      <c r="E4719" s="85">
        <v>13122.48</v>
      </c>
      <c r="F4719" s="85">
        <v>13122.48</v>
      </c>
      <c r="G4719" s="85">
        <v>0</v>
      </c>
    </row>
    <row r="4720" spans="1:7" x14ac:dyDescent="0.3">
      <c r="A4720" s="84">
        <v>2026</v>
      </c>
      <c r="B4720" s="84" t="s">
        <v>399</v>
      </c>
      <c r="C4720" s="84">
        <v>8</v>
      </c>
      <c r="D4720" s="84">
        <v>9</v>
      </c>
      <c r="E4720" s="85">
        <v>13122.48</v>
      </c>
      <c r="F4720" s="85">
        <v>13327.86</v>
      </c>
      <c r="G4720" s="85">
        <v>205.38</v>
      </c>
    </row>
    <row r="4721" spans="1:7" x14ac:dyDescent="0.3">
      <c r="A4721" s="84">
        <v>2026</v>
      </c>
      <c r="B4721" s="84" t="s">
        <v>399</v>
      </c>
      <c r="C4721" s="84">
        <v>8</v>
      </c>
      <c r="D4721" s="84">
        <v>10</v>
      </c>
      <c r="E4721" s="85">
        <v>13122.48</v>
      </c>
      <c r="F4721" s="85">
        <v>13532.82</v>
      </c>
      <c r="G4721" s="85">
        <v>410.34</v>
      </c>
    </row>
    <row r="4722" spans="1:7" x14ac:dyDescent="0.3">
      <c r="A4722" s="84">
        <v>2026</v>
      </c>
      <c r="B4722" s="84" t="s">
        <v>399</v>
      </c>
      <c r="C4722" s="84">
        <v>8</v>
      </c>
      <c r="D4722" s="84">
        <v>11</v>
      </c>
      <c r="E4722" s="85">
        <v>13122.48</v>
      </c>
      <c r="F4722" s="85">
        <v>13941.62</v>
      </c>
      <c r="G4722" s="85">
        <v>819.14</v>
      </c>
    </row>
    <row r="4723" spans="1:7" x14ac:dyDescent="0.3">
      <c r="A4723" s="84">
        <v>2026</v>
      </c>
      <c r="B4723" s="84" t="s">
        <v>399</v>
      </c>
      <c r="C4723" s="84">
        <v>8</v>
      </c>
      <c r="D4723" s="84">
        <v>12</v>
      </c>
      <c r="E4723" s="85">
        <v>13122.48</v>
      </c>
      <c r="F4723" s="85">
        <v>14351.54</v>
      </c>
      <c r="G4723" s="85">
        <v>1229.06</v>
      </c>
    </row>
    <row r="4724" spans="1:7" x14ac:dyDescent="0.3">
      <c r="A4724" s="84">
        <v>2026</v>
      </c>
      <c r="B4724" s="84" t="s">
        <v>399</v>
      </c>
      <c r="C4724" s="84">
        <v>8</v>
      </c>
      <c r="D4724" s="84">
        <v>13</v>
      </c>
      <c r="E4724" s="85">
        <v>13122.48</v>
      </c>
      <c r="F4724" s="85">
        <v>14761.32</v>
      </c>
      <c r="G4724" s="85">
        <v>1638.84</v>
      </c>
    </row>
    <row r="4725" spans="1:7" x14ac:dyDescent="0.3">
      <c r="A4725" s="84">
        <v>2026</v>
      </c>
      <c r="B4725" s="84" t="s">
        <v>399</v>
      </c>
      <c r="C4725" s="84">
        <v>8</v>
      </c>
      <c r="D4725" s="84">
        <v>14</v>
      </c>
      <c r="E4725" s="85">
        <v>13122.48</v>
      </c>
      <c r="F4725" s="85">
        <v>15171.52</v>
      </c>
      <c r="G4725" s="85">
        <v>2049.04</v>
      </c>
    </row>
    <row r="4726" spans="1:7" x14ac:dyDescent="0.3">
      <c r="A4726" s="84">
        <v>2026</v>
      </c>
      <c r="B4726" s="84" t="s">
        <v>399</v>
      </c>
      <c r="C4726" s="84">
        <v>8</v>
      </c>
      <c r="D4726" s="84">
        <v>15</v>
      </c>
      <c r="E4726" s="85">
        <v>13122.48</v>
      </c>
      <c r="F4726" s="85">
        <v>15581.16</v>
      </c>
      <c r="G4726" s="85">
        <v>2458.6799999999998</v>
      </c>
    </row>
    <row r="4727" spans="1:7" x14ac:dyDescent="0.3">
      <c r="A4727" s="84">
        <v>2026</v>
      </c>
      <c r="B4727" s="84" t="s">
        <v>399</v>
      </c>
      <c r="C4727" s="84">
        <v>8</v>
      </c>
      <c r="D4727" s="84">
        <v>16</v>
      </c>
      <c r="E4727" s="85">
        <v>13122.48</v>
      </c>
      <c r="F4727" s="85">
        <v>15990.8</v>
      </c>
      <c r="G4727" s="85">
        <v>2868.32</v>
      </c>
    </row>
    <row r="4728" spans="1:7" x14ac:dyDescent="0.3">
      <c r="A4728" s="84">
        <v>2026</v>
      </c>
      <c r="B4728" s="84" t="s">
        <v>399</v>
      </c>
      <c r="C4728" s="84">
        <v>8</v>
      </c>
      <c r="D4728" s="84">
        <v>17</v>
      </c>
      <c r="E4728" s="85">
        <v>13122.48</v>
      </c>
      <c r="F4728" s="85">
        <v>16399.88</v>
      </c>
      <c r="G4728" s="85">
        <v>3277.4</v>
      </c>
    </row>
    <row r="4729" spans="1:7" x14ac:dyDescent="0.3">
      <c r="A4729" s="84">
        <v>2026</v>
      </c>
      <c r="B4729" s="84" t="s">
        <v>399</v>
      </c>
      <c r="C4729" s="84">
        <v>8</v>
      </c>
      <c r="D4729" s="84">
        <v>18</v>
      </c>
      <c r="E4729" s="85">
        <v>13122.48</v>
      </c>
      <c r="F4729" s="85">
        <v>16809.8</v>
      </c>
      <c r="G4729" s="85">
        <v>3687.32</v>
      </c>
    </row>
    <row r="4730" spans="1:7" x14ac:dyDescent="0.3">
      <c r="A4730" s="84">
        <v>2026</v>
      </c>
      <c r="B4730" s="84" t="s">
        <v>399</v>
      </c>
      <c r="C4730" s="84">
        <v>8</v>
      </c>
      <c r="D4730" s="84">
        <v>19</v>
      </c>
      <c r="E4730" s="85">
        <v>13122.48</v>
      </c>
      <c r="F4730" s="85">
        <v>17219.86</v>
      </c>
      <c r="G4730" s="85">
        <v>4097.38</v>
      </c>
    </row>
    <row r="4731" spans="1:7" x14ac:dyDescent="0.3">
      <c r="A4731" s="84">
        <v>2026</v>
      </c>
      <c r="B4731" s="84" t="s">
        <v>399</v>
      </c>
      <c r="C4731" s="84">
        <v>8</v>
      </c>
      <c r="D4731" s="84">
        <v>20</v>
      </c>
      <c r="E4731" s="85">
        <v>13122.48</v>
      </c>
      <c r="F4731" s="85">
        <v>17629.64</v>
      </c>
      <c r="G4731" s="85">
        <v>4507.16</v>
      </c>
    </row>
    <row r="4732" spans="1:7" x14ac:dyDescent="0.3">
      <c r="A4732" s="84">
        <v>2026</v>
      </c>
      <c r="B4732" s="84" t="s">
        <v>399</v>
      </c>
      <c r="C4732" s="84">
        <v>8</v>
      </c>
      <c r="D4732" s="84">
        <v>21</v>
      </c>
      <c r="E4732" s="85">
        <v>13122.48</v>
      </c>
      <c r="F4732" s="85">
        <v>18243.82</v>
      </c>
      <c r="G4732" s="85">
        <v>5121.34</v>
      </c>
    </row>
    <row r="4733" spans="1:7" x14ac:dyDescent="0.3">
      <c r="A4733" s="84">
        <v>2026</v>
      </c>
      <c r="B4733" s="84" t="s">
        <v>399</v>
      </c>
      <c r="C4733" s="84">
        <v>8</v>
      </c>
      <c r="D4733" s="84">
        <v>22</v>
      </c>
      <c r="E4733" s="85">
        <v>13122.48</v>
      </c>
      <c r="F4733" s="85">
        <v>18909.099999999999</v>
      </c>
      <c r="G4733" s="85">
        <v>5786.62</v>
      </c>
    </row>
    <row r="4734" spans="1:7" x14ac:dyDescent="0.3">
      <c r="A4734" s="84">
        <v>2026</v>
      </c>
      <c r="B4734" s="84" t="s">
        <v>399</v>
      </c>
      <c r="C4734" s="84">
        <v>8</v>
      </c>
      <c r="D4734" s="84">
        <v>23</v>
      </c>
      <c r="E4734" s="85">
        <v>13122.48</v>
      </c>
      <c r="F4734" s="85">
        <v>19576.759999999998</v>
      </c>
      <c r="G4734" s="85">
        <v>6454.28</v>
      </c>
    </row>
    <row r="4735" spans="1:7" x14ac:dyDescent="0.3">
      <c r="A4735" s="84">
        <v>2026</v>
      </c>
      <c r="B4735" s="84" t="s">
        <v>399</v>
      </c>
      <c r="C4735" s="84">
        <v>8</v>
      </c>
      <c r="D4735" s="84">
        <v>24</v>
      </c>
      <c r="E4735" s="85">
        <v>13122.48</v>
      </c>
      <c r="F4735" s="85">
        <v>20242.88</v>
      </c>
      <c r="G4735" s="85">
        <v>7120.4</v>
      </c>
    </row>
    <row r="4736" spans="1:7" x14ac:dyDescent="0.3">
      <c r="A4736" s="84">
        <v>2026</v>
      </c>
      <c r="B4736" s="84" t="s">
        <v>399</v>
      </c>
      <c r="C4736" s="84">
        <v>8</v>
      </c>
      <c r="D4736" s="84">
        <v>25</v>
      </c>
      <c r="E4736" s="85">
        <v>13122.48</v>
      </c>
      <c r="F4736" s="85">
        <v>20909.84</v>
      </c>
      <c r="G4736" s="85">
        <v>7787.36</v>
      </c>
    </row>
    <row r="4737" spans="1:7" x14ac:dyDescent="0.3">
      <c r="A4737" s="84">
        <v>2026</v>
      </c>
      <c r="B4737" s="84" t="s">
        <v>399</v>
      </c>
      <c r="C4737" s="84">
        <v>8</v>
      </c>
      <c r="D4737" s="84">
        <v>26</v>
      </c>
      <c r="E4737" s="85">
        <v>13122.48</v>
      </c>
      <c r="F4737" s="85">
        <v>22346.799999999999</v>
      </c>
      <c r="G4737" s="85">
        <v>9224.32</v>
      </c>
    </row>
    <row r="4738" spans="1:7" x14ac:dyDescent="0.3">
      <c r="A4738" s="84">
        <v>2026</v>
      </c>
      <c r="B4738" s="84" t="s">
        <v>399</v>
      </c>
      <c r="C4738" s="84">
        <v>8</v>
      </c>
      <c r="D4738" s="84">
        <v>27</v>
      </c>
      <c r="E4738" s="85">
        <v>13122.48</v>
      </c>
      <c r="F4738" s="85">
        <v>24128.720000000001</v>
      </c>
      <c r="G4738" s="85">
        <v>11006.24</v>
      </c>
    </row>
    <row r="4739" spans="1:7" x14ac:dyDescent="0.3">
      <c r="A4739" s="84">
        <v>2026</v>
      </c>
      <c r="B4739" s="84" t="s">
        <v>399</v>
      </c>
      <c r="C4739" s="84">
        <v>8</v>
      </c>
      <c r="D4739" s="84">
        <v>28</v>
      </c>
      <c r="E4739" s="85">
        <v>13122.48</v>
      </c>
      <c r="F4739" s="85">
        <v>24795.82</v>
      </c>
      <c r="G4739" s="85">
        <v>11673.34</v>
      </c>
    </row>
    <row r="4740" spans="1:7" x14ac:dyDescent="0.3">
      <c r="A4740" s="84">
        <v>2026</v>
      </c>
      <c r="B4740" s="84" t="s">
        <v>399</v>
      </c>
      <c r="C4740" s="84">
        <v>8</v>
      </c>
      <c r="D4740" s="84">
        <v>29</v>
      </c>
      <c r="E4740" s="85">
        <v>13122.48</v>
      </c>
      <c r="F4740" s="85">
        <v>25461.94</v>
      </c>
      <c r="G4740" s="85">
        <v>12339.46</v>
      </c>
    </row>
    <row r="4741" spans="1:7" x14ac:dyDescent="0.3">
      <c r="A4741" s="84">
        <v>2026</v>
      </c>
      <c r="B4741" s="84" t="s">
        <v>399</v>
      </c>
      <c r="C4741" s="84">
        <v>8</v>
      </c>
      <c r="D4741" s="84">
        <v>30</v>
      </c>
      <c r="E4741" s="85">
        <v>13122.48</v>
      </c>
      <c r="F4741" s="85">
        <v>27284.38</v>
      </c>
      <c r="G4741" s="85">
        <v>14161.9</v>
      </c>
    </row>
    <row r="4742" spans="1:7" x14ac:dyDescent="0.3">
      <c r="A4742" s="84">
        <v>2026</v>
      </c>
      <c r="B4742" s="84" t="s">
        <v>399</v>
      </c>
      <c r="C4742" s="84">
        <v>9</v>
      </c>
      <c r="D4742" s="84">
        <v>1</v>
      </c>
      <c r="E4742" s="85">
        <v>13327.86</v>
      </c>
      <c r="F4742" s="85">
        <v>11279.66</v>
      </c>
      <c r="G4742" s="85">
        <v>-2048.1999999999998</v>
      </c>
    </row>
    <row r="4743" spans="1:7" x14ac:dyDescent="0.3">
      <c r="A4743" s="84">
        <v>2026</v>
      </c>
      <c r="B4743" s="84" t="s">
        <v>399</v>
      </c>
      <c r="C4743" s="84">
        <v>9</v>
      </c>
      <c r="D4743" s="84">
        <v>2</v>
      </c>
      <c r="E4743" s="85">
        <v>13327.86</v>
      </c>
      <c r="F4743" s="85">
        <v>11586.96</v>
      </c>
      <c r="G4743" s="85">
        <v>-1740.9</v>
      </c>
    </row>
    <row r="4744" spans="1:7" x14ac:dyDescent="0.3">
      <c r="A4744" s="84">
        <v>2026</v>
      </c>
      <c r="B4744" s="84" t="s">
        <v>399</v>
      </c>
      <c r="C4744" s="84">
        <v>9</v>
      </c>
      <c r="D4744" s="84">
        <v>3</v>
      </c>
      <c r="E4744" s="85">
        <v>13327.86</v>
      </c>
      <c r="F4744" s="85">
        <v>11894.54</v>
      </c>
      <c r="G4744" s="85">
        <v>-1433.32</v>
      </c>
    </row>
    <row r="4745" spans="1:7" x14ac:dyDescent="0.3">
      <c r="A4745" s="84">
        <v>2026</v>
      </c>
      <c r="B4745" s="84" t="s">
        <v>399</v>
      </c>
      <c r="C4745" s="84">
        <v>9</v>
      </c>
      <c r="D4745" s="84">
        <v>4</v>
      </c>
      <c r="E4745" s="85">
        <v>13327.86</v>
      </c>
      <c r="F4745" s="85">
        <v>12200.86</v>
      </c>
      <c r="G4745" s="85">
        <v>-1127</v>
      </c>
    </row>
    <row r="4746" spans="1:7" x14ac:dyDescent="0.3">
      <c r="A4746" s="84">
        <v>2026</v>
      </c>
      <c r="B4746" s="84" t="s">
        <v>399</v>
      </c>
      <c r="C4746" s="84">
        <v>9</v>
      </c>
      <c r="D4746" s="84">
        <v>5</v>
      </c>
      <c r="E4746" s="85">
        <v>13327.86</v>
      </c>
      <c r="F4746" s="85">
        <v>12507.88</v>
      </c>
      <c r="G4746" s="85">
        <v>-819.98</v>
      </c>
    </row>
    <row r="4747" spans="1:7" x14ac:dyDescent="0.3">
      <c r="A4747" s="84">
        <v>2026</v>
      </c>
      <c r="B4747" s="84" t="s">
        <v>399</v>
      </c>
      <c r="C4747" s="84">
        <v>9</v>
      </c>
      <c r="D4747" s="84">
        <v>6</v>
      </c>
      <c r="E4747" s="85">
        <v>13327.86</v>
      </c>
      <c r="F4747" s="85">
        <v>12712.7</v>
      </c>
      <c r="G4747" s="85">
        <v>-615.16</v>
      </c>
    </row>
    <row r="4748" spans="1:7" x14ac:dyDescent="0.3">
      <c r="A4748" s="84">
        <v>2026</v>
      </c>
      <c r="B4748" s="84" t="s">
        <v>399</v>
      </c>
      <c r="C4748" s="84">
        <v>9</v>
      </c>
      <c r="D4748" s="84">
        <v>7</v>
      </c>
      <c r="E4748" s="85">
        <v>13327.86</v>
      </c>
      <c r="F4748" s="85">
        <v>12917.94</v>
      </c>
      <c r="G4748" s="85">
        <v>-409.92</v>
      </c>
    </row>
    <row r="4749" spans="1:7" x14ac:dyDescent="0.3">
      <c r="A4749" s="84">
        <v>2026</v>
      </c>
      <c r="B4749" s="84" t="s">
        <v>399</v>
      </c>
      <c r="C4749" s="84">
        <v>9</v>
      </c>
      <c r="D4749" s="84">
        <v>8</v>
      </c>
      <c r="E4749" s="85">
        <v>13327.86</v>
      </c>
      <c r="F4749" s="85">
        <v>13122.48</v>
      </c>
      <c r="G4749" s="85">
        <v>-205.38</v>
      </c>
    </row>
    <row r="4750" spans="1:7" x14ac:dyDescent="0.3">
      <c r="A4750" s="84">
        <v>2026</v>
      </c>
      <c r="B4750" s="84" t="s">
        <v>399</v>
      </c>
      <c r="C4750" s="84">
        <v>9</v>
      </c>
      <c r="D4750" s="84">
        <v>9</v>
      </c>
      <c r="E4750" s="85">
        <v>13327.86</v>
      </c>
      <c r="F4750" s="85">
        <v>13327.86</v>
      </c>
      <c r="G4750" s="85">
        <v>0</v>
      </c>
    </row>
    <row r="4751" spans="1:7" x14ac:dyDescent="0.3">
      <c r="A4751" s="84">
        <v>2026</v>
      </c>
      <c r="B4751" s="84" t="s">
        <v>399</v>
      </c>
      <c r="C4751" s="84">
        <v>9</v>
      </c>
      <c r="D4751" s="84">
        <v>10</v>
      </c>
      <c r="E4751" s="85">
        <v>13327.86</v>
      </c>
      <c r="F4751" s="85">
        <v>13532.82</v>
      </c>
      <c r="G4751" s="85">
        <v>204.96</v>
      </c>
    </row>
    <row r="4752" spans="1:7" x14ac:dyDescent="0.3">
      <c r="A4752" s="84">
        <v>2026</v>
      </c>
      <c r="B4752" s="84" t="s">
        <v>399</v>
      </c>
      <c r="C4752" s="84">
        <v>9</v>
      </c>
      <c r="D4752" s="84">
        <v>11</v>
      </c>
      <c r="E4752" s="85">
        <v>13327.86</v>
      </c>
      <c r="F4752" s="85">
        <v>13941.62</v>
      </c>
      <c r="G4752" s="85">
        <v>613.76</v>
      </c>
    </row>
    <row r="4753" spans="1:7" x14ac:dyDescent="0.3">
      <c r="A4753" s="84">
        <v>2026</v>
      </c>
      <c r="B4753" s="84" t="s">
        <v>399</v>
      </c>
      <c r="C4753" s="84">
        <v>9</v>
      </c>
      <c r="D4753" s="84">
        <v>12</v>
      </c>
      <c r="E4753" s="85">
        <v>13327.86</v>
      </c>
      <c r="F4753" s="85">
        <v>14351.54</v>
      </c>
      <c r="G4753" s="85">
        <v>1023.68</v>
      </c>
    </row>
    <row r="4754" spans="1:7" x14ac:dyDescent="0.3">
      <c r="A4754" s="84">
        <v>2026</v>
      </c>
      <c r="B4754" s="84" t="s">
        <v>399</v>
      </c>
      <c r="C4754" s="84">
        <v>9</v>
      </c>
      <c r="D4754" s="84">
        <v>13</v>
      </c>
      <c r="E4754" s="85">
        <v>13327.86</v>
      </c>
      <c r="F4754" s="85">
        <v>14761.32</v>
      </c>
      <c r="G4754" s="85">
        <v>1433.46</v>
      </c>
    </row>
    <row r="4755" spans="1:7" x14ac:dyDescent="0.3">
      <c r="A4755" s="84">
        <v>2026</v>
      </c>
      <c r="B4755" s="84" t="s">
        <v>399</v>
      </c>
      <c r="C4755" s="84">
        <v>9</v>
      </c>
      <c r="D4755" s="84">
        <v>14</v>
      </c>
      <c r="E4755" s="85">
        <v>13327.86</v>
      </c>
      <c r="F4755" s="85">
        <v>15171.52</v>
      </c>
      <c r="G4755" s="85">
        <v>1843.66</v>
      </c>
    </row>
    <row r="4756" spans="1:7" x14ac:dyDescent="0.3">
      <c r="A4756" s="84">
        <v>2026</v>
      </c>
      <c r="B4756" s="84" t="s">
        <v>399</v>
      </c>
      <c r="C4756" s="84">
        <v>9</v>
      </c>
      <c r="D4756" s="84">
        <v>15</v>
      </c>
      <c r="E4756" s="85">
        <v>13327.86</v>
      </c>
      <c r="F4756" s="85">
        <v>15581.16</v>
      </c>
      <c r="G4756" s="85">
        <v>2253.3000000000002</v>
      </c>
    </row>
    <row r="4757" spans="1:7" x14ac:dyDescent="0.3">
      <c r="A4757" s="84">
        <v>2026</v>
      </c>
      <c r="B4757" s="84" t="s">
        <v>399</v>
      </c>
      <c r="C4757" s="84">
        <v>9</v>
      </c>
      <c r="D4757" s="84">
        <v>16</v>
      </c>
      <c r="E4757" s="85">
        <v>13327.86</v>
      </c>
      <c r="F4757" s="85">
        <v>15990.8</v>
      </c>
      <c r="G4757" s="85">
        <v>2662.94</v>
      </c>
    </row>
    <row r="4758" spans="1:7" x14ac:dyDescent="0.3">
      <c r="A4758" s="84">
        <v>2026</v>
      </c>
      <c r="B4758" s="84" t="s">
        <v>399</v>
      </c>
      <c r="C4758" s="84">
        <v>9</v>
      </c>
      <c r="D4758" s="84">
        <v>17</v>
      </c>
      <c r="E4758" s="85">
        <v>13327.86</v>
      </c>
      <c r="F4758" s="85">
        <v>16399.88</v>
      </c>
      <c r="G4758" s="85">
        <v>3072.02</v>
      </c>
    </row>
    <row r="4759" spans="1:7" x14ac:dyDescent="0.3">
      <c r="A4759" s="84">
        <v>2026</v>
      </c>
      <c r="B4759" s="84" t="s">
        <v>399</v>
      </c>
      <c r="C4759" s="84">
        <v>9</v>
      </c>
      <c r="D4759" s="84">
        <v>18</v>
      </c>
      <c r="E4759" s="85">
        <v>13327.86</v>
      </c>
      <c r="F4759" s="85">
        <v>16809.8</v>
      </c>
      <c r="G4759" s="85">
        <v>3481.94</v>
      </c>
    </row>
    <row r="4760" spans="1:7" x14ac:dyDescent="0.3">
      <c r="A4760" s="84">
        <v>2026</v>
      </c>
      <c r="B4760" s="84" t="s">
        <v>399</v>
      </c>
      <c r="C4760" s="84">
        <v>9</v>
      </c>
      <c r="D4760" s="84">
        <v>19</v>
      </c>
      <c r="E4760" s="85">
        <v>13327.86</v>
      </c>
      <c r="F4760" s="85">
        <v>17219.86</v>
      </c>
      <c r="G4760" s="85">
        <v>3892</v>
      </c>
    </row>
    <row r="4761" spans="1:7" x14ac:dyDescent="0.3">
      <c r="A4761" s="84">
        <v>2026</v>
      </c>
      <c r="B4761" s="84" t="s">
        <v>399</v>
      </c>
      <c r="C4761" s="84">
        <v>9</v>
      </c>
      <c r="D4761" s="84">
        <v>20</v>
      </c>
      <c r="E4761" s="85">
        <v>13327.86</v>
      </c>
      <c r="F4761" s="85">
        <v>17629.64</v>
      </c>
      <c r="G4761" s="85">
        <v>4301.78</v>
      </c>
    </row>
    <row r="4762" spans="1:7" x14ac:dyDescent="0.3">
      <c r="A4762" s="84">
        <v>2026</v>
      </c>
      <c r="B4762" s="84" t="s">
        <v>399</v>
      </c>
      <c r="C4762" s="84">
        <v>9</v>
      </c>
      <c r="D4762" s="84">
        <v>21</v>
      </c>
      <c r="E4762" s="85">
        <v>13327.86</v>
      </c>
      <c r="F4762" s="85">
        <v>18243.82</v>
      </c>
      <c r="G4762" s="85">
        <v>4915.96</v>
      </c>
    </row>
    <row r="4763" spans="1:7" x14ac:dyDescent="0.3">
      <c r="A4763" s="84">
        <v>2026</v>
      </c>
      <c r="B4763" s="84" t="s">
        <v>399</v>
      </c>
      <c r="C4763" s="84">
        <v>9</v>
      </c>
      <c r="D4763" s="84">
        <v>22</v>
      </c>
      <c r="E4763" s="85">
        <v>13327.86</v>
      </c>
      <c r="F4763" s="85">
        <v>18909.099999999999</v>
      </c>
      <c r="G4763" s="85">
        <v>5581.24</v>
      </c>
    </row>
    <row r="4764" spans="1:7" x14ac:dyDescent="0.3">
      <c r="A4764" s="84">
        <v>2026</v>
      </c>
      <c r="B4764" s="84" t="s">
        <v>399</v>
      </c>
      <c r="C4764" s="84">
        <v>9</v>
      </c>
      <c r="D4764" s="84">
        <v>23</v>
      </c>
      <c r="E4764" s="85">
        <v>13327.86</v>
      </c>
      <c r="F4764" s="85">
        <v>19576.759999999998</v>
      </c>
      <c r="G4764" s="85">
        <v>6248.9</v>
      </c>
    </row>
    <row r="4765" spans="1:7" x14ac:dyDescent="0.3">
      <c r="A4765" s="84">
        <v>2026</v>
      </c>
      <c r="B4765" s="84" t="s">
        <v>399</v>
      </c>
      <c r="C4765" s="84">
        <v>9</v>
      </c>
      <c r="D4765" s="84">
        <v>24</v>
      </c>
      <c r="E4765" s="85">
        <v>13327.86</v>
      </c>
      <c r="F4765" s="85">
        <v>20242.88</v>
      </c>
      <c r="G4765" s="85">
        <v>6915.02</v>
      </c>
    </row>
    <row r="4766" spans="1:7" x14ac:dyDescent="0.3">
      <c r="A4766" s="84">
        <v>2026</v>
      </c>
      <c r="B4766" s="84" t="s">
        <v>399</v>
      </c>
      <c r="C4766" s="84">
        <v>9</v>
      </c>
      <c r="D4766" s="84">
        <v>25</v>
      </c>
      <c r="E4766" s="85">
        <v>13327.86</v>
      </c>
      <c r="F4766" s="85">
        <v>20909.84</v>
      </c>
      <c r="G4766" s="85">
        <v>7581.98</v>
      </c>
    </row>
    <row r="4767" spans="1:7" x14ac:dyDescent="0.3">
      <c r="A4767" s="84">
        <v>2026</v>
      </c>
      <c r="B4767" s="84" t="s">
        <v>399</v>
      </c>
      <c r="C4767" s="84">
        <v>9</v>
      </c>
      <c r="D4767" s="84">
        <v>26</v>
      </c>
      <c r="E4767" s="85">
        <v>13327.86</v>
      </c>
      <c r="F4767" s="85">
        <v>22346.799999999999</v>
      </c>
      <c r="G4767" s="85">
        <v>9018.94</v>
      </c>
    </row>
    <row r="4768" spans="1:7" x14ac:dyDescent="0.3">
      <c r="A4768" s="84">
        <v>2026</v>
      </c>
      <c r="B4768" s="84" t="s">
        <v>399</v>
      </c>
      <c r="C4768" s="84">
        <v>9</v>
      </c>
      <c r="D4768" s="84">
        <v>27</v>
      </c>
      <c r="E4768" s="85">
        <v>13327.86</v>
      </c>
      <c r="F4768" s="85">
        <v>24128.720000000001</v>
      </c>
      <c r="G4768" s="85">
        <v>10800.86</v>
      </c>
    </row>
    <row r="4769" spans="1:7" x14ac:dyDescent="0.3">
      <c r="A4769" s="84">
        <v>2026</v>
      </c>
      <c r="B4769" s="84" t="s">
        <v>399</v>
      </c>
      <c r="C4769" s="84">
        <v>9</v>
      </c>
      <c r="D4769" s="84">
        <v>28</v>
      </c>
      <c r="E4769" s="85">
        <v>13327.86</v>
      </c>
      <c r="F4769" s="85">
        <v>24795.82</v>
      </c>
      <c r="G4769" s="85">
        <v>11467.96</v>
      </c>
    </row>
    <row r="4770" spans="1:7" x14ac:dyDescent="0.3">
      <c r="A4770" s="84">
        <v>2026</v>
      </c>
      <c r="B4770" s="84" t="s">
        <v>399</v>
      </c>
      <c r="C4770" s="84">
        <v>9</v>
      </c>
      <c r="D4770" s="84">
        <v>29</v>
      </c>
      <c r="E4770" s="85">
        <v>13327.86</v>
      </c>
      <c r="F4770" s="85">
        <v>25461.94</v>
      </c>
      <c r="G4770" s="85">
        <v>12134.08</v>
      </c>
    </row>
    <row r="4771" spans="1:7" x14ac:dyDescent="0.3">
      <c r="A4771" s="84">
        <v>2026</v>
      </c>
      <c r="B4771" s="84" t="s">
        <v>399</v>
      </c>
      <c r="C4771" s="84">
        <v>9</v>
      </c>
      <c r="D4771" s="84">
        <v>30</v>
      </c>
      <c r="E4771" s="85">
        <v>13327.86</v>
      </c>
      <c r="F4771" s="85">
        <v>27284.38</v>
      </c>
      <c r="G4771" s="85">
        <v>13956.52</v>
      </c>
    </row>
    <row r="4772" spans="1:7" x14ac:dyDescent="0.3">
      <c r="A4772" s="84">
        <v>2026</v>
      </c>
      <c r="B4772" s="84" t="s">
        <v>399</v>
      </c>
      <c r="C4772" s="84">
        <v>10</v>
      </c>
      <c r="D4772" s="84">
        <v>1</v>
      </c>
      <c r="E4772" s="85">
        <v>13532.82</v>
      </c>
      <c r="F4772" s="85">
        <v>11279.66</v>
      </c>
      <c r="G4772" s="85">
        <v>-2253.16</v>
      </c>
    </row>
    <row r="4773" spans="1:7" x14ac:dyDescent="0.3">
      <c r="A4773" s="84">
        <v>2026</v>
      </c>
      <c r="B4773" s="84" t="s">
        <v>399</v>
      </c>
      <c r="C4773" s="84">
        <v>10</v>
      </c>
      <c r="D4773" s="84">
        <v>2</v>
      </c>
      <c r="E4773" s="85">
        <v>13532.82</v>
      </c>
      <c r="F4773" s="85">
        <v>11586.96</v>
      </c>
      <c r="G4773" s="85">
        <v>-1945.86</v>
      </c>
    </row>
    <row r="4774" spans="1:7" x14ac:dyDescent="0.3">
      <c r="A4774" s="84">
        <v>2026</v>
      </c>
      <c r="B4774" s="84" t="s">
        <v>399</v>
      </c>
      <c r="C4774" s="84">
        <v>10</v>
      </c>
      <c r="D4774" s="84">
        <v>3</v>
      </c>
      <c r="E4774" s="85">
        <v>13532.82</v>
      </c>
      <c r="F4774" s="85">
        <v>11894.54</v>
      </c>
      <c r="G4774" s="85">
        <v>-1638.28</v>
      </c>
    </row>
    <row r="4775" spans="1:7" x14ac:dyDescent="0.3">
      <c r="A4775" s="84">
        <v>2026</v>
      </c>
      <c r="B4775" s="84" t="s">
        <v>399</v>
      </c>
      <c r="C4775" s="84">
        <v>10</v>
      </c>
      <c r="D4775" s="84">
        <v>4</v>
      </c>
      <c r="E4775" s="85">
        <v>13532.82</v>
      </c>
      <c r="F4775" s="85">
        <v>12200.86</v>
      </c>
      <c r="G4775" s="85">
        <v>-1331.96</v>
      </c>
    </row>
    <row r="4776" spans="1:7" x14ac:dyDescent="0.3">
      <c r="A4776" s="84">
        <v>2026</v>
      </c>
      <c r="B4776" s="84" t="s">
        <v>399</v>
      </c>
      <c r="C4776" s="84">
        <v>10</v>
      </c>
      <c r="D4776" s="84">
        <v>5</v>
      </c>
      <c r="E4776" s="85">
        <v>13532.82</v>
      </c>
      <c r="F4776" s="85">
        <v>12507.88</v>
      </c>
      <c r="G4776" s="85">
        <v>-1024.94</v>
      </c>
    </row>
    <row r="4777" spans="1:7" x14ac:dyDescent="0.3">
      <c r="A4777" s="84">
        <v>2026</v>
      </c>
      <c r="B4777" s="84" t="s">
        <v>399</v>
      </c>
      <c r="C4777" s="84">
        <v>10</v>
      </c>
      <c r="D4777" s="84">
        <v>6</v>
      </c>
      <c r="E4777" s="85">
        <v>13532.82</v>
      </c>
      <c r="F4777" s="85">
        <v>12712.7</v>
      </c>
      <c r="G4777" s="85">
        <v>-820.12</v>
      </c>
    </row>
    <row r="4778" spans="1:7" x14ac:dyDescent="0.3">
      <c r="A4778" s="84">
        <v>2026</v>
      </c>
      <c r="B4778" s="84" t="s">
        <v>399</v>
      </c>
      <c r="C4778" s="84">
        <v>10</v>
      </c>
      <c r="D4778" s="84">
        <v>7</v>
      </c>
      <c r="E4778" s="85">
        <v>13532.82</v>
      </c>
      <c r="F4778" s="85">
        <v>12917.94</v>
      </c>
      <c r="G4778" s="85">
        <v>-614.88</v>
      </c>
    </row>
    <row r="4779" spans="1:7" x14ac:dyDescent="0.3">
      <c r="A4779" s="84">
        <v>2026</v>
      </c>
      <c r="B4779" s="84" t="s">
        <v>399</v>
      </c>
      <c r="C4779" s="84">
        <v>10</v>
      </c>
      <c r="D4779" s="84">
        <v>8</v>
      </c>
      <c r="E4779" s="85">
        <v>13532.82</v>
      </c>
      <c r="F4779" s="85">
        <v>13122.48</v>
      </c>
      <c r="G4779" s="85">
        <v>-410.34</v>
      </c>
    </row>
    <row r="4780" spans="1:7" x14ac:dyDescent="0.3">
      <c r="A4780" s="84">
        <v>2026</v>
      </c>
      <c r="B4780" s="84" t="s">
        <v>399</v>
      </c>
      <c r="C4780" s="84">
        <v>10</v>
      </c>
      <c r="D4780" s="84">
        <v>9</v>
      </c>
      <c r="E4780" s="85">
        <v>13532.82</v>
      </c>
      <c r="F4780" s="85">
        <v>13327.86</v>
      </c>
      <c r="G4780" s="85">
        <v>-204.96</v>
      </c>
    </row>
    <row r="4781" spans="1:7" x14ac:dyDescent="0.3">
      <c r="A4781" s="84">
        <v>2026</v>
      </c>
      <c r="B4781" s="84" t="s">
        <v>399</v>
      </c>
      <c r="C4781" s="84">
        <v>10</v>
      </c>
      <c r="D4781" s="84">
        <v>10</v>
      </c>
      <c r="E4781" s="85">
        <v>13532.82</v>
      </c>
      <c r="F4781" s="85">
        <v>13532.82</v>
      </c>
      <c r="G4781" s="85">
        <v>0</v>
      </c>
    </row>
    <row r="4782" spans="1:7" x14ac:dyDescent="0.3">
      <c r="A4782" s="84">
        <v>2026</v>
      </c>
      <c r="B4782" s="84" t="s">
        <v>399</v>
      </c>
      <c r="C4782" s="84">
        <v>10</v>
      </c>
      <c r="D4782" s="84">
        <v>11</v>
      </c>
      <c r="E4782" s="85">
        <v>13532.82</v>
      </c>
      <c r="F4782" s="85">
        <v>13941.62</v>
      </c>
      <c r="G4782" s="85">
        <v>408.8</v>
      </c>
    </row>
    <row r="4783" spans="1:7" x14ac:dyDescent="0.3">
      <c r="A4783" s="84">
        <v>2026</v>
      </c>
      <c r="B4783" s="84" t="s">
        <v>399</v>
      </c>
      <c r="C4783" s="84">
        <v>10</v>
      </c>
      <c r="D4783" s="84">
        <v>12</v>
      </c>
      <c r="E4783" s="85">
        <v>13532.82</v>
      </c>
      <c r="F4783" s="85">
        <v>14351.54</v>
      </c>
      <c r="G4783" s="85">
        <v>818.72</v>
      </c>
    </row>
    <row r="4784" spans="1:7" x14ac:dyDescent="0.3">
      <c r="A4784" s="84">
        <v>2026</v>
      </c>
      <c r="B4784" s="84" t="s">
        <v>399</v>
      </c>
      <c r="C4784" s="84">
        <v>10</v>
      </c>
      <c r="D4784" s="84">
        <v>13</v>
      </c>
      <c r="E4784" s="85">
        <v>13532.82</v>
      </c>
      <c r="F4784" s="85">
        <v>14761.32</v>
      </c>
      <c r="G4784" s="85">
        <v>1228.5</v>
      </c>
    </row>
    <row r="4785" spans="1:7" x14ac:dyDescent="0.3">
      <c r="A4785" s="84">
        <v>2026</v>
      </c>
      <c r="B4785" s="84" t="s">
        <v>399</v>
      </c>
      <c r="C4785" s="84">
        <v>10</v>
      </c>
      <c r="D4785" s="84">
        <v>14</v>
      </c>
      <c r="E4785" s="85">
        <v>13532.82</v>
      </c>
      <c r="F4785" s="85">
        <v>15171.52</v>
      </c>
      <c r="G4785" s="85">
        <v>1638.7</v>
      </c>
    </row>
    <row r="4786" spans="1:7" x14ac:dyDescent="0.3">
      <c r="A4786" s="84">
        <v>2026</v>
      </c>
      <c r="B4786" s="84" t="s">
        <v>399</v>
      </c>
      <c r="C4786" s="84">
        <v>10</v>
      </c>
      <c r="D4786" s="84">
        <v>15</v>
      </c>
      <c r="E4786" s="85">
        <v>13532.82</v>
      </c>
      <c r="F4786" s="85">
        <v>15581.16</v>
      </c>
      <c r="G4786" s="85">
        <v>2048.34</v>
      </c>
    </row>
    <row r="4787" spans="1:7" x14ac:dyDescent="0.3">
      <c r="A4787" s="84">
        <v>2026</v>
      </c>
      <c r="B4787" s="84" t="s">
        <v>399</v>
      </c>
      <c r="C4787" s="84">
        <v>10</v>
      </c>
      <c r="D4787" s="84">
        <v>16</v>
      </c>
      <c r="E4787" s="85">
        <v>13532.82</v>
      </c>
      <c r="F4787" s="85">
        <v>15990.8</v>
      </c>
      <c r="G4787" s="85">
        <v>2457.98</v>
      </c>
    </row>
    <row r="4788" spans="1:7" x14ac:dyDescent="0.3">
      <c r="A4788" s="84">
        <v>2026</v>
      </c>
      <c r="B4788" s="84" t="s">
        <v>399</v>
      </c>
      <c r="C4788" s="84">
        <v>10</v>
      </c>
      <c r="D4788" s="84">
        <v>17</v>
      </c>
      <c r="E4788" s="85">
        <v>13532.82</v>
      </c>
      <c r="F4788" s="85">
        <v>16399.88</v>
      </c>
      <c r="G4788" s="85">
        <v>2867.06</v>
      </c>
    </row>
    <row r="4789" spans="1:7" x14ac:dyDescent="0.3">
      <c r="A4789" s="84">
        <v>2026</v>
      </c>
      <c r="B4789" s="84" t="s">
        <v>399</v>
      </c>
      <c r="C4789" s="84">
        <v>10</v>
      </c>
      <c r="D4789" s="84">
        <v>18</v>
      </c>
      <c r="E4789" s="85">
        <v>13532.82</v>
      </c>
      <c r="F4789" s="85">
        <v>16809.8</v>
      </c>
      <c r="G4789" s="85">
        <v>3276.98</v>
      </c>
    </row>
    <row r="4790" spans="1:7" x14ac:dyDescent="0.3">
      <c r="A4790" s="84">
        <v>2026</v>
      </c>
      <c r="B4790" s="84" t="s">
        <v>399</v>
      </c>
      <c r="C4790" s="84">
        <v>10</v>
      </c>
      <c r="D4790" s="84">
        <v>19</v>
      </c>
      <c r="E4790" s="85">
        <v>13532.82</v>
      </c>
      <c r="F4790" s="85">
        <v>17219.86</v>
      </c>
      <c r="G4790" s="85">
        <v>3687.04</v>
      </c>
    </row>
    <row r="4791" spans="1:7" x14ac:dyDescent="0.3">
      <c r="A4791" s="84">
        <v>2026</v>
      </c>
      <c r="B4791" s="84" t="s">
        <v>399</v>
      </c>
      <c r="C4791" s="84">
        <v>10</v>
      </c>
      <c r="D4791" s="84">
        <v>20</v>
      </c>
      <c r="E4791" s="85">
        <v>13532.82</v>
      </c>
      <c r="F4791" s="85">
        <v>17629.64</v>
      </c>
      <c r="G4791" s="85">
        <v>4096.82</v>
      </c>
    </row>
    <row r="4792" spans="1:7" x14ac:dyDescent="0.3">
      <c r="A4792" s="84">
        <v>2026</v>
      </c>
      <c r="B4792" s="84" t="s">
        <v>399</v>
      </c>
      <c r="C4792" s="84">
        <v>10</v>
      </c>
      <c r="D4792" s="84">
        <v>21</v>
      </c>
      <c r="E4792" s="85">
        <v>13532.82</v>
      </c>
      <c r="F4792" s="85">
        <v>18243.82</v>
      </c>
      <c r="G4792" s="85">
        <v>4711</v>
      </c>
    </row>
    <row r="4793" spans="1:7" x14ac:dyDescent="0.3">
      <c r="A4793" s="84">
        <v>2026</v>
      </c>
      <c r="B4793" s="84" t="s">
        <v>399</v>
      </c>
      <c r="C4793" s="84">
        <v>10</v>
      </c>
      <c r="D4793" s="84">
        <v>22</v>
      </c>
      <c r="E4793" s="85">
        <v>13532.82</v>
      </c>
      <c r="F4793" s="85">
        <v>18909.099999999999</v>
      </c>
      <c r="G4793" s="85">
        <v>5376.28</v>
      </c>
    </row>
    <row r="4794" spans="1:7" x14ac:dyDescent="0.3">
      <c r="A4794" s="84">
        <v>2026</v>
      </c>
      <c r="B4794" s="84" t="s">
        <v>399</v>
      </c>
      <c r="C4794" s="84">
        <v>10</v>
      </c>
      <c r="D4794" s="84">
        <v>23</v>
      </c>
      <c r="E4794" s="85">
        <v>13532.82</v>
      </c>
      <c r="F4794" s="85">
        <v>19576.759999999998</v>
      </c>
      <c r="G4794" s="85">
        <v>6043.94</v>
      </c>
    </row>
    <row r="4795" spans="1:7" x14ac:dyDescent="0.3">
      <c r="A4795" s="84">
        <v>2026</v>
      </c>
      <c r="B4795" s="84" t="s">
        <v>399</v>
      </c>
      <c r="C4795" s="84">
        <v>10</v>
      </c>
      <c r="D4795" s="84">
        <v>24</v>
      </c>
      <c r="E4795" s="85">
        <v>13532.82</v>
      </c>
      <c r="F4795" s="85">
        <v>20242.88</v>
      </c>
      <c r="G4795" s="85">
        <v>6710.06</v>
      </c>
    </row>
    <row r="4796" spans="1:7" x14ac:dyDescent="0.3">
      <c r="A4796" s="84">
        <v>2026</v>
      </c>
      <c r="B4796" s="84" t="s">
        <v>399</v>
      </c>
      <c r="C4796" s="84">
        <v>10</v>
      </c>
      <c r="D4796" s="84">
        <v>25</v>
      </c>
      <c r="E4796" s="85">
        <v>13532.82</v>
      </c>
      <c r="F4796" s="85">
        <v>20909.84</v>
      </c>
      <c r="G4796" s="85">
        <v>7377.02</v>
      </c>
    </row>
    <row r="4797" spans="1:7" x14ac:dyDescent="0.3">
      <c r="A4797" s="84">
        <v>2026</v>
      </c>
      <c r="B4797" s="84" t="s">
        <v>399</v>
      </c>
      <c r="C4797" s="84">
        <v>10</v>
      </c>
      <c r="D4797" s="84">
        <v>26</v>
      </c>
      <c r="E4797" s="85">
        <v>13532.82</v>
      </c>
      <c r="F4797" s="85">
        <v>22346.799999999999</v>
      </c>
      <c r="G4797" s="85">
        <v>8813.98</v>
      </c>
    </row>
    <row r="4798" spans="1:7" x14ac:dyDescent="0.3">
      <c r="A4798" s="84">
        <v>2026</v>
      </c>
      <c r="B4798" s="84" t="s">
        <v>399</v>
      </c>
      <c r="C4798" s="84">
        <v>10</v>
      </c>
      <c r="D4798" s="84">
        <v>27</v>
      </c>
      <c r="E4798" s="85">
        <v>13532.82</v>
      </c>
      <c r="F4798" s="85">
        <v>24128.720000000001</v>
      </c>
      <c r="G4798" s="85">
        <v>10595.9</v>
      </c>
    </row>
    <row r="4799" spans="1:7" x14ac:dyDescent="0.3">
      <c r="A4799" s="84">
        <v>2026</v>
      </c>
      <c r="B4799" s="84" t="s">
        <v>399</v>
      </c>
      <c r="C4799" s="84">
        <v>10</v>
      </c>
      <c r="D4799" s="84">
        <v>28</v>
      </c>
      <c r="E4799" s="85">
        <v>13532.82</v>
      </c>
      <c r="F4799" s="85">
        <v>24795.82</v>
      </c>
      <c r="G4799" s="85">
        <v>11263</v>
      </c>
    </row>
    <row r="4800" spans="1:7" x14ac:dyDescent="0.3">
      <c r="A4800" s="84">
        <v>2026</v>
      </c>
      <c r="B4800" s="84" t="s">
        <v>399</v>
      </c>
      <c r="C4800" s="84">
        <v>10</v>
      </c>
      <c r="D4800" s="84">
        <v>29</v>
      </c>
      <c r="E4800" s="85">
        <v>13532.82</v>
      </c>
      <c r="F4800" s="85">
        <v>25461.94</v>
      </c>
      <c r="G4800" s="85">
        <v>11929.12</v>
      </c>
    </row>
    <row r="4801" spans="1:7" x14ac:dyDescent="0.3">
      <c r="A4801" s="84">
        <v>2026</v>
      </c>
      <c r="B4801" s="84" t="s">
        <v>399</v>
      </c>
      <c r="C4801" s="84">
        <v>10</v>
      </c>
      <c r="D4801" s="84">
        <v>30</v>
      </c>
      <c r="E4801" s="85">
        <v>13532.82</v>
      </c>
      <c r="F4801" s="85">
        <v>27284.38</v>
      </c>
      <c r="G4801" s="85">
        <v>13751.56</v>
      </c>
    </row>
    <row r="4802" spans="1:7" x14ac:dyDescent="0.3">
      <c r="A4802" s="84">
        <v>2026</v>
      </c>
      <c r="B4802" s="84" t="s">
        <v>399</v>
      </c>
      <c r="C4802" s="84">
        <v>11</v>
      </c>
      <c r="D4802" s="84">
        <v>1</v>
      </c>
      <c r="E4802" s="85">
        <v>13941.62</v>
      </c>
      <c r="F4802" s="85">
        <v>11279.66</v>
      </c>
      <c r="G4802" s="85">
        <v>-2661.96</v>
      </c>
    </row>
    <row r="4803" spans="1:7" x14ac:dyDescent="0.3">
      <c r="A4803" s="84">
        <v>2026</v>
      </c>
      <c r="B4803" s="84" t="s">
        <v>399</v>
      </c>
      <c r="C4803" s="84">
        <v>11</v>
      </c>
      <c r="D4803" s="84">
        <v>2</v>
      </c>
      <c r="E4803" s="85">
        <v>13941.62</v>
      </c>
      <c r="F4803" s="85">
        <v>11586.96</v>
      </c>
      <c r="G4803" s="85">
        <v>-2354.66</v>
      </c>
    </row>
    <row r="4804" spans="1:7" x14ac:dyDescent="0.3">
      <c r="A4804" s="84">
        <v>2026</v>
      </c>
      <c r="B4804" s="84" t="s">
        <v>399</v>
      </c>
      <c r="C4804" s="84">
        <v>11</v>
      </c>
      <c r="D4804" s="84">
        <v>3</v>
      </c>
      <c r="E4804" s="85">
        <v>13941.62</v>
      </c>
      <c r="F4804" s="85">
        <v>11894.54</v>
      </c>
      <c r="G4804" s="85">
        <v>-2047.08</v>
      </c>
    </row>
    <row r="4805" spans="1:7" x14ac:dyDescent="0.3">
      <c r="A4805" s="84">
        <v>2026</v>
      </c>
      <c r="B4805" s="84" t="s">
        <v>399</v>
      </c>
      <c r="C4805" s="84">
        <v>11</v>
      </c>
      <c r="D4805" s="84">
        <v>4</v>
      </c>
      <c r="E4805" s="85">
        <v>13941.62</v>
      </c>
      <c r="F4805" s="85">
        <v>12200.86</v>
      </c>
      <c r="G4805" s="85">
        <v>-1740.76</v>
      </c>
    </row>
    <row r="4806" spans="1:7" x14ac:dyDescent="0.3">
      <c r="A4806" s="84">
        <v>2026</v>
      </c>
      <c r="B4806" s="84" t="s">
        <v>399</v>
      </c>
      <c r="C4806" s="84">
        <v>11</v>
      </c>
      <c r="D4806" s="84">
        <v>5</v>
      </c>
      <c r="E4806" s="85">
        <v>13941.62</v>
      </c>
      <c r="F4806" s="85">
        <v>12507.88</v>
      </c>
      <c r="G4806" s="85">
        <v>-1433.74</v>
      </c>
    </row>
    <row r="4807" spans="1:7" x14ac:dyDescent="0.3">
      <c r="A4807" s="84">
        <v>2026</v>
      </c>
      <c r="B4807" s="84" t="s">
        <v>399</v>
      </c>
      <c r="C4807" s="84">
        <v>11</v>
      </c>
      <c r="D4807" s="84">
        <v>6</v>
      </c>
      <c r="E4807" s="85">
        <v>13941.62</v>
      </c>
      <c r="F4807" s="85">
        <v>12712.7</v>
      </c>
      <c r="G4807" s="85">
        <v>-1228.92</v>
      </c>
    </row>
    <row r="4808" spans="1:7" x14ac:dyDescent="0.3">
      <c r="A4808" s="84">
        <v>2026</v>
      </c>
      <c r="B4808" s="84" t="s">
        <v>399</v>
      </c>
      <c r="C4808" s="84">
        <v>11</v>
      </c>
      <c r="D4808" s="84">
        <v>7</v>
      </c>
      <c r="E4808" s="85">
        <v>13941.62</v>
      </c>
      <c r="F4808" s="85">
        <v>12917.94</v>
      </c>
      <c r="G4808" s="85">
        <v>-1023.68</v>
      </c>
    </row>
    <row r="4809" spans="1:7" x14ac:dyDescent="0.3">
      <c r="A4809" s="84">
        <v>2026</v>
      </c>
      <c r="B4809" s="84" t="s">
        <v>399</v>
      </c>
      <c r="C4809" s="84">
        <v>11</v>
      </c>
      <c r="D4809" s="84">
        <v>8</v>
      </c>
      <c r="E4809" s="85">
        <v>13941.62</v>
      </c>
      <c r="F4809" s="85">
        <v>13122.48</v>
      </c>
      <c r="G4809" s="85">
        <v>-819.14</v>
      </c>
    </row>
    <row r="4810" spans="1:7" x14ac:dyDescent="0.3">
      <c r="A4810" s="84">
        <v>2026</v>
      </c>
      <c r="B4810" s="84" t="s">
        <v>399</v>
      </c>
      <c r="C4810" s="84">
        <v>11</v>
      </c>
      <c r="D4810" s="84">
        <v>9</v>
      </c>
      <c r="E4810" s="85">
        <v>13941.62</v>
      </c>
      <c r="F4810" s="85">
        <v>13327.86</v>
      </c>
      <c r="G4810" s="85">
        <v>-613.76</v>
      </c>
    </row>
    <row r="4811" spans="1:7" x14ac:dyDescent="0.3">
      <c r="A4811" s="84">
        <v>2026</v>
      </c>
      <c r="B4811" s="84" t="s">
        <v>399</v>
      </c>
      <c r="C4811" s="84">
        <v>11</v>
      </c>
      <c r="D4811" s="84">
        <v>10</v>
      </c>
      <c r="E4811" s="85">
        <v>13941.62</v>
      </c>
      <c r="F4811" s="85">
        <v>13532.82</v>
      </c>
      <c r="G4811" s="85">
        <v>-408.8</v>
      </c>
    </row>
    <row r="4812" spans="1:7" x14ac:dyDescent="0.3">
      <c r="A4812" s="84">
        <v>2026</v>
      </c>
      <c r="B4812" s="84" t="s">
        <v>399</v>
      </c>
      <c r="C4812" s="84">
        <v>11</v>
      </c>
      <c r="D4812" s="84">
        <v>11</v>
      </c>
      <c r="E4812" s="85">
        <v>13941.62</v>
      </c>
      <c r="F4812" s="85">
        <v>13941.62</v>
      </c>
      <c r="G4812" s="85">
        <v>0</v>
      </c>
    </row>
    <row r="4813" spans="1:7" x14ac:dyDescent="0.3">
      <c r="A4813" s="84">
        <v>2026</v>
      </c>
      <c r="B4813" s="84" t="s">
        <v>399</v>
      </c>
      <c r="C4813" s="84">
        <v>11</v>
      </c>
      <c r="D4813" s="84">
        <v>12</v>
      </c>
      <c r="E4813" s="85">
        <v>13941.62</v>
      </c>
      <c r="F4813" s="85">
        <v>14351.54</v>
      </c>
      <c r="G4813" s="85">
        <v>409.92</v>
      </c>
    </row>
    <row r="4814" spans="1:7" x14ac:dyDescent="0.3">
      <c r="A4814" s="84">
        <v>2026</v>
      </c>
      <c r="B4814" s="84" t="s">
        <v>399</v>
      </c>
      <c r="C4814" s="84">
        <v>11</v>
      </c>
      <c r="D4814" s="84">
        <v>13</v>
      </c>
      <c r="E4814" s="85">
        <v>13941.62</v>
      </c>
      <c r="F4814" s="85">
        <v>14761.32</v>
      </c>
      <c r="G4814" s="85">
        <v>819.7</v>
      </c>
    </row>
    <row r="4815" spans="1:7" x14ac:dyDescent="0.3">
      <c r="A4815" s="84">
        <v>2026</v>
      </c>
      <c r="B4815" s="84" t="s">
        <v>399</v>
      </c>
      <c r="C4815" s="84">
        <v>11</v>
      </c>
      <c r="D4815" s="84">
        <v>14</v>
      </c>
      <c r="E4815" s="85">
        <v>13941.62</v>
      </c>
      <c r="F4815" s="85">
        <v>15171.52</v>
      </c>
      <c r="G4815" s="85">
        <v>1229.9000000000001</v>
      </c>
    </row>
    <row r="4816" spans="1:7" x14ac:dyDescent="0.3">
      <c r="A4816" s="84">
        <v>2026</v>
      </c>
      <c r="B4816" s="84" t="s">
        <v>399</v>
      </c>
      <c r="C4816" s="84">
        <v>11</v>
      </c>
      <c r="D4816" s="84">
        <v>15</v>
      </c>
      <c r="E4816" s="85">
        <v>13941.62</v>
      </c>
      <c r="F4816" s="85">
        <v>15581.16</v>
      </c>
      <c r="G4816" s="85">
        <v>1639.54</v>
      </c>
    </row>
    <row r="4817" spans="1:7" x14ac:dyDescent="0.3">
      <c r="A4817" s="84">
        <v>2026</v>
      </c>
      <c r="B4817" s="84" t="s">
        <v>399</v>
      </c>
      <c r="C4817" s="84">
        <v>11</v>
      </c>
      <c r="D4817" s="84">
        <v>16</v>
      </c>
      <c r="E4817" s="85">
        <v>13941.62</v>
      </c>
      <c r="F4817" s="85">
        <v>15990.8</v>
      </c>
      <c r="G4817" s="85">
        <v>2049.1799999999998</v>
      </c>
    </row>
    <row r="4818" spans="1:7" x14ac:dyDescent="0.3">
      <c r="A4818" s="84">
        <v>2026</v>
      </c>
      <c r="B4818" s="84" t="s">
        <v>399</v>
      </c>
      <c r="C4818" s="84">
        <v>11</v>
      </c>
      <c r="D4818" s="84">
        <v>17</v>
      </c>
      <c r="E4818" s="85">
        <v>13941.62</v>
      </c>
      <c r="F4818" s="85">
        <v>16399.88</v>
      </c>
      <c r="G4818" s="85">
        <v>2458.2600000000002</v>
      </c>
    </row>
    <row r="4819" spans="1:7" x14ac:dyDescent="0.3">
      <c r="A4819" s="84">
        <v>2026</v>
      </c>
      <c r="B4819" s="84" t="s">
        <v>399</v>
      </c>
      <c r="C4819" s="84">
        <v>11</v>
      </c>
      <c r="D4819" s="84">
        <v>18</v>
      </c>
      <c r="E4819" s="85">
        <v>13941.62</v>
      </c>
      <c r="F4819" s="85">
        <v>16809.8</v>
      </c>
      <c r="G4819" s="85">
        <v>2868.18</v>
      </c>
    </row>
    <row r="4820" spans="1:7" x14ac:dyDescent="0.3">
      <c r="A4820" s="84">
        <v>2026</v>
      </c>
      <c r="B4820" s="84" t="s">
        <v>399</v>
      </c>
      <c r="C4820" s="84">
        <v>11</v>
      </c>
      <c r="D4820" s="84">
        <v>19</v>
      </c>
      <c r="E4820" s="85">
        <v>13941.62</v>
      </c>
      <c r="F4820" s="85">
        <v>17219.86</v>
      </c>
      <c r="G4820" s="85">
        <v>3278.24</v>
      </c>
    </row>
    <row r="4821" spans="1:7" x14ac:dyDescent="0.3">
      <c r="A4821" s="84">
        <v>2026</v>
      </c>
      <c r="B4821" s="84" t="s">
        <v>399</v>
      </c>
      <c r="C4821" s="84">
        <v>11</v>
      </c>
      <c r="D4821" s="84">
        <v>20</v>
      </c>
      <c r="E4821" s="85">
        <v>13941.62</v>
      </c>
      <c r="F4821" s="85">
        <v>17629.64</v>
      </c>
      <c r="G4821" s="85">
        <v>3688.02</v>
      </c>
    </row>
    <row r="4822" spans="1:7" x14ac:dyDescent="0.3">
      <c r="A4822" s="84">
        <v>2026</v>
      </c>
      <c r="B4822" s="84" t="s">
        <v>399</v>
      </c>
      <c r="C4822" s="84">
        <v>11</v>
      </c>
      <c r="D4822" s="84">
        <v>21</v>
      </c>
      <c r="E4822" s="85">
        <v>13941.62</v>
      </c>
      <c r="F4822" s="85">
        <v>18243.82</v>
      </c>
      <c r="G4822" s="85">
        <v>4302.2</v>
      </c>
    </row>
    <row r="4823" spans="1:7" x14ac:dyDescent="0.3">
      <c r="A4823" s="84">
        <v>2026</v>
      </c>
      <c r="B4823" s="84" t="s">
        <v>399</v>
      </c>
      <c r="C4823" s="84">
        <v>11</v>
      </c>
      <c r="D4823" s="84">
        <v>22</v>
      </c>
      <c r="E4823" s="85">
        <v>13941.62</v>
      </c>
      <c r="F4823" s="85">
        <v>18909.099999999999</v>
      </c>
      <c r="G4823" s="85">
        <v>4967.4799999999996</v>
      </c>
    </row>
    <row r="4824" spans="1:7" x14ac:dyDescent="0.3">
      <c r="A4824" s="84">
        <v>2026</v>
      </c>
      <c r="B4824" s="84" t="s">
        <v>399</v>
      </c>
      <c r="C4824" s="84">
        <v>11</v>
      </c>
      <c r="D4824" s="84">
        <v>23</v>
      </c>
      <c r="E4824" s="85">
        <v>13941.62</v>
      </c>
      <c r="F4824" s="85">
        <v>19576.759999999998</v>
      </c>
      <c r="G4824" s="85">
        <v>5635.14</v>
      </c>
    </row>
    <row r="4825" spans="1:7" x14ac:dyDescent="0.3">
      <c r="A4825" s="84">
        <v>2026</v>
      </c>
      <c r="B4825" s="84" t="s">
        <v>399</v>
      </c>
      <c r="C4825" s="84">
        <v>11</v>
      </c>
      <c r="D4825" s="84">
        <v>24</v>
      </c>
      <c r="E4825" s="85">
        <v>13941.62</v>
      </c>
      <c r="F4825" s="85">
        <v>20242.88</v>
      </c>
      <c r="G4825" s="85">
        <v>6301.26</v>
      </c>
    </row>
    <row r="4826" spans="1:7" x14ac:dyDescent="0.3">
      <c r="A4826" s="84">
        <v>2026</v>
      </c>
      <c r="B4826" s="84" t="s">
        <v>399</v>
      </c>
      <c r="C4826" s="84">
        <v>11</v>
      </c>
      <c r="D4826" s="84">
        <v>25</v>
      </c>
      <c r="E4826" s="85">
        <v>13941.62</v>
      </c>
      <c r="F4826" s="85">
        <v>20909.84</v>
      </c>
      <c r="G4826" s="85">
        <v>6968.22</v>
      </c>
    </row>
    <row r="4827" spans="1:7" x14ac:dyDescent="0.3">
      <c r="A4827" s="84">
        <v>2026</v>
      </c>
      <c r="B4827" s="84" t="s">
        <v>399</v>
      </c>
      <c r="C4827" s="84">
        <v>11</v>
      </c>
      <c r="D4827" s="84">
        <v>26</v>
      </c>
      <c r="E4827" s="85">
        <v>13941.62</v>
      </c>
      <c r="F4827" s="85">
        <v>22346.799999999999</v>
      </c>
      <c r="G4827" s="85">
        <v>8405.18</v>
      </c>
    </row>
    <row r="4828" spans="1:7" x14ac:dyDescent="0.3">
      <c r="A4828" s="84">
        <v>2026</v>
      </c>
      <c r="B4828" s="84" t="s">
        <v>399</v>
      </c>
      <c r="C4828" s="84">
        <v>11</v>
      </c>
      <c r="D4828" s="84">
        <v>27</v>
      </c>
      <c r="E4828" s="85">
        <v>13941.62</v>
      </c>
      <c r="F4828" s="85">
        <v>24128.720000000001</v>
      </c>
      <c r="G4828" s="85">
        <v>10187.1</v>
      </c>
    </row>
    <row r="4829" spans="1:7" x14ac:dyDescent="0.3">
      <c r="A4829" s="84">
        <v>2026</v>
      </c>
      <c r="B4829" s="84" t="s">
        <v>399</v>
      </c>
      <c r="C4829" s="84">
        <v>11</v>
      </c>
      <c r="D4829" s="84">
        <v>28</v>
      </c>
      <c r="E4829" s="85">
        <v>13941.62</v>
      </c>
      <c r="F4829" s="85">
        <v>24795.82</v>
      </c>
      <c r="G4829" s="85">
        <v>10854.2</v>
      </c>
    </row>
    <row r="4830" spans="1:7" x14ac:dyDescent="0.3">
      <c r="A4830" s="84">
        <v>2026</v>
      </c>
      <c r="B4830" s="84" t="s">
        <v>399</v>
      </c>
      <c r="C4830" s="84">
        <v>11</v>
      </c>
      <c r="D4830" s="84">
        <v>29</v>
      </c>
      <c r="E4830" s="85">
        <v>13941.62</v>
      </c>
      <c r="F4830" s="85">
        <v>25461.94</v>
      </c>
      <c r="G4830" s="85">
        <v>11520.32</v>
      </c>
    </row>
    <row r="4831" spans="1:7" x14ac:dyDescent="0.3">
      <c r="A4831" s="84">
        <v>2026</v>
      </c>
      <c r="B4831" s="84" t="s">
        <v>399</v>
      </c>
      <c r="C4831" s="84">
        <v>11</v>
      </c>
      <c r="D4831" s="84">
        <v>30</v>
      </c>
      <c r="E4831" s="85">
        <v>13941.62</v>
      </c>
      <c r="F4831" s="85">
        <v>27284.38</v>
      </c>
      <c r="G4831" s="85">
        <v>13342.76</v>
      </c>
    </row>
    <row r="4832" spans="1:7" x14ac:dyDescent="0.3">
      <c r="A4832" s="84">
        <v>2026</v>
      </c>
      <c r="B4832" s="84" t="s">
        <v>399</v>
      </c>
      <c r="C4832" s="84">
        <v>12</v>
      </c>
      <c r="D4832" s="84">
        <v>1</v>
      </c>
      <c r="E4832" s="85">
        <v>14351.54</v>
      </c>
      <c r="F4832" s="85">
        <v>11279.66</v>
      </c>
      <c r="G4832" s="85">
        <v>-3071.88</v>
      </c>
    </row>
    <row r="4833" spans="1:7" x14ac:dyDescent="0.3">
      <c r="A4833" s="84">
        <v>2026</v>
      </c>
      <c r="B4833" s="84" t="s">
        <v>399</v>
      </c>
      <c r="C4833" s="84">
        <v>12</v>
      </c>
      <c r="D4833" s="84">
        <v>2</v>
      </c>
      <c r="E4833" s="85">
        <v>14351.54</v>
      </c>
      <c r="F4833" s="85">
        <v>11586.96</v>
      </c>
      <c r="G4833" s="85">
        <v>-2764.58</v>
      </c>
    </row>
    <row r="4834" spans="1:7" x14ac:dyDescent="0.3">
      <c r="A4834" s="84">
        <v>2026</v>
      </c>
      <c r="B4834" s="84" t="s">
        <v>399</v>
      </c>
      <c r="C4834" s="84">
        <v>12</v>
      </c>
      <c r="D4834" s="84">
        <v>3</v>
      </c>
      <c r="E4834" s="85">
        <v>14351.54</v>
      </c>
      <c r="F4834" s="85">
        <v>11894.54</v>
      </c>
      <c r="G4834" s="85">
        <v>-2457</v>
      </c>
    </row>
    <row r="4835" spans="1:7" x14ac:dyDescent="0.3">
      <c r="A4835" s="84">
        <v>2026</v>
      </c>
      <c r="B4835" s="84" t="s">
        <v>399</v>
      </c>
      <c r="C4835" s="84">
        <v>12</v>
      </c>
      <c r="D4835" s="84">
        <v>4</v>
      </c>
      <c r="E4835" s="85">
        <v>14351.54</v>
      </c>
      <c r="F4835" s="85">
        <v>12200.86</v>
      </c>
      <c r="G4835" s="85">
        <v>-2150.6799999999998</v>
      </c>
    </row>
    <row r="4836" spans="1:7" x14ac:dyDescent="0.3">
      <c r="A4836" s="84">
        <v>2026</v>
      </c>
      <c r="B4836" s="84" t="s">
        <v>399</v>
      </c>
      <c r="C4836" s="84">
        <v>12</v>
      </c>
      <c r="D4836" s="84">
        <v>5</v>
      </c>
      <c r="E4836" s="85">
        <v>14351.54</v>
      </c>
      <c r="F4836" s="85">
        <v>12507.88</v>
      </c>
      <c r="G4836" s="85">
        <v>-1843.66</v>
      </c>
    </row>
    <row r="4837" spans="1:7" x14ac:dyDescent="0.3">
      <c r="A4837" s="84">
        <v>2026</v>
      </c>
      <c r="B4837" s="84" t="s">
        <v>399</v>
      </c>
      <c r="C4837" s="84">
        <v>12</v>
      </c>
      <c r="D4837" s="84">
        <v>6</v>
      </c>
      <c r="E4837" s="85">
        <v>14351.54</v>
      </c>
      <c r="F4837" s="85">
        <v>12712.7</v>
      </c>
      <c r="G4837" s="85">
        <v>-1638.84</v>
      </c>
    </row>
    <row r="4838" spans="1:7" x14ac:dyDescent="0.3">
      <c r="A4838" s="84">
        <v>2026</v>
      </c>
      <c r="B4838" s="84" t="s">
        <v>399</v>
      </c>
      <c r="C4838" s="84">
        <v>12</v>
      </c>
      <c r="D4838" s="84">
        <v>7</v>
      </c>
      <c r="E4838" s="85">
        <v>14351.54</v>
      </c>
      <c r="F4838" s="85">
        <v>12917.94</v>
      </c>
      <c r="G4838" s="85">
        <v>-1433.6</v>
      </c>
    </row>
    <row r="4839" spans="1:7" x14ac:dyDescent="0.3">
      <c r="A4839" s="84">
        <v>2026</v>
      </c>
      <c r="B4839" s="84" t="s">
        <v>399</v>
      </c>
      <c r="C4839" s="84">
        <v>12</v>
      </c>
      <c r="D4839" s="84">
        <v>8</v>
      </c>
      <c r="E4839" s="85">
        <v>14351.54</v>
      </c>
      <c r="F4839" s="85">
        <v>13122.48</v>
      </c>
      <c r="G4839" s="85">
        <v>-1229.06</v>
      </c>
    </row>
    <row r="4840" spans="1:7" x14ac:dyDescent="0.3">
      <c r="A4840" s="84">
        <v>2026</v>
      </c>
      <c r="B4840" s="84" t="s">
        <v>399</v>
      </c>
      <c r="C4840" s="84">
        <v>12</v>
      </c>
      <c r="D4840" s="84">
        <v>9</v>
      </c>
      <c r="E4840" s="85">
        <v>14351.54</v>
      </c>
      <c r="F4840" s="85">
        <v>13327.86</v>
      </c>
      <c r="G4840" s="85">
        <v>-1023.68</v>
      </c>
    </row>
    <row r="4841" spans="1:7" x14ac:dyDescent="0.3">
      <c r="A4841" s="84">
        <v>2026</v>
      </c>
      <c r="B4841" s="84" t="s">
        <v>399</v>
      </c>
      <c r="C4841" s="84">
        <v>12</v>
      </c>
      <c r="D4841" s="84">
        <v>10</v>
      </c>
      <c r="E4841" s="85">
        <v>14351.54</v>
      </c>
      <c r="F4841" s="85">
        <v>13532.82</v>
      </c>
      <c r="G4841" s="85">
        <v>-818.72</v>
      </c>
    </row>
    <row r="4842" spans="1:7" x14ac:dyDescent="0.3">
      <c r="A4842" s="84">
        <v>2026</v>
      </c>
      <c r="B4842" s="84" t="s">
        <v>399</v>
      </c>
      <c r="C4842" s="84">
        <v>12</v>
      </c>
      <c r="D4842" s="84">
        <v>11</v>
      </c>
      <c r="E4842" s="85">
        <v>14351.54</v>
      </c>
      <c r="F4842" s="85">
        <v>13941.62</v>
      </c>
      <c r="G4842" s="85">
        <v>-409.92</v>
      </c>
    </row>
    <row r="4843" spans="1:7" x14ac:dyDescent="0.3">
      <c r="A4843" s="84">
        <v>2026</v>
      </c>
      <c r="B4843" s="84" t="s">
        <v>399</v>
      </c>
      <c r="C4843" s="84">
        <v>12</v>
      </c>
      <c r="D4843" s="84">
        <v>12</v>
      </c>
      <c r="E4843" s="85">
        <v>14351.54</v>
      </c>
      <c r="F4843" s="85">
        <v>14351.54</v>
      </c>
      <c r="G4843" s="85">
        <v>0</v>
      </c>
    </row>
    <row r="4844" spans="1:7" x14ac:dyDescent="0.3">
      <c r="A4844" s="84">
        <v>2026</v>
      </c>
      <c r="B4844" s="84" t="s">
        <v>399</v>
      </c>
      <c r="C4844" s="84">
        <v>12</v>
      </c>
      <c r="D4844" s="84">
        <v>13</v>
      </c>
      <c r="E4844" s="85">
        <v>14351.54</v>
      </c>
      <c r="F4844" s="85">
        <v>14761.32</v>
      </c>
      <c r="G4844" s="85">
        <v>409.78</v>
      </c>
    </row>
    <row r="4845" spans="1:7" x14ac:dyDescent="0.3">
      <c r="A4845" s="84">
        <v>2026</v>
      </c>
      <c r="B4845" s="84" t="s">
        <v>399</v>
      </c>
      <c r="C4845" s="84">
        <v>12</v>
      </c>
      <c r="D4845" s="84">
        <v>14</v>
      </c>
      <c r="E4845" s="85">
        <v>14351.54</v>
      </c>
      <c r="F4845" s="85">
        <v>15171.52</v>
      </c>
      <c r="G4845" s="85">
        <v>819.98</v>
      </c>
    </row>
    <row r="4846" spans="1:7" x14ac:dyDescent="0.3">
      <c r="A4846" s="84">
        <v>2026</v>
      </c>
      <c r="B4846" s="84" t="s">
        <v>399</v>
      </c>
      <c r="C4846" s="84">
        <v>12</v>
      </c>
      <c r="D4846" s="84">
        <v>15</v>
      </c>
      <c r="E4846" s="85">
        <v>14351.54</v>
      </c>
      <c r="F4846" s="85">
        <v>15581.16</v>
      </c>
      <c r="G4846" s="85">
        <v>1229.6199999999999</v>
      </c>
    </row>
    <row r="4847" spans="1:7" x14ac:dyDescent="0.3">
      <c r="A4847" s="84">
        <v>2026</v>
      </c>
      <c r="B4847" s="84" t="s">
        <v>399</v>
      </c>
      <c r="C4847" s="84">
        <v>12</v>
      </c>
      <c r="D4847" s="84">
        <v>16</v>
      </c>
      <c r="E4847" s="85">
        <v>14351.54</v>
      </c>
      <c r="F4847" s="85">
        <v>15990.8</v>
      </c>
      <c r="G4847" s="85">
        <v>1639.26</v>
      </c>
    </row>
    <row r="4848" spans="1:7" x14ac:dyDescent="0.3">
      <c r="A4848" s="84">
        <v>2026</v>
      </c>
      <c r="B4848" s="84" t="s">
        <v>399</v>
      </c>
      <c r="C4848" s="84">
        <v>12</v>
      </c>
      <c r="D4848" s="84">
        <v>17</v>
      </c>
      <c r="E4848" s="85">
        <v>14351.54</v>
      </c>
      <c r="F4848" s="85">
        <v>16399.88</v>
      </c>
      <c r="G4848" s="85">
        <v>2048.34</v>
      </c>
    </row>
    <row r="4849" spans="1:7" x14ac:dyDescent="0.3">
      <c r="A4849" s="84">
        <v>2026</v>
      </c>
      <c r="B4849" s="84" t="s">
        <v>399</v>
      </c>
      <c r="C4849" s="84">
        <v>12</v>
      </c>
      <c r="D4849" s="84">
        <v>18</v>
      </c>
      <c r="E4849" s="85">
        <v>14351.54</v>
      </c>
      <c r="F4849" s="85">
        <v>16809.8</v>
      </c>
      <c r="G4849" s="85">
        <v>2458.2600000000002</v>
      </c>
    </row>
    <row r="4850" spans="1:7" x14ac:dyDescent="0.3">
      <c r="A4850" s="84">
        <v>2026</v>
      </c>
      <c r="B4850" s="84" t="s">
        <v>399</v>
      </c>
      <c r="C4850" s="84">
        <v>12</v>
      </c>
      <c r="D4850" s="84">
        <v>19</v>
      </c>
      <c r="E4850" s="85">
        <v>14351.54</v>
      </c>
      <c r="F4850" s="85">
        <v>17219.86</v>
      </c>
      <c r="G4850" s="85">
        <v>2868.32</v>
      </c>
    </row>
    <row r="4851" spans="1:7" x14ac:dyDescent="0.3">
      <c r="A4851" s="84">
        <v>2026</v>
      </c>
      <c r="B4851" s="84" t="s">
        <v>399</v>
      </c>
      <c r="C4851" s="84">
        <v>12</v>
      </c>
      <c r="D4851" s="84">
        <v>20</v>
      </c>
      <c r="E4851" s="85">
        <v>14351.54</v>
      </c>
      <c r="F4851" s="85">
        <v>17629.64</v>
      </c>
      <c r="G4851" s="85">
        <v>3278.1</v>
      </c>
    </row>
    <row r="4852" spans="1:7" x14ac:dyDescent="0.3">
      <c r="A4852" s="84">
        <v>2026</v>
      </c>
      <c r="B4852" s="84" t="s">
        <v>399</v>
      </c>
      <c r="C4852" s="84">
        <v>12</v>
      </c>
      <c r="D4852" s="84">
        <v>21</v>
      </c>
      <c r="E4852" s="85">
        <v>14351.54</v>
      </c>
      <c r="F4852" s="85">
        <v>18243.82</v>
      </c>
      <c r="G4852" s="85">
        <v>3892.28</v>
      </c>
    </row>
    <row r="4853" spans="1:7" x14ac:dyDescent="0.3">
      <c r="A4853" s="84">
        <v>2026</v>
      </c>
      <c r="B4853" s="84" t="s">
        <v>399</v>
      </c>
      <c r="C4853" s="84">
        <v>12</v>
      </c>
      <c r="D4853" s="84">
        <v>22</v>
      </c>
      <c r="E4853" s="85">
        <v>14351.54</v>
      </c>
      <c r="F4853" s="85">
        <v>18909.099999999999</v>
      </c>
      <c r="G4853" s="85">
        <v>4557.5600000000004</v>
      </c>
    </row>
    <row r="4854" spans="1:7" x14ac:dyDescent="0.3">
      <c r="A4854" s="84">
        <v>2026</v>
      </c>
      <c r="B4854" s="84" t="s">
        <v>399</v>
      </c>
      <c r="C4854" s="84">
        <v>12</v>
      </c>
      <c r="D4854" s="84">
        <v>23</v>
      </c>
      <c r="E4854" s="85">
        <v>14351.54</v>
      </c>
      <c r="F4854" s="85">
        <v>19576.759999999998</v>
      </c>
      <c r="G4854" s="85">
        <v>5225.22</v>
      </c>
    </row>
    <row r="4855" spans="1:7" x14ac:dyDescent="0.3">
      <c r="A4855" s="84">
        <v>2026</v>
      </c>
      <c r="B4855" s="84" t="s">
        <v>399</v>
      </c>
      <c r="C4855" s="84">
        <v>12</v>
      </c>
      <c r="D4855" s="84">
        <v>24</v>
      </c>
      <c r="E4855" s="85">
        <v>14351.54</v>
      </c>
      <c r="F4855" s="85">
        <v>20242.88</v>
      </c>
      <c r="G4855" s="85">
        <v>5891.34</v>
      </c>
    </row>
    <row r="4856" spans="1:7" x14ac:dyDescent="0.3">
      <c r="A4856" s="84">
        <v>2026</v>
      </c>
      <c r="B4856" s="84" t="s">
        <v>399</v>
      </c>
      <c r="C4856" s="84">
        <v>12</v>
      </c>
      <c r="D4856" s="84">
        <v>25</v>
      </c>
      <c r="E4856" s="85">
        <v>14351.54</v>
      </c>
      <c r="F4856" s="85">
        <v>20909.84</v>
      </c>
      <c r="G4856" s="85">
        <v>6558.3</v>
      </c>
    </row>
    <row r="4857" spans="1:7" x14ac:dyDescent="0.3">
      <c r="A4857" s="84">
        <v>2026</v>
      </c>
      <c r="B4857" s="84" t="s">
        <v>399</v>
      </c>
      <c r="C4857" s="84">
        <v>12</v>
      </c>
      <c r="D4857" s="84">
        <v>26</v>
      </c>
      <c r="E4857" s="85">
        <v>14351.54</v>
      </c>
      <c r="F4857" s="85">
        <v>22346.799999999999</v>
      </c>
      <c r="G4857" s="85">
        <v>7995.26</v>
      </c>
    </row>
    <row r="4858" spans="1:7" x14ac:dyDescent="0.3">
      <c r="A4858" s="84">
        <v>2026</v>
      </c>
      <c r="B4858" s="84" t="s">
        <v>399</v>
      </c>
      <c r="C4858" s="84">
        <v>12</v>
      </c>
      <c r="D4858" s="84">
        <v>27</v>
      </c>
      <c r="E4858" s="85">
        <v>14351.54</v>
      </c>
      <c r="F4858" s="85">
        <v>24128.720000000001</v>
      </c>
      <c r="G4858" s="85">
        <v>9777.18</v>
      </c>
    </row>
    <row r="4859" spans="1:7" x14ac:dyDescent="0.3">
      <c r="A4859" s="84">
        <v>2026</v>
      </c>
      <c r="B4859" s="84" t="s">
        <v>399</v>
      </c>
      <c r="C4859" s="84">
        <v>12</v>
      </c>
      <c r="D4859" s="84">
        <v>28</v>
      </c>
      <c r="E4859" s="85">
        <v>14351.54</v>
      </c>
      <c r="F4859" s="85">
        <v>24795.82</v>
      </c>
      <c r="G4859" s="85">
        <v>10444.280000000001</v>
      </c>
    </row>
    <row r="4860" spans="1:7" x14ac:dyDescent="0.3">
      <c r="A4860" s="84">
        <v>2026</v>
      </c>
      <c r="B4860" s="84" t="s">
        <v>399</v>
      </c>
      <c r="C4860" s="84">
        <v>12</v>
      </c>
      <c r="D4860" s="84">
        <v>29</v>
      </c>
      <c r="E4860" s="85">
        <v>14351.54</v>
      </c>
      <c r="F4860" s="85">
        <v>25461.94</v>
      </c>
      <c r="G4860" s="85">
        <v>11110.4</v>
      </c>
    </row>
    <row r="4861" spans="1:7" x14ac:dyDescent="0.3">
      <c r="A4861" s="84">
        <v>2026</v>
      </c>
      <c r="B4861" s="84" t="s">
        <v>399</v>
      </c>
      <c r="C4861" s="84">
        <v>12</v>
      </c>
      <c r="D4861" s="84">
        <v>30</v>
      </c>
      <c r="E4861" s="85">
        <v>14351.54</v>
      </c>
      <c r="F4861" s="85">
        <v>27284.38</v>
      </c>
      <c r="G4861" s="85">
        <v>12932.84</v>
      </c>
    </row>
    <row r="4862" spans="1:7" x14ac:dyDescent="0.3">
      <c r="A4862" s="84">
        <v>2026</v>
      </c>
      <c r="B4862" s="84" t="s">
        <v>399</v>
      </c>
      <c r="C4862" s="84">
        <v>13</v>
      </c>
      <c r="D4862" s="84">
        <v>1</v>
      </c>
      <c r="E4862" s="85">
        <v>14761.32</v>
      </c>
      <c r="F4862" s="85">
        <v>11279.66</v>
      </c>
      <c r="G4862" s="85">
        <v>-3481.66</v>
      </c>
    </row>
    <row r="4863" spans="1:7" x14ac:dyDescent="0.3">
      <c r="A4863" s="84">
        <v>2026</v>
      </c>
      <c r="B4863" s="84" t="s">
        <v>399</v>
      </c>
      <c r="C4863" s="84">
        <v>13</v>
      </c>
      <c r="D4863" s="84">
        <v>2</v>
      </c>
      <c r="E4863" s="85">
        <v>14761.32</v>
      </c>
      <c r="F4863" s="85">
        <v>11586.96</v>
      </c>
      <c r="G4863" s="85">
        <v>-3174.36</v>
      </c>
    </row>
    <row r="4864" spans="1:7" x14ac:dyDescent="0.3">
      <c r="A4864" s="84">
        <v>2026</v>
      </c>
      <c r="B4864" s="84" t="s">
        <v>399</v>
      </c>
      <c r="C4864" s="84">
        <v>13</v>
      </c>
      <c r="D4864" s="84">
        <v>3</v>
      </c>
      <c r="E4864" s="85">
        <v>14761.32</v>
      </c>
      <c r="F4864" s="85">
        <v>11894.54</v>
      </c>
      <c r="G4864" s="85">
        <v>-2866.78</v>
      </c>
    </row>
    <row r="4865" spans="1:7" x14ac:dyDescent="0.3">
      <c r="A4865" s="84">
        <v>2026</v>
      </c>
      <c r="B4865" s="84" t="s">
        <v>399</v>
      </c>
      <c r="C4865" s="84">
        <v>13</v>
      </c>
      <c r="D4865" s="84">
        <v>4</v>
      </c>
      <c r="E4865" s="85">
        <v>14761.32</v>
      </c>
      <c r="F4865" s="85">
        <v>12200.86</v>
      </c>
      <c r="G4865" s="85">
        <v>-2560.46</v>
      </c>
    </row>
    <row r="4866" spans="1:7" x14ac:dyDescent="0.3">
      <c r="A4866" s="84">
        <v>2026</v>
      </c>
      <c r="B4866" s="84" t="s">
        <v>399</v>
      </c>
      <c r="C4866" s="84">
        <v>13</v>
      </c>
      <c r="D4866" s="84">
        <v>5</v>
      </c>
      <c r="E4866" s="85">
        <v>14761.32</v>
      </c>
      <c r="F4866" s="85">
        <v>12507.88</v>
      </c>
      <c r="G4866" s="85">
        <v>-2253.44</v>
      </c>
    </row>
    <row r="4867" spans="1:7" x14ac:dyDescent="0.3">
      <c r="A4867" s="84">
        <v>2026</v>
      </c>
      <c r="B4867" s="84" t="s">
        <v>399</v>
      </c>
      <c r="C4867" s="84">
        <v>13</v>
      </c>
      <c r="D4867" s="84">
        <v>6</v>
      </c>
      <c r="E4867" s="85">
        <v>14761.32</v>
      </c>
      <c r="F4867" s="85">
        <v>12712.7</v>
      </c>
      <c r="G4867" s="85">
        <v>-2048.62</v>
      </c>
    </row>
    <row r="4868" spans="1:7" x14ac:dyDescent="0.3">
      <c r="A4868" s="84">
        <v>2026</v>
      </c>
      <c r="B4868" s="84" t="s">
        <v>399</v>
      </c>
      <c r="C4868" s="84">
        <v>13</v>
      </c>
      <c r="D4868" s="84">
        <v>7</v>
      </c>
      <c r="E4868" s="85">
        <v>14761.32</v>
      </c>
      <c r="F4868" s="85">
        <v>12917.94</v>
      </c>
      <c r="G4868" s="85">
        <v>-1843.38</v>
      </c>
    </row>
    <row r="4869" spans="1:7" x14ac:dyDescent="0.3">
      <c r="A4869" s="84">
        <v>2026</v>
      </c>
      <c r="B4869" s="84" t="s">
        <v>399</v>
      </c>
      <c r="C4869" s="84">
        <v>13</v>
      </c>
      <c r="D4869" s="84">
        <v>8</v>
      </c>
      <c r="E4869" s="85">
        <v>14761.32</v>
      </c>
      <c r="F4869" s="85">
        <v>13122.48</v>
      </c>
      <c r="G4869" s="85">
        <v>-1638.84</v>
      </c>
    </row>
    <row r="4870" spans="1:7" x14ac:dyDescent="0.3">
      <c r="A4870" s="84">
        <v>2026</v>
      </c>
      <c r="B4870" s="84" t="s">
        <v>399</v>
      </c>
      <c r="C4870" s="84">
        <v>13</v>
      </c>
      <c r="D4870" s="84">
        <v>9</v>
      </c>
      <c r="E4870" s="85">
        <v>14761.32</v>
      </c>
      <c r="F4870" s="85">
        <v>13327.86</v>
      </c>
      <c r="G4870" s="85">
        <v>-1433.46</v>
      </c>
    </row>
    <row r="4871" spans="1:7" x14ac:dyDescent="0.3">
      <c r="A4871" s="84">
        <v>2026</v>
      </c>
      <c r="B4871" s="84" t="s">
        <v>399</v>
      </c>
      <c r="C4871" s="84">
        <v>13</v>
      </c>
      <c r="D4871" s="84">
        <v>10</v>
      </c>
      <c r="E4871" s="85">
        <v>14761.32</v>
      </c>
      <c r="F4871" s="85">
        <v>13532.82</v>
      </c>
      <c r="G4871" s="85">
        <v>-1228.5</v>
      </c>
    </row>
    <row r="4872" spans="1:7" x14ac:dyDescent="0.3">
      <c r="A4872" s="84">
        <v>2026</v>
      </c>
      <c r="B4872" s="84" t="s">
        <v>399</v>
      </c>
      <c r="C4872" s="84">
        <v>13</v>
      </c>
      <c r="D4872" s="84">
        <v>11</v>
      </c>
      <c r="E4872" s="85">
        <v>14761.32</v>
      </c>
      <c r="F4872" s="85">
        <v>13941.62</v>
      </c>
      <c r="G4872" s="85">
        <v>-819.7</v>
      </c>
    </row>
    <row r="4873" spans="1:7" x14ac:dyDescent="0.3">
      <c r="A4873" s="84">
        <v>2026</v>
      </c>
      <c r="B4873" s="84" t="s">
        <v>399</v>
      </c>
      <c r="C4873" s="84">
        <v>13</v>
      </c>
      <c r="D4873" s="84">
        <v>12</v>
      </c>
      <c r="E4873" s="85">
        <v>14761.32</v>
      </c>
      <c r="F4873" s="85">
        <v>14351.54</v>
      </c>
      <c r="G4873" s="85">
        <v>-409.78</v>
      </c>
    </row>
    <row r="4874" spans="1:7" x14ac:dyDescent="0.3">
      <c r="A4874" s="84">
        <v>2026</v>
      </c>
      <c r="B4874" s="84" t="s">
        <v>399</v>
      </c>
      <c r="C4874" s="84">
        <v>13</v>
      </c>
      <c r="D4874" s="84">
        <v>13</v>
      </c>
      <c r="E4874" s="85">
        <v>14761.32</v>
      </c>
      <c r="F4874" s="85">
        <v>14761.32</v>
      </c>
      <c r="G4874" s="85">
        <v>0</v>
      </c>
    </row>
    <row r="4875" spans="1:7" x14ac:dyDescent="0.3">
      <c r="A4875" s="84">
        <v>2026</v>
      </c>
      <c r="B4875" s="84" t="s">
        <v>399</v>
      </c>
      <c r="C4875" s="84">
        <v>13</v>
      </c>
      <c r="D4875" s="84">
        <v>14</v>
      </c>
      <c r="E4875" s="85">
        <v>14761.32</v>
      </c>
      <c r="F4875" s="85">
        <v>15171.52</v>
      </c>
      <c r="G4875" s="85">
        <v>410.2</v>
      </c>
    </row>
    <row r="4876" spans="1:7" x14ac:dyDescent="0.3">
      <c r="A4876" s="84">
        <v>2026</v>
      </c>
      <c r="B4876" s="84" t="s">
        <v>399</v>
      </c>
      <c r="C4876" s="84">
        <v>13</v>
      </c>
      <c r="D4876" s="84">
        <v>15</v>
      </c>
      <c r="E4876" s="85">
        <v>14761.32</v>
      </c>
      <c r="F4876" s="85">
        <v>15581.16</v>
      </c>
      <c r="G4876" s="85">
        <v>819.84</v>
      </c>
    </row>
    <row r="4877" spans="1:7" x14ac:dyDescent="0.3">
      <c r="A4877" s="84">
        <v>2026</v>
      </c>
      <c r="B4877" s="84" t="s">
        <v>399</v>
      </c>
      <c r="C4877" s="84">
        <v>13</v>
      </c>
      <c r="D4877" s="84">
        <v>16</v>
      </c>
      <c r="E4877" s="85">
        <v>14761.32</v>
      </c>
      <c r="F4877" s="85">
        <v>15990.8</v>
      </c>
      <c r="G4877" s="85">
        <v>1229.48</v>
      </c>
    </row>
    <row r="4878" spans="1:7" x14ac:dyDescent="0.3">
      <c r="A4878" s="84">
        <v>2026</v>
      </c>
      <c r="B4878" s="84" t="s">
        <v>399</v>
      </c>
      <c r="C4878" s="84">
        <v>13</v>
      </c>
      <c r="D4878" s="84">
        <v>17</v>
      </c>
      <c r="E4878" s="85">
        <v>14761.32</v>
      </c>
      <c r="F4878" s="85">
        <v>16399.88</v>
      </c>
      <c r="G4878" s="85">
        <v>1638.56</v>
      </c>
    </row>
    <row r="4879" spans="1:7" x14ac:dyDescent="0.3">
      <c r="A4879" s="84">
        <v>2026</v>
      </c>
      <c r="B4879" s="84" t="s">
        <v>399</v>
      </c>
      <c r="C4879" s="84">
        <v>13</v>
      </c>
      <c r="D4879" s="84">
        <v>18</v>
      </c>
      <c r="E4879" s="85">
        <v>14761.32</v>
      </c>
      <c r="F4879" s="85">
        <v>16809.8</v>
      </c>
      <c r="G4879" s="85">
        <v>2048.48</v>
      </c>
    </row>
    <row r="4880" spans="1:7" x14ac:dyDescent="0.3">
      <c r="A4880" s="84">
        <v>2026</v>
      </c>
      <c r="B4880" s="84" t="s">
        <v>399</v>
      </c>
      <c r="C4880" s="84">
        <v>13</v>
      </c>
      <c r="D4880" s="84">
        <v>19</v>
      </c>
      <c r="E4880" s="85">
        <v>14761.32</v>
      </c>
      <c r="F4880" s="85">
        <v>17219.86</v>
      </c>
      <c r="G4880" s="85">
        <v>2458.54</v>
      </c>
    </row>
    <row r="4881" spans="1:7" x14ac:dyDescent="0.3">
      <c r="A4881" s="84">
        <v>2026</v>
      </c>
      <c r="B4881" s="84" t="s">
        <v>399</v>
      </c>
      <c r="C4881" s="84">
        <v>13</v>
      </c>
      <c r="D4881" s="84">
        <v>20</v>
      </c>
      <c r="E4881" s="85">
        <v>14761.32</v>
      </c>
      <c r="F4881" s="85">
        <v>17629.64</v>
      </c>
      <c r="G4881" s="85">
        <v>2868.32</v>
      </c>
    </row>
    <row r="4882" spans="1:7" x14ac:dyDescent="0.3">
      <c r="A4882" s="84">
        <v>2026</v>
      </c>
      <c r="B4882" s="84" t="s">
        <v>399</v>
      </c>
      <c r="C4882" s="84">
        <v>13</v>
      </c>
      <c r="D4882" s="84">
        <v>21</v>
      </c>
      <c r="E4882" s="85">
        <v>14761.32</v>
      </c>
      <c r="F4882" s="85">
        <v>18243.82</v>
      </c>
      <c r="G4882" s="85">
        <v>3482.5</v>
      </c>
    </row>
    <row r="4883" spans="1:7" x14ac:dyDescent="0.3">
      <c r="A4883" s="84">
        <v>2026</v>
      </c>
      <c r="B4883" s="84" t="s">
        <v>399</v>
      </c>
      <c r="C4883" s="84">
        <v>13</v>
      </c>
      <c r="D4883" s="84">
        <v>22</v>
      </c>
      <c r="E4883" s="85">
        <v>14761.32</v>
      </c>
      <c r="F4883" s="85">
        <v>18909.099999999999</v>
      </c>
      <c r="G4883" s="85">
        <v>4147.78</v>
      </c>
    </row>
    <row r="4884" spans="1:7" x14ac:dyDescent="0.3">
      <c r="A4884" s="84">
        <v>2026</v>
      </c>
      <c r="B4884" s="84" t="s">
        <v>399</v>
      </c>
      <c r="C4884" s="84">
        <v>13</v>
      </c>
      <c r="D4884" s="84">
        <v>23</v>
      </c>
      <c r="E4884" s="85">
        <v>14761.32</v>
      </c>
      <c r="F4884" s="85">
        <v>19576.759999999998</v>
      </c>
      <c r="G4884" s="85">
        <v>4815.4399999999996</v>
      </c>
    </row>
    <row r="4885" spans="1:7" x14ac:dyDescent="0.3">
      <c r="A4885" s="84">
        <v>2026</v>
      </c>
      <c r="B4885" s="84" t="s">
        <v>399</v>
      </c>
      <c r="C4885" s="84">
        <v>13</v>
      </c>
      <c r="D4885" s="84">
        <v>24</v>
      </c>
      <c r="E4885" s="85">
        <v>14761.32</v>
      </c>
      <c r="F4885" s="85">
        <v>20242.88</v>
      </c>
      <c r="G4885" s="85">
        <v>5481.56</v>
      </c>
    </row>
    <row r="4886" spans="1:7" x14ac:dyDescent="0.3">
      <c r="A4886" s="84">
        <v>2026</v>
      </c>
      <c r="B4886" s="84" t="s">
        <v>399</v>
      </c>
      <c r="C4886" s="84">
        <v>13</v>
      </c>
      <c r="D4886" s="84">
        <v>25</v>
      </c>
      <c r="E4886" s="85">
        <v>14761.32</v>
      </c>
      <c r="F4886" s="85">
        <v>20909.84</v>
      </c>
      <c r="G4886" s="85">
        <v>6148.52</v>
      </c>
    </row>
    <row r="4887" spans="1:7" x14ac:dyDescent="0.3">
      <c r="A4887" s="84">
        <v>2026</v>
      </c>
      <c r="B4887" s="84" t="s">
        <v>399</v>
      </c>
      <c r="C4887" s="84">
        <v>13</v>
      </c>
      <c r="D4887" s="84">
        <v>26</v>
      </c>
      <c r="E4887" s="85">
        <v>14761.32</v>
      </c>
      <c r="F4887" s="85">
        <v>22346.799999999999</v>
      </c>
      <c r="G4887" s="85">
        <v>7585.48</v>
      </c>
    </row>
    <row r="4888" spans="1:7" x14ac:dyDescent="0.3">
      <c r="A4888" s="84">
        <v>2026</v>
      </c>
      <c r="B4888" s="84" t="s">
        <v>399</v>
      </c>
      <c r="C4888" s="84">
        <v>13</v>
      </c>
      <c r="D4888" s="84">
        <v>27</v>
      </c>
      <c r="E4888" s="85">
        <v>14761.32</v>
      </c>
      <c r="F4888" s="85">
        <v>24128.720000000001</v>
      </c>
      <c r="G4888" s="85">
        <v>9367.4</v>
      </c>
    </row>
    <row r="4889" spans="1:7" x14ac:dyDescent="0.3">
      <c r="A4889" s="84">
        <v>2026</v>
      </c>
      <c r="B4889" s="84" t="s">
        <v>399</v>
      </c>
      <c r="C4889" s="84">
        <v>13</v>
      </c>
      <c r="D4889" s="84">
        <v>28</v>
      </c>
      <c r="E4889" s="85">
        <v>14761.32</v>
      </c>
      <c r="F4889" s="85">
        <v>24795.82</v>
      </c>
      <c r="G4889" s="85">
        <v>10034.5</v>
      </c>
    </row>
    <row r="4890" spans="1:7" x14ac:dyDescent="0.3">
      <c r="A4890" s="84">
        <v>2026</v>
      </c>
      <c r="B4890" s="84" t="s">
        <v>399</v>
      </c>
      <c r="C4890" s="84">
        <v>13</v>
      </c>
      <c r="D4890" s="84">
        <v>29</v>
      </c>
      <c r="E4890" s="85">
        <v>14761.32</v>
      </c>
      <c r="F4890" s="85">
        <v>25461.94</v>
      </c>
      <c r="G4890" s="85">
        <v>10700.62</v>
      </c>
    </row>
    <row r="4891" spans="1:7" x14ac:dyDescent="0.3">
      <c r="A4891" s="84">
        <v>2026</v>
      </c>
      <c r="B4891" s="84" t="s">
        <v>399</v>
      </c>
      <c r="C4891" s="84">
        <v>13</v>
      </c>
      <c r="D4891" s="84">
        <v>30</v>
      </c>
      <c r="E4891" s="85">
        <v>14761.32</v>
      </c>
      <c r="F4891" s="85">
        <v>27284.38</v>
      </c>
      <c r="G4891" s="85">
        <v>12523.06</v>
      </c>
    </row>
    <row r="4892" spans="1:7" x14ac:dyDescent="0.3">
      <c r="A4892" s="84">
        <v>2026</v>
      </c>
      <c r="B4892" s="84" t="s">
        <v>399</v>
      </c>
      <c r="C4892" s="84">
        <v>14</v>
      </c>
      <c r="D4892" s="84">
        <v>1</v>
      </c>
      <c r="E4892" s="85">
        <v>15171.52</v>
      </c>
      <c r="F4892" s="85">
        <v>11279.66</v>
      </c>
      <c r="G4892" s="85">
        <v>-3891.86</v>
      </c>
    </row>
    <row r="4893" spans="1:7" x14ac:dyDescent="0.3">
      <c r="A4893" s="84">
        <v>2026</v>
      </c>
      <c r="B4893" s="84" t="s">
        <v>399</v>
      </c>
      <c r="C4893" s="84">
        <v>14</v>
      </c>
      <c r="D4893" s="84">
        <v>2</v>
      </c>
      <c r="E4893" s="85">
        <v>15171.52</v>
      </c>
      <c r="F4893" s="85">
        <v>11586.96</v>
      </c>
      <c r="G4893" s="85">
        <v>-3584.56</v>
      </c>
    </row>
    <row r="4894" spans="1:7" x14ac:dyDescent="0.3">
      <c r="A4894" s="84">
        <v>2026</v>
      </c>
      <c r="B4894" s="84" t="s">
        <v>399</v>
      </c>
      <c r="C4894" s="84">
        <v>14</v>
      </c>
      <c r="D4894" s="84">
        <v>3</v>
      </c>
      <c r="E4894" s="85">
        <v>15171.52</v>
      </c>
      <c r="F4894" s="85">
        <v>11894.54</v>
      </c>
      <c r="G4894" s="85">
        <v>-3276.98</v>
      </c>
    </row>
    <row r="4895" spans="1:7" x14ac:dyDescent="0.3">
      <c r="A4895" s="84">
        <v>2026</v>
      </c>
      <c r="B4895" s="84" t="s">
        <v>399</v>
      </c>
      <c r="C4895" s="84">
        <v>14</v>
      </c>
      <c r="D4895" s="84">
        <v>4</v>
      </c>
      <c r="E4895" s="85">
        <v>15171.52</v>
      </c>
      <c r="F4895" s="85">
        <v>12200.86</v>
      </c>
      <c r="G4895" s="85">
        <v>-2970.66</v>
      </c>
    </row>
    <row r="4896" spans="1:7" x14ac:dyDescent="0.3">
      <c r="A4896" s="84">
        <v>2026</v>
      </c>
      <c r="B4896" s="84" t="s">
        <v>399</v>
      </c>
      <c r="C4896" s="84">
        <v>14</v>
      </c>
      <c r="D4896" s="84">
        <v>5</v>
      </c>
      <c r="E4896" s="85">
        <v>15171.52</v>
      </c>
      <c r="F4896" s="85">
        <v>12507.88</v>
      </c>
      <c r="G4896" s="85">
        <v>-2663.64</v>
      </c>
    </row>
    <row r="4897" spans="1:7" x14ac:dyDescent="0.3">
      <c r="A4897" s="84">
        <v>2026</v>
      </c>
      <c r="B4897" s="84" t="s">
        <v>399</v>
      </c>
      <c r="C4897" s="84">
        <v>14</v>
      </c>
      <c r="D4897" s="84">
        <v>6</v>
      </c>
      <c r="E4897" s="85">
        <v>15171.52</v>
      </c>
      <c r="F4897" s="85">
        <v>12712.7</v>
      </c>
      <c r="G4897" s="85">
        <v>-2458.8200000000002</v>
      </c>
    </row>
    <row r="4898" spans="1:7" x14ac:dyDescent="0.3">
      <c r="A4898" s="84">
        <v>2026</v>
      </c>
      <c r="B4898" s="84" t="s">
        <v>399</v>
      </c>
      <c r="C4898" s="84">
        <v>14</v>
      </c>
      <c r="D4898" s="84">
        <v>7</v>
      </c>
      <c r="E4898" s="85">
        <v>15171.52</v>
      </c>
      <c r="F4898" s="85">
        <v>12917.94</v>
      </c>
      <c r="G4898" s="85">
        <v>-2253.58</v>
      </c>
    </row>
    <row r="4899" spans="1:7" x14ac:dyDescent="0.3">
      <c r="A4899" s="84">
        <v>2026</v>
      </c>
      <c r="B4899" s="84" t="s">
        <v>399</v>
      </c>
      <c r="C4899" s="84">
        <v>14</v>
      </c>
      <c r="D4899" s="84">
        <v>8</v>
      </c>
      <c r="E4899" s="85">
        <v>15171.52</v>
      </c>
      <c r="F4899" s="85">
        <v>13122.48</v>
      </c>
      <c r="G4899" s="85">
        <v>-2049.04</v>
      </c>
    </row>
    <row r="4900" spans="1:7" x14ac:dyDescent="0.3">
      <c r="A4900" s="84">
        <v>2026</v>
      </c>
      <c r="B4900" s="84" t="s">
        <v>399</v>
      </c>
      <c r="C4900" s="84">
        <v>14</v>
      </c>
      <c r="D4900" s="84">
        <v>9</v>
      </c>
      <c r="E4900" s="85">
        <v>15171.52</v>
      </c>
      <c r="F4900" s="85">
        <v>13327.86</v>
      </c>
      <c r="G4900" s="85">
        <v>-1843.66</v>
      </c>
    </row>
    <row r="4901" spans="1:7" x14ac:dyDescent="0.3">
      <c r="A4901" s="84">
        <v>2026</v>
      </c>
      <c r="B4901" s="84" t="s">
        <v>399</v>
      </c>
      <c r="C4901" s="84">
        <v>14</v>
      </c>
      <c r="D4901" s="84">
        <v>10</v>
      </c>
      <c r="E4901" s="85">
        <v>15171.52</v>
      </c>
      <c r="F4901" s="85">
        <v>13532.82</v>
      </c>
      <c r="G4901" s="85">
        <v>-1638.7</v>
      </c>
    </row>
    <row r="4902" spans="1:7" x14ac:dyDescent="0.3">
      <c r="A4902" s="84">
        <v>2026</v>
      </c>
      <c r="B4902" s="84" t="s">
        <v>399</v>
      </c>
      <c r="C4902" s="84">
        <v>14</v>
      </c>
      <c r="D4902" s="84">
        <v>11</v>
      </c>
      <c r="E4902" s="85">
        <v>15171.52</v>
      </c>
      <c r="F4902" s="85">
        <v>13941.62</v>
      </c>
      <c r="G4902" s="85">
        <v>-1229.9000000000001</v>
      </c>
    </row>
    <row r="4903" spans="1:7" x14ac:dyDescent="0.3">
      <c r="A4903" s="84">
        <v>2026</v>
      </c>
      <c r="B4903" s="84" t="s">
        <v>399</v>
      </c>
      <c r="C4903" s="84">
        <v>14</v>
      </c>
      <c r="D4903" s="84">
        <v>12</v>
      </c>
      <c r="E4903" s="85">
        <v>15171.52</v>
      </c>
      <c r="F4903" s="85">
        <v>14351.54</v>
      </c>
      <c r="G4903" s="85">
        <v>-819.98</v>
      </c>
    </row>
    <row r="4904" spans="1:7" x14ac:dyDescent="0.3">
      <c r="A4904" s="84">
        <v>2026</v>
      </c>
      <c r="B4904" s="84" t="s">
        <v>399</v>
      </c>
      <c r="C4904" s="84">
        <v>14</v>
      </c>
      <c r="D4904" s="84">
        <v>13</v>
      </c>
      <c r="E4904" s="85">
        <v>15171.52</v>
      </c>
      <c r="F4904" s="85">
        <v>14761.32</v>
      </c>
      <c r="G4904" s="85">
        <v>-410.2</v>
      </c>
    </row>
    <row r="4905" spans="1:7" x14ac:dyDescent="0.3">
      <c r="A4905" s="84">
        <v>2026</v>
      </c>
      <c r="B4905" s="84" t="s">
        <v>399</v>
      </c>
      <c r="C4905" s="84">
        <v>14</v>
      </c>
      <c r="D4905" s="84">
        <v>14</v>
      </c>
      <c r="E4905" s="85">
        <v>15171.52</v>
      </c>
      <c r="F4905" s="85">
        <v>15171.52</v>
      </c>
      <c r="G4905" s="85">
        <v>0</v>
      </c>
    </row>
    <row r="4906" spans="1:7" x14ac:dyDescent="0.3">
      <c r="A4906" s="84">
        <v>2026</v>
      </c>
      <c r="B4906" s="84" t="s">
        <v>399</v>
      </c>
      <c r="C4906" s="84">
        <v>14</v>
      </c>
      <c r="D4906" s="84">
        <v>15</v>
      </c>
      <c r="E4906" s="85">
        <v>15171.52</v>
      </c>
      <c r="F4906" s="85">
        <v>15581.16</v>
      </c>
      <c r="G4906" s="85">
        <v>409.64</v>
      </c>
    </row>
    <row r="4907" spans="1:7" x14ac:dyDescent="0.3">
      <c r="A4907" s="84">
        <v>2026</v>
      </c>
      <c r="B4907" s="84" t="s">
        <v>399</v>
      </c>
      <c r="C4907" s="84">
        <v>14</v>
      </c>
      <c r="D4907" s="84">
        <v>16</v>
      </c>
      <c r="E4907" s="85">
        <v>15171.52</v>
      </c>
      <c r="F4907" s="85">
        <v>15990.8</v>
      </c>
      <c r="G4907" s="85">
        <v>819.28</v>
      </c>
    </row>
    <row r="4908" spans="1:7" x14ac:dyDescent="0.3">
      <c r="A4908" s="84">
        <v>2026</v>
      </c>
      <c r="B4908" s="84" t="s">
        <v>399</v>
      </c>
      <c r="C4908" s="84">
        <v>14</v>
      </c>
      <c r="D4908" s="84">
        <v>17</v>
      </c>
      <c r="E4908" s="85">
        <v>15171.52</v>
      </c>
      <c r="F4908" s="85">
        <v>16399.88</v>
      </c>
      <c r="G4908" s="85">
        <v>1228.3599999999999</v>
      </c>
    </row>
    <row r="4909" spans="1:7" x14ac:dyDescent="0.3">
      <c r="A4909" s="84">
        <v>2026</v>
      </c>
      <c r="B4909" s="84" t="s">
        <v>399</v>
      </c>
      <c r="C4909" s="84">
        <v>14</v>
      </c>
      <c r="D4909" s="84">
        <v>18</v>
      </c>
      <c r="E4909" s="85">
        <v>15171.52</v>
      </c>
      <c r="F4909" s="85">
        <v>16809.8</v>
      </c>
      <c r="G4909" s="85">
        <v>1638.28</v>
      </c>
    </row>
    <row r="4910" spans="1:7" x14ac:dyDescent="0.3">
      <c r="A4910" s="84">
        <v>2026</v>
      </c>
      <c r="B4910" s="84" t="s">
        <v>399</v>
      </c>
      <c r="C4910" s="84">
        <v>14</v>
      </c>
      <c r="D4910" s="84">
        <v>19</v>
      </c>
      <c r="E4910" s="85">
        <v>15171.52</v>
      </c>
      <c r="F4910" s="85">
        <v>17219.86</v>
      </c>
      <c r="G4910" s="85">
        <v>2048.34</v>
      </c>
    </row>
    <row r="4911" spans="1:7" x14ac:dyDescent="0.3">
      <c r="A4911" s="84">
        <v>2026</v>
      </c>
      <c r="B4911" s="84" t="s">
        <v>399</v>
      </c>
      <c r="C4911" s="84">
        <v>14</v>
      </c>
      <c r="D4911" s="84">
        <v>20</v>
      </c>
      <c r="E4911" s="85">
        <v>15171.52</v>
      </c>
      <c r="F4911" s="85">
        <v>17629.64</v>
      </c>
      <c r="G4911" s="85">
        <v>2458.12</v>
      </c>
    </row>
    <row r="4912" spans="1:7" x14ac:dyDescent="0.3">
      <c r="A4912" s="84">
        <v>2026</v>
      </c>
      <c r="B4912" s="84" t="s">
        <v>399</v>
      </c>
      <c r="C4912" s="84">
        <v>14</v>
      </c>
      <c r="D4912" s="84">
        <v>21</v>
      </c>
      <c r="E4912" s="85">
        <v>15171.52</v>
      </c>
      <c r="F4912" s="85">
        <v>18243.82</v>
      </c>
      <c r="G4912" s="85">
        <v>3072.3</v>
      </c>
    </row>
    <row r="4913" spans="1:7" x14ac:dyDescent="0.3">
      <c r="A4913" s="84">
        <v>2026</v>
      </c>
      <c r="B4913" s="84" t="s">
        <v>399</v>
      </c>
      <c r="C4913" s="84">
        <v>14</v>
      </c>
      <c r="D4913" s="84">
        <v>22</v>
      </c>
      <c r="E4913" s="85">
        <v>15171.52</v>
      </c>
      <c r="F4913" s="85">
        <v>18909.099999999999</v>
      </c>
      <c r="G4913" s="85">
        <v>3737.58</v>
      </c>
    </row>
    <row r="4914" spans="1:7" x14ac:dyDescent="0.3">
      <c r="A4914" s="84">
        <v>2026</v>
      </c>
      <c r="B4914" s="84" t="s">
        <v>399</v>
      </c>
      <c r="C4914" s="84">
        <v>14</v>
      </c>
      <c r="D4914" s="84">
        <v>23</v>
      </c>
      <c r="E4914" s="85">
        <v>15171.52</v>
      </c>
      <c r="F4914" s="85">
        <v>19576.759999999998</v>
      </c>
      <c r="G4914" s="85">
        <v>4405.24</v>
      </c>
    </row>
    <row r="4915" spans="1:7" x14ac:dyDescent="0.3">
      <c r="A4915" s="84">
        <v>2026</v>
      </c>
      <c r="B4915" s="84" t="s">
        <v>399</v>
      </c>
      <c r="C4915" s="84">
        <v>14</v>
      </c>
      <c r="D4915" s="84">
        <v>24</v>
      </c>
      <c r="E4915" s="85">
        <v>15171.52</v>
      </c>
      <c r="F4915" s="85">
        <v>20242.88</v>
      </c>
      <c r="G4915" s="85">
        <v>5071.3599999999997</v>
      </c>
    </row>
    <row r="4916" spans="1:7" x14ac:dyDescent="0.3">
      <c r="A4916" s="84">
        <v>2026</v>
      </c>
      <c r="B4916" s="84" t="s">
        <v>399</v>
      </c>
      <c r="C4916" s="84">
        <v>14</v>
      </c>
      <c r="D4916" s="84">
        <v>25</v>
      </c>
      <c r="E4916" s="85">
        <v>15171.52</v>
      </c>
      <c r="F4916" s="85">
        <v>20909.84</v>
      </c>
      <c r="G4916" s="85">
        <v>5738.32</v>
      </c>
    </row>
    <row r="4917" spans="1:7" x14ac:dyDescent="0.3">
      <c r="A4917" s="84">
        <v>2026</v>
      </c>
      <c r="B4917" s="84" t="s">
        <v>399</v>
      </c>
      <c r="C4917" s="84">
        <v>14</v>
      </c>
      <c r="D4917" s="84">
        <v>26</v>
      </c>
      <c r="E4917" s="85">
        <v>15171.52</v>
      </c>
      <c r="F4917" s="85">
        <v>22346.799999999999</v>
      </c>
      <c r="G4917" s="85">
        <v>7175.28</v>
      </c>
    </row>
    <row r="4918" spans="1:7" x14ac:dyDescent="0.3">
      <c r="A4918" s="84">
        <v>2026</v>
      </c>
      <c r="B4918" s="84" t="s">
        <v>399</v>
      </c>
      <c r="C4918" s="84">
        <v>14</v>
      </c>
      <c r="D4918" s="84">
        <v>27</v>
      </c>
      <c r="E4918" s="85">
        <v>15171.52</v>
      </c>
      <c r="F4918" s="85">
        <v>24128.720000000001</v>
      </c>
      <c r="G4918" s="85">
        <v>8957.2000000000007</v>
      </c>
    </row>
    <row r="4919" spans="1:7" x14ac:dyDescent="0.3">
      <c r="A4919" s="84">
        <v>2026</v>
      </c>
      <c r="B4919" s="84" t="s">
        <v>399</v>
      </c>
      <c r="C4919" s="84">
        <v>14</v>
      </c>
      <c r="D4919" s="84">
        <v>28</v>
      </c>
      <c r="E4919" s="85">
        <v>15171.52</v>
      </c>
      <c r="F4919" s="85">
        <v>24795.82</v>
      </c>
      <c r="G4919" s="85">
        <v>9624.2999999999993</v>
      </c>
    </row>
    <row r="4920" spans="1:7" x14ac:dyDescent="0.3">
      <c r="A4920" s="84">
        <v>2026</v>
      </c>
      <c r="B4920" s="84" t="s">
        <v>399</v>
      </c>
      <c r="C4920" s="84">
        <v>14</v>
      </c>
      <c r="D4920" s="84">
        <v>29</v>
      </c>
      <c r="E4920" s="85">
        <v>15171.52</v>
      </c>
      <c r="F4920" s="85">
        <v>25461.94</v>
      </c>
      <c r="G4920" s="85">
        <v>10290.42</v>
      </c>
    </row>
    <row r="4921" spans="1:7" x14ac:dyDescent="0.3">
      <c r="A4921" s="84">
        <v>2026</v>
      </c>
      <c r="B4921" s="84" t="s">
        <v>399</v>
      </c>
      <c r="C4921" s="84">
        <v>14</v>
      </c>
      <c r="D4921" s="84">
        <v>30</v>
      </c>
      <c r="E4921" s="85">
        <v>15171.52</v>
      </c>
      <c r="F4921" s="85">
        <v>27284.38</v>
      </c>
      <c r="G4921" s="85">
        <v>12112.86</v>
      </c>
    </row>
    <row r="4922" spans="1:7" x14ac:dyDescent="0.3">
      <c r="A4922" s="84">
        <v>2026</v>
      </c>
      <c r="B4922" s="84" t="s">
        <v>399</v>
      </c>
      <c r="C4922" s="84">
        <v>15</v>
      </c>
      <c r="D4922" s="84">
        <v>1</v>
      </c>
      <c r="E4922" s="85">
        <v>15581.16</v>
      </c>
      <c r="F4922" s="85">
        <v>11279.66</v>
      </c>
      <c r="G4922" s="85">
        <v>-4301.5</v>
      </c>
    </row>
    <row r="4923" spans="1:7" x14ac:dyDescent="0.3">
      <c r="A4923" s="84">
        <v>2026</v>
      </c>
      <c r="B4923" s="84" t="s">
        <v>399</v>
      </c>
      <c r="C4923" s="84">
        <v>15</v>
      </c>
      <c r="D4923" s="84">
        <v>2</v>
      </c>
      <c r="E4923" s="85">
        <v>15581.16</v>
      </c>
      <c r="F4923" s="85">
        <v>11586.96</v>
      </c>
      <c r="G4923" s="85">
        <v>-3994.2</v>
      </c>
    </row>
    <row r="4924" spans="1:7" x14ac:dyDescent="0.3">
      <c r="A4924" s="84">
        <v>2026</v>
      </c>
      <c r="B4924" s="84" t="s">
        <v>399</v>
      </c>
      <c r="C4924" s="84">
        <v>15</v>
      </c>
      <c r="D4924" s="84">
        <v>3</v>
      </c>
      <c r="E4924" s="85">
        <v>15581.16</v>
      </c>
      <c r="F4924" s="85">
        <v>11894.54</v>
      </c>
      <c r="G4924" s="85">
        <v>-3686.62</v>
      </c>
    </row>
    <row r="4925" spans="1:7" x14ac:dyDescent="0.3">
      <c r="A4925" s="84">
        <v>2026</v>
      </c>
      <c r="B4925" s="84" t="s">
        <v>399</v>
      </c>
      <c r="C4925" s="84">
        <v>15</v>
      </c>
      <c r="D4925" s="84">
        <v>4</v>
      </c>
      <c r="E4925" s="85">
        <v>15581.16</v>
      </c>
      <c r="F4925" s="85">
        <v>12200.86</v>
      </c>
      <c r="G4925" s="85">
        <v>-3380.3</v>
      </c>
    </row>
    <row r="4926" spans="1:7" x14ac:dyDescent="0.3">
      <c r="A4926" s="84">
        <v>2026</v>
      </c>
      <c r="B4926" s="84" t="s">
        <v>399</v>
      </c>
      <c r="C4926" s="84">
        <v>15</v>
      </c>
      <c r="D4926" s="84">
        <v>5</v>
      </c>
      <c r="E4926" s="85">
        <v>15581.16</v>
      </c>
      <c r="F4926" s="85">
        <v>12507.88</v>
      </c>
      <c r="G4926" s="85">
        <v>-3073.28</v>
      </c>
    </row>
    <row r="4927" spans="1:7" x14ac:dyDescent="0.3">
      <c r="A4927" s="84">
        <v>2026</v>
      </c>
      <c r="B4927" s="84" t="s">
        <v>399</v>
      </c>
      <c r="C4927" s="84">
        <v>15</v>
      </c>
      <c r="D4927" s="84">
        <v>6</v>
      </c>
      <c r="E4927" s="85">
        <v>15581.16</v>
      </c>
      <c r="F4927" s="85">
        <v>12712.7</v>
      </c>
      <c r="G4927" s="85">
        <v>-2868.46</v>
      </c>
    </row>
    <row r="4928" spans="1:7" x14ac:dyDescent="0.3">
      <c r="A4928" s="84">
        <v>2026</v>
      </c>
      <c r="B4928" s="84" t="s">
        <v>399</v>
      </c>
      <c r="C4928" s="84">
        <v>15</v>
      </c>
      <c r="D4928" s="84">
        <v>7</v>
      </c>
      <c r="E4928" s="85">
        <v>15581.16</v>
      </c>
      <c r="F4928" s="85">
        <v>12917.94</v>
      </c>
      <c r="G4928" s="85">
        <v>-2663.22</v>
      </c>
    </row>
    <row r="4929" spans="1:7" x14ac:dyDescent="0.3">
      <c r="A4929" s="84">
        <v>2026</v>
      </c>
      <c r="B4929" s="84" t="s">
        <v>399</v>
      </c>
      <c r="C4929" s="84">
        <v>15</v>
      </c>
      <c r="D4929" s="84">
        <v>8</v>
      </c>
      <c r="E4929" s="85">
        <v>15581.16</v>
      </c>
      <c r="F4929" s="85">
        <v>13122.48</v>
      </c>
      <c r="G4929" s="85">
        <v>-2458.6799999999998</v>
      </c>
    </row>
    <row r="4930" spans="1:7" x14ac:dyDescent="0.3">
      <c r="A4930" s="84">
        <v>2026</v>
      </c>
      <c r="B4930" s="84" t="s">
        <v>399</v>
      </c>
      <c r="C4930" s="84">
        <v>15</v>
      </c>
      <c r="D4930" s="84">
        <v>9</v>
      </c>
      <c r="E4930" s="85">
        <v>15581.16</v>
      </c>
      <c r="F4930" s="85">
        <v>13327.86</v>
      </c>
      <c r="G4930" s="85">
        <v>-2253.3000000000002</v>
      </c>
    </row>
    <row r="4931" spans="1:7" x14ac:dyDescent="0.3">
      <c r="A4931" s="84">
        <v>2026</v>
      </c>
      <c r="B4931" s="84" t="s">
        <v>399</v>
      </c>
      <c r="C4931" s="84">
        <v>15</v>
      </c>
      <c r="D4931" s="84">
        <v>10</v>
      </c>
      <c r="E4931" s="85">
        <v>15581.16</v>
      </c>
      <c r="F4931" s="85">
        <v>13532.82</v>
      </c>
      <c r="G4931" s="85">
        <v>-2048.34</v>
      </c>
    </row>
    <row r="4932" spans="1:7" x14ac:dyDescent="0.3">
      <c r="A4932" s="84">
        <v>2026</v>
      </c>
      <c r="B4932" s="84" t="s">
        <v>399</v>
      </c>
      <c r="C4932" s="84">
        <v>15</v>
      </c>
      <c r="D4932" s="84">
        <v>11</v>
      </c>
      <c r="E4932" s="85">
        <v>15581.16</v>
      </c>
      <c r="F4932" s="85">
        <v>13941.62</v>
      </c>
      <c r="G4932" s="85">
        <v>-1639.54</v>
      </c>
    </row>
    <row r="4933" spans="1:7" x14ac:dyDescent="0.3">
      <c r="A4933" s="84">
        <v>2026</v>
      </c>
      <c r="B4933" s="84" t="s">
        <v>399</v>
      </c>
      <c r="C4933" s="84">
        <v>15</v>
      </c>
      <c r="D4933" s="84">
        <v>12</v>
      </c>
      <c r="E4933" s="85">
        <v>15581.16</v>
      </c>
      <c r="F4933" s="85">
        <v>14351.54</v>
      </c>
      <c r="G4933" s="85">
        <v>-1229.6199999999999</v>
      </c>
    </row>
    <row r="4934" spans="1:7" x14ac:dyDescent="0.3">
      <c r="A4934" s="84">
        <v>2026</v>
      </c>
      <c r="B4934" s="84" t="s">
        <v>399</v>
      </c>
      <c r="C4934" s="84">
        <v>15</v>
      </c>
      <c r="D4934" s="84">
        <v>13</v>
      </c>
      <c r="E4934" s="85">
        <v>15581.16</v>
      </c>
      <c r="F4934" s="85">
        <v>14761.32</v>
      </c>
      <c r="G4934" s="85">
        <v>-819.84</v>
      </c>
    </row>
    <row r="4935" spans="1:7" x14ac:dyDescent="0.3">
      <c r="A4935" s="84">
        <v>2026</v>
      </c>
      <c r="B4935" s="84" t="s">
        <v>399</v>
      </c>
      <c r="C4935" s="84">
        <v>15</v>
      </c>
      <c r="D4935" s="84">
        <v>14</v>
      </c>
      <c r="E4935" s="85">
        <v>15581.16</v>
      </c>
      <c r="F4935" s="85">
        <v>15171.52</v>
      </c>
      <c r="G4935" s="85">
        <v>-409.64</v>
      </c>
    </row>
    <row r="4936" spans="1:7" x14ac:dyDescent="0.3">
      <c r="A4936" s="84">
        <v>2026</v>
      </c>
      <c r="B4936" s="84" t="s">
        <v>399</v>
      </c>
      <c r="C4936" s="84">
        <v>15</v>
      </c>
      <c r="D4936" s="84">
        <v>15</v>
      </c>
      <c r="E4936" s="85">
        <v>15581.16</v>
      </c>
      <c r="F4936" s="85">
        <v>15581.16</v>
      </c>
      <c r="G4936" s="85">
        <v>0</v>
      </c>
    </row>
    <row r="4937" spans="1:7" x14ac:dyDescent="0.3">
      <c r="A4937" s="84">
        <v>2026</v>
      </c>
      <c r="B4937" s="84" t="s">
        <v>399</v>
      </c>
      <c r="C4937" s="84">
        <v>15</v>
      </c>
      <c r="D4937" s="84">
        <v>16</v>
      </c>
      <c r="E4937" s="85">
        <v>15581.16</v>
      </c>
      <c r="F4937" s="85">
        <v>15990.8</v>
      </c>
      <c r="G4937" s="85">
        <v>409.64</v>
      </c>
    </row>
    <row r="4938" spans="1:7" x14ac:dyDescent="0.3">
      <c r="A4938" s="84">
        <v>2026</v>
      </c>
      <c r="B4938" s="84" t="s">
        <v>399</v>
      </c>
      <c r="C4938" s="84">
        <v>15</v>
      </c>
      <c r="D4938" s="84">
        <v>17</v>
      </c>
      <c r="E4938" s="85">
        <v>15581.16</v>
      </c>
      <c r="F4938" s="85">
        <v>16399.88</v>
      </c>
      <c r="G4938" s="85">
        <v>818.72</v>
      </c>
    </row>
    <row r="4939" spans="1:7" x14ac:dyDescent="0.3">
      <c r="A4939" s="84">
        <v>2026</v>
      </c>
      <c r="B4939" s="84" t="s">
        <v>399</v>
      </c>
      <c r="C4939" s="84">
        <v>15</v>
      </c>
      <c r="D4939" s="84">
        <v>18</v>
      </c>
      <c r="E4939" s="85">
        <v>15581.16</v>
      </c>
      <c r="F4939" s="85">
        <v>16809.8</v>
      </c>
      <c r="G4939" s="85">
        <v>1228.6400000000001</v>
      </c>
    </row>
    <row r="4940" spans="1:7" x14ac:dyDescent="0.3">
      <c r="A4940" s="84">
        <v>2026</v>
      </c>
      <c r="B4940" s="84" t="s">
        <v>399</v>
      </c>
      <c r="C4940" s="84">
        <v>15</v>
      </c>
      <c r="D4940" s="84">
        <v>19</v>
      </c>
      <c r="E4940" s="85">
        <v>15581.16</v>
      </c>
      <c r="F4940" s="85">
        <v>17219.86</v>
      </c>
      <c r="G4940" s="85">
        <v>1638.7</v>
      </c>
    </row>
    <row r="4941" spans="1:7" x14ac:dyDescent="0.3">
      <c r="A4941" s="84">
        <v>2026</v>
      </c>
      <c r="B4941" s="84" t="s">
        <v>399</v>
      </c>
      <c r="C4941" s="84">
        <v>15</v>
      </c>
      <c r="D4941" s="84">
        <v>20</v>
      </c>
      <c r="E4941" s="85">
        <v>15581.16</v>
      </c>
      <c r="F4941" s="85">
        <v>17629.64</v>
      </c>
      <c r="G4941" s="85">
        <v>2048.48</v>
      </c>
    </row>
    <row r="4942" spans="1:7" x14ac:dyDescent="0.3">
      <c r="A4942" s="84">
        <v>2026</v>
      </c>
      <c r="B4942" s="84" t="s">
        <v>399</v>
      </c>
      <c r="C4942" s="84">
        <v>15</v>
      </c>
      <c r="D4942" s="84">
        <v>21</v>
      </c>
      <c r="E4942" s="85">
        <v>15581.16</v>
      </c>
      <c r="F4942" s="85">
        <v>18243.82</v>
      </c>
      <c r="G4942" s="85">
        <v>2662.66</v>
      </c>
    </row>
    <row r="4943" spans="1:7" x14ac:dyDescent="0.3">
      <c r="A4943" s="84">
        <v>2026</v>
      </c>
      <c r="B4943" s="84" t="s">
        <v>399</v>
      </c>
      <c r="C4943" s="84">
        <v>15</v>
      </c>
      <c r="D4943" s="84">
        <v>22</v>
      </c>
      <c r="E4943" s="85">
        <v>15581.16</v>
      </c>
      <c r="F4943" s="85">
        <v>18909.099999999999</v>
      </c>
      <c r="G4943" s="85">
        <v>3327.94</v>
      </c>
    </row>
    <row r="4944" spans="1:7" x14ac:dyDescent="0.3">
      <c r="A4944" s="84">
        <v>2026</v>
      </c>
      <c r="B4944" s="84" t="s">
        <v>399</v>
      </c>
      <c r="C4944" s="84">
        <v>15</v>
      </c>
      <c r="D4944" s="84">
        <v>23</v>
      </c>
      <c r="E4944" s="85">
        <v>15581.16</v>
      </c>
      <c r="F4944" s="85">
        <v>19576.759999999998</v>
      </c>
      <c r="G4944" s="85">
        <v>3995.6</v>
      </c>
    </row>
    <row r="4945" spans="1:7" x14ac:dyDescent="0.3">
      <c r="A4945" s="84">
        <v>2026</v>
      </c>
      <c r="B4945" s="84" t="s">
        <v>399</v>
      </c>
      <c r="C4945" s="84">
        <v>15</v>
      </c>
      <c r="D4945" s="84">
        <v>24</v>
      </c>
      <c r="E4945" s="85">
        <v>15581.16</v>
      </c>
      <c r="F4945" s="85">
        <v>20242.88</v>
      </c>
      <c r="G4945" s="85">
        <v>4661.72</v>
      </c>
    </row>
    <row r="4946" spans="1:7" x14ac:dyDescent="0.3">
      <c r="A4946" s="84">
        <v>2026</v>
      </c>
      <c r="B4946" s="84" t="s">
        <v>399</v>
      </c>
      <c r="C4946" s="84">
        <v>15</v>
      </c>
      <c r="D4946" s="84">
        <v>25</v>
      </c>
      <c r="E4946" s="85">
        <v>15581.16</v>
      </c>
      <c r="F4946" s="85">
        <v>20909.84</v>
      </c>
      <c r="G4946" s="85">
        <v>5328.68</v>
      </c>
    </row>
    <row r="4947" spans="1:7" x14ac:dyDescent="0.3">
      <c r="A4947" s="84">
        <v>2026</v>
      </c>
      <c r="B4947" s="84" t="s">
        <v>399</v>
      </c>
      <c r="C4947" s="84">
        <v>15</v>
      </c>
      <c r="D4947" s="84">
        <v>26</v>
      </c>
      <c r="E4947" s="85">
        <v>15581.16</v>
      </c>
      <c r="F4947" s="85">
        <v>22346.799999999999</v>
      </c>
      <c r="G4947" s="85">
        <v>6765.64</v>
      </c>
    </row>
    <row r="4948" spans="1:7" x14ac:dyDescent="0.3">
      <c r="A4948" s="84">
        <v>2026</v>
      </c>
      <c r="B4948" s="84" t="s">
        <v>399</v>
      </c>
      <c r="C4948" s="84">
        <v>15</v>
      </c>
      <c r="D4948" s="84">
        <v>27</v>
      </c>
      <c r="E4948" s="85">
        <v>15581.16</v>
      </c>
      <c r="F4948" s="85">
        <v>24128.720000000001</v>
      </c>
      <c r="G4948" s="85">
        <v>8547.56</v>
      </c>
    </row>
    <row r="4949" spans="1:7" x14ac:dyDescent="0.3">
      <c r="A4949" s="84">
        <v>2026</v>
      </c>
      <c r="B4949" s="84" t="s">
        <v>399</v>
      </c>
      <c r="C4949" s="84">
        <v>15</v>
      </c>
      <c r="D4949" s="84">
        <v>28</v>
      </c>
      <c r="E4949" s="85">
        <v>15581.16</v>
      </c>
      <c r="F4949" s="85">
        <v>24795.82</v>
      </c>
      <c r="G4949" s="85">
        <v>9214.66</v>
      </c>
    </row>
    <row r="4950" spans="1:7" x14ac:dyDescent="0.3">
      <c r="A4950" s="84">
        <v>2026</v>
      </c>
      <c r="B4950" s="84" t="s">
        <v>399</v>
      </c>
      <c r="C4950" s="84">
        <v>15</v>
      </c>
      <c r="D4950" s="84">
        <v>29</v>
      </c>
      <c r="E4950" s="85">
        <v>15581.16</v>
      </c>
      <c r="F4950" s="85">
        <v>25461.94</v>
      </c>
      <c r="G4950" s="85">
        <v>9880.7800000000007</v>
      </c>
    </row>
    <row r="4951" spans="1:7" x14ac:dyDescent="0.3">
      <c r="A4951" s="84">
        <v>2026</v>
      </c>
      <c r="B4951" s="84" t="s">
        <v>399</v>
      </c>
      <c r="C4951" s="84">
        <v>15</v>
      </c>
      <c r="D4951" s="84">
        <v>30</v>
      </c>
      <c r="E4951" s="85">
        <v>15581.16</v>
      </c>
      <c r="F4951" s="85">
        <v>27284.38</v>
      </c>
      <c r="G4951" s="85">
        <v>11703.22</v>
      </c>
    </row>
    <row r="4952" spans="1:7" x14ac:dyDescent="0.3">
      <c r="A4952" s="84">
        <v>2026</v>
      </c>
      <c r="B4952" s="84" t="s">
        <v>399</v>
      </c>
      <c r="C4952" s="84">
        <v>16</v>
      </c>
      <c r="D4952" s="84">
        <v>1</v>
      </c>
      <c r="E4952" s="85">
        <v>15990.8</v>
      </c>
      <c r="F4952" s="85">
        <v>11279.66</v>
      </c>
      <c r="G4952" s="85">
        <v>-4711.1400000000003</v>
      </c>
    </row>
    <row r="4953" spans="1:7" x14ac:dyDescent="0.3">
      <c r="A4953" s="84">
        <v>2026</v>
      </c>
      <c r="B4953" s="84" t="s">
        <v>399</v>
      </c>
      <c r="C4953" s="84">
        <v>16</v>
      </c>
      <c r="D4953" s="84">
        <v>2</v>
      </c>
      <c r="E4953" s="85">
        <v>15990.8</v>
      </c>
      <c r="F4953" s="85">
        <v>11586.96</v>
      </c>
      <c r="G4953" s="85">
        <v>-4403.84</v>
      </c>
    </row>
    <row r="4954" spans="1:7" x14ac:dyDescent="0.3">
      <c r="A4954" s="84">
        <v>2026</v>
      </c>
      <c r="B4954" s="84" t="s">
        <v>399</v>
      </c>
      <c r="C4954" s="84">
        <v>16</v>
      </c>
      <c r="D4954" s="84">
        <v>3</v>
      </c>
      <c r="E4954" s="85">
        <v>15990.8</v>
      </c>
      <c r="F4954" s="85">
        <v>11894.54</v>
      </c>
      <c r="G4954" s="85">
        <v>-4096.26</v>
      </c>
    </row>
    <row r="4955" spans="1:7" x14ac:dyDescent="0.3">
      <c r="A4955" s="84">
        <v>2026</v>
      </c>
      <c r="B4955" s="84" t="s">
        <v>399</v>
      </c>
      <c r="C4955" s="84">
        <v>16</v>
      </c>
      <c r="D4955" s="84">
        <v>4</v>
      </c>
      <c r="E4955" s="85">
        <v>15990.8</v>
      </c>
      <c r="F4955" s="85">
        <v>12200.86</v>
      </c>
      <c r="G4955" s="85">
        <v>-3789.94</v>
      </c>
    </row>
    <row r="4956" spans="1:7" x14ac:dyDescent="0.3">
      <c r="A4956" s="84">
        <v>2026</v>
      </c>
      <c r="B4956" s="84" t="s">
        <v>399</v>
      </c>
      <c r="C4956" s="84">
        <v>16</v>
      </c>
      <c r="D4956" s="84">
        <v>5</v>
      </c>
      <c r="E4956" s="85">
        <v>15990.8</v>
      </c>
      <c r="F4956" s="85">
        <v>12507.88</v>
      </c>
      <c r="G4956" s="85">
        <v>-3482.92</v>
      </c>
    </row>
    <row r="4957" spans="1:7" x14ac:dyDescent="0.3">
      <c r="A4957" s="84">
        <v>2026</v>
      </c>
      <c r="B4957" s="84" t="s">
        <v>399</v>
      </c>
      <c r="C4957" s="84">
        <v>16</v>
      </c>
      <c r="D4957" s="84">
        <v>6</v>
      </c>
      <c r="E4957" s="85">
        <v>15990.8</v>
      </c>
      <c r="F4957" s="85">
        <v>12712.7</v>
      </c>
      <c r="G4957" s="85">
        <v>-3278.1</v>
      </c>
    </row>
    <row r="4958" spans="1:7" x14ac:dyDescent="0.3">
      <c r="A4958" s="84">
        <v>2026</v>
      </c>
      <c r="B4958" s="84" t="s">
        <v>399</v>
      </c>
      <c r="C4958" s="84">
        <v>16</v>
      </c>
      <c r="D4958" s="84">
        <v>7</v>
      </c>
      <c r="E4958" s="85">
        <v>15990.8</v>
      </c>
      <c r="F4958" s="85">
        <v>12917.94</v>
      </c>
      <c r="G4958" s="85">
        <v>-3072.86</v>
      </c>
    </row>
    <row r="4959" spans="1:7" x14ac:dyDescent="0.3">
      <c r="A4959" s="84">
        <v>2026</v>
      </c>
      <c r="B4959" s="84" t="s">
        <v>399</v>
      </c>
      <c r="C4959" s="84">
        <v>16</v>
      </c>
      <c r="D4959" s="84">
        <v>8</v>
      </c>
      <c r="E4959" s="85">
        <v>15990.8</v>
      </c>
      <c r="F4959" s="85">
        <v>13122.48</v>
      </c>
      <c r="G4959" s="85">
        <v>-2868.32</v>
      </c>
    </row>
    <row r="4960" spans="1:7" x14ac:dyDescent="0.3">
      <c r="A4960" s="84">
        <v>2026</v>
      </c>
      <c r="B4960" s="84" t="s">
        <v>399</v>
      </c>
      <c r="C4960" s="84">
        <v>16</v>
      </c>
      <c r="D4960" s="84">
        <v>9</v>
      </c>
      <c r="E4960" s="85">
        <v>15990.8</v>
      </c>
      <c r="F4960" s="85">
        <v>13327.86</v>
      </c>
      <c r="G4960" s="85">
        <v>-2662.94</v>
      </c>
    </row>
    <row r="4961" spans="1:7" x14ac:dyDescent="0.3">
      <c r="A4961" s="84">
        <v>2026</v>
      </c>
      <c r="B4961" s="84" t="s">
        <v>399</v>
      </c>
      <c r="C4961" s="84">
        <v>16</v>
      </c>
      <c r="D4961" s="84">
        <v>10</v>
      </c>
      <c r="E4961" s="85">
        <v>15990.8</v>
      </c>
      <c r="F4961" s="85">
        <v>13532.82</v>
      </c>
      <c r="G4961" s="85">
        <v>-2457.98</v>
      </c>
    </row>
    <row r="4962" spans="1:7" x14ac:dyDescent="0.3">
      <c r="A4962" s="84">
        <v>2026</v>
      </c>
      <c r="B4962" s="84" t="s">
        <v>399</v>
      </c>
      <c r="C4962" s="84">
        <v>16</v>
      </c>
      <c r="D4962" s="84">
        <v>11</v>
      </c>
      <c r="E4962" s="85">
        <v>15990.8</v>
      </c>
      <c r="F4962" s="85">
        <v>13941.62</v>
      </c>
      <c r="G4962" s="85">
        <v>-2049.1799999999998</v>
      </c>
    </row>
    <row r="4963" spans="1:7" x14ac:dyDescent="0.3">
      <c r="A4963" s="84">
        <v>2026</v>
      </c>
      <c r="B4963" s="84" t="s">
        <v>399</v>
      </c>
      <c r="C4963" s="84">
        <v>16</v>
      </c>
      <c r="D4963" s="84">
        <v>12</v>
      </c>
      <c r="E4963" s="85">
        <v>15990.8</v>
      </c>
      <c r="F4963" s="85">
        <v>14351.54</v>
      </c>
      <c r="G4963" s="85">
        <v>-1639.26</v>
      </c>
    </row>
    <row r="4964" spans="1:7" x14ac:dyDescent="0.3">
      <c r="A4964" s="84">
        <v>2026</v>
      </c>
      <c r="B4964" s="84" t="s">
        <v>399</v>
      </c>
      <c r="C4964" s="84">
        <v>16</v>
      </c>
      <c r="D4964" s="84">
        <v>13</v>
      </c>
      <c r="E4964" s="85">
        <v>15990.8</v>
      </c>
      <c r="F4964" s="85">
        <v>14761.32</v>
      </c>
      <c r="G4964" s="85">
        <v>-1229.48</v>
      </c>
    </row>
    <row r="4965" spans="1:7" x14ac:dyDescent="0.3">
      <c r="A4965" s="84">
        <v>2026</v>
      </c>
      <c r="B4965" s="84" t="s">
        <v>399</v>
      </c>
      <c r="C4965" s="84">
        <v>16</v>
      </c>
      <c r="D4965" s="84">
        <v>14</v>
      </c>
      <c r="E4965" s="85">
        <v>15990.8</v>
      </c>
      <c r="F4965" s="85">
        <v>15171.52</v>
      </c>
      <c r="G4965" s="85">
        <v>-819.28</v>
      </c>
    </row>
    <row r="4966" spans="1:7" x14ac:dyDescent="0.3">
      <c r="A4966" s="84">
        <v>2026</v>
      </c>
      <c r="B4966" s="84" t="s">
        <v>399</v>
      </c>
      <c r="C4966" s="84">
        <v>16</v>
      </c>
      <c r="D4966" s="84">
        <v>15</v>
      </c>
      <c r="E4966" s="85">
        <v>15990.8</v>
      </c>
      <c r="F4966" s="85">
        <v>15581.16</v>
      </c>
      <c r="G4966" s="85">
        <v>-409.64</v>
      </c>
    </row>
    <row r="4967" spans="1:7" x14ac:dyDescent="0.3">
      <c r="A4967" s="84">
        <v>2026</v>
      </c>
      <c r="B4967" s="84" t="s">
        <v>399</v>
      </c>
      <c r="C4967" s="84">
        <v>16</v>
      </c>
      <c r="D4967" s="84">
        <v>16</v>
      </c>
      <c r="E4967" s="85">
        <v>15990.8</v>
      </c>
      <c r="F4967" s="85">
        <v>15990.8</v>
      </c>
      <c r="G4967" s="85">
        <v>0</v>
      </c>
    </row>
    <row r="4968" spans="1:7" x14ac:dyDescent="0.3">
      <c r="A4968" s="84">
        <v>2026</v>
      </c>
      <c r="B4968" s="84" t="s">
        <v>399</v>
      </c>
      <c r="C4968" s="84">
        <v>16</v>
      </c>
      <c r="D4968" s="84">
        <v>17</v>
      </c>
      <c r="E4968" s="85">
        <v>15990.8</v>
      </c>
      <c r="F4968" s="85">
        <v>16399.88</v>
      </c>
      <c r="G4968" s="85">
        <v>409.08</v>
      </c>
    </row>
    <row r="4969" spans="1:7" x14ac:dyDescent="0.3">
      <c r="A4969" s="84">
        <v>2026</v>
      </c>
      <c r="B4969" s="84" t="s">
        <v>399</v>
      </c>
      <c r="C4969" s="84">
        <v>16</v>
      </c>
      <c r="D4969" s="84">
        <v>18</v>
      </c>
      <c r="E4969" s="85">
        <v>15990.8</v>
      </c>
      <c r="F4969" s="85">
        <v>16809.8</v>
      </c>
      <c r="G4969" s="85">
        <v>819</v>
      </c>
    </row>
    <row r="4970" spans="1:7" x14ac:dyDescent="0.3">
      <c r="A4970" s="84">
        <v>2026</v>
      </c>
      <c r="B4970" s="84" t="s">
        <v>399</v>
      </c>
      <c r="C4970" s="84">
        <v>16</v>
      </c>
      <c r="D4970" s="84">
        <v>19</v>
      </c>
      <c r="E4970" s="85">
        <v>15990.8</v>
      </c>
      <c r="F4970" s="85">
        <v>17219.86</v>
      </c>
      <c r="G4970" s="85">
        <v>1229.06</v>
      </c>
    </row>
    <row r="4971" spans="1:7" x14ac:dyDescent="0.3">
      <c r="A4971" s="84">
        <v>2026</v>
      </c>
      <c r="B4971" s="84" t="s">
        <v>399</v>
      </c>
      <c r="C4971" s="84">
        <v>16</v>
      </c>
      <c r="D4971" s="84">
        <v>20</v>
      </c>
      <c r="E4971" s="85">
        <v>15990.8</v>
      </c>
      <c r="F4971" s="85">
        <v>17629.64</v>
      </c>
      <c r="G4971" s="85">
        <v>1638.84</v>
      </c>
    </row>
    <row r="4972" spans="1:7" x14ac:dyDescent="0.3">
      <c r="A4972" s="84">
        <v>2026</v>
      </c>
      <c r="B4972" s="84" t="s">
        <v>399</v>
      </c>
      <c r="C4972" s="84">
        <v>16</v>
      </c>
      <c r="D4972" s="84">
        <v>21</v>
      </c>
      <c r="E4972" s="85">
        <v>15990.8</v>
      </c>
      <c r="F4972" s="85">
        <v>18243.82</v>
      </c>
      <c r="G4972" s="85">
        <v>2253.02</v>
      </c>
    </row>
    <row r="4973" spans="1:7" x14ac:dyDescent="0.3">
      <c r="A4973" s="84">
        <v>2026</v>
      </c>
      <c r="B4973" s="84" t="s">
        <v>399</v>
      </c>
      <c r="C4973" s="84">
        <v>16</v>
      </c>
      <c r="D4973" s="84">
        <v>22</v>
      </c>
      <c r="E4973" s="85">
        <v>15990.8</v>
      </c>
      <c r="F4973" s="85">
        <v>18909.099999999999</v>
      </c>
      <c r="G4973" s="85">
        <v>2918.3</v>
      </c>
    </row>
    <row r="4974" spans="1:7" x14ac:dyDescent="0.3">
      <c r="A4974" s="84">
        <v>2026</v>
      </c>
      <c r="B4974" s="84" t="s">
        <v>399</v>
      </c>
      <c r="C4974" s="84">
        <v>16</v>
      </c>
      <c r="D4974" s="84">
        <v>23</v>
      </c>
      <c r="E4974" s="85">
        <v>15990.8</v>
      </c>
      <c r="F4974" s="85">
        <v>19576.759999999998</v>
      </c>
      <c r="G4974" s="85">
        <v>3585.96</v>
      </c>
    </row>
    <row r="4975" spans="1:7" x14ac:dyDescent="0.3">
      <c r="A4975" s="84">
        <v>2026</v>
      </c>
      <c r="B4975" s="84" t="s">
        <v>399</v>
      </c>
      <c r="C4975" s="84">
        <v>16</v>
      </c>
      <c r="D4975" s="84">
        <v>24</v>
      </c>
      <c r="E4975" s="85">
        <v>15990.8</v>
      </c>
      <c r="F4975" s="85">
        <v>20242.88</v>
      </c>
      <c r="G4975" s="85">
        <v>4252.08</v>
      </c>
    </row>
    <row r="4976" spans="1:7" x14ac:dyDescent="0.3">
      <c r="A4976" s="84">
        <v>2026</v>
      </c>
      <c r="B4976" s="84" t="s">
        <v>399</v>
      </c>
      <c r="C4976" s="84">
        <v>16</v>
      </c>
      <c r="D4976" s="84">
        <v>25</v>
      </c>
      <c r="E4976" s="85">
        <v>15990.8</v>
      </c>
      <c r="F4976" s="85">
        <v>20909.84</v>
      </c>
      <c r="G4976" s="85">
        <v>4919.04</v>
      </c>
    </row>
    <row r="4977" spans="1:7" x14ac:dyDescent="0.3">
      <c r="A4977" s="84">
        <v>2026</v>
      </c>
      <c r="B4977" s="84" t="s">
        <v>399</v>
      </c>
      <c r="C4977" s="84">
        <v>16</v>
      </c>
      <c r="D4977" s="84">
        <v>26</v>
      </c>
      <c r="E4977" s="85">
        <v>15990.8</v>
      </c>
      <c r="F4977" s="85">
        <v>22346.799999999999</v>
      </c>
      <c r="G4977" s="85">
        <v>6356</v>
      </c>
    </row>
    <row r="4978" spans="1:7" x14ac:dyDescent="0.3">
      <c r="A4978" s="84">
        <v>2026</v>
      </c>
      <c r="B4978" s="84" t="s">
        <v>399</v>
      </c>
      <c r="C4978" s="84">
        <v>16</v>
      </c>
      <c r="D4978" s="84">
        <v>27</v>
      </c>
      <c r="E4978" s="85">
        <v>15990.8</v>
      </c>
      <c r="F4978" s="85">
        <v>24128.720000000001</v>
      </c>
      <c r="G4978" s="85">
        <v>8137.92</v>
      </c>
    </row>
    <row r="4979" spans="1:7" x14ac:dyDescent="0.3">
      <c r="A4979" s="84">
        <v>2026</v>
      </c>
      <c r="B4979" s="84" t="s">
        <v>399</v>
      </c>
      <c r="C4979" s="84">
        <v>16</v>
      </c>
      <c r="D4979" s="84">
        <v>28</v>
      </c>
      <c r="E4979" s="85">
        <v>15990.8</v>
      </c>
      <c r="F4979" s="85">
        <v>24795.82</v>
      </c>
      <c r="G4979" s="85">
        <v>8805.02</v>
      </c>
    </row>
    <row r="4980" spans="1:7" x14ac:dyDescent="0.3">
      <c r="A4980" s="84">
        <v>2026</v>
      </c>
      <c r="B4980" s="84" t="s">
        <v>399</v>
      </c>
      <c r="C4980" s="84">
        <v>16</v>
      </c>
      <c r="D4980" s="84">
        <v>29</v>
      </c>
      <c r="E4980" s="85">
        <v>15990.8</v>
      </c>
      <c r="F4980" s="85">
        <v>25461.94</v>
      </c>
      <c r="G4980" s="85">
        <v>9471.14</v>
      </c>
    </row>
    <row r="4981" spans="1:7" x14ac:dyDescent="0.3">
      <c r="A4981" s="84">
        <v>2026</v>
      </c>
      <c r="B4981" s="84" t="s">
        <v>399</v>
      </c>
      <c r="C4981" s="84">
        <v>16</v>
      </c>
      <c r="D4981" s="84">
        <v>30</v>
      </c>
      <c r="E4981" s="85">
        <v>15990.8</v>
      </c>
      <c r="F4981" s="85">
        <v>27284.38</v>
      </c>
      <c r="G4981" s="85">
        <v>11293.58</v>
      </c>
    </row>
    <row r="4982" spans="1:7" x14ac:dyDescent="0.3">
      <c r="A4982" s="84">
        <v>2026</v>
      </c>
      <c r="B4982" s="84" t="s">
        <v>399</v>
      </c>
      <c r="C4982" s="84">
        <v>17</v>
      </c>
      <c r="D4982" s="84">
        <v>1</v>
      </c>
      <c r="E4982" s="85">
        <v>16399.88</v>
      </c>
      <c r="F4982" s="85">
        <v>11279.66</v>
      </c>
      <c r="G4982" s="85">
        <v>-5120.22</v>
      </c>
    </row>
    <row r="4983" spans="1:7" x14ac:dyDescent="0.3">
      <c r="A4983" s="84">
        <v>2026</v>
      </c>
      <c r="B4983" s="84" t="s">
        <v>399</v>
      </c>
      <c r="C4983" s="84">
        <v>17</v>
      </c>
      <c r="D4983" s="84">
        <v>2</v>
      </c>
      <c r="E4983" s="85">
        <v>16399.88</v>
      </c>
      <c r="F4983" s="85">
        <v>11586.96</v>
      </c>
      <c r="G4983" s="85">
        <v>-4812.92</v>
      </c>
    </row>
    <row r="4984" spans="1:7" x14ac:dyDescent="0.3">
      <c r="A4984" s="84">
        <v>2026</v>
      </c>
      <c r="B4984" s="84" t="s">
        <v>399</v>
      </c>
      <c r="C4984" s="84">
        <v>17</v>
      </c>
      <c r="D4984" s="84">
        <v>3</v>
      </c>
      <c r="E4984" s="85">
        <v>16399.88</v>
      </c>
      <c r="F4984" s="85">
        <v>11894.54</v>
      </c>
      <c r="G4984" s="85">
        <v>-4505.34</v>
      </c>
    </row>
    <row r="4985" spans="1:7" x14ac:dyDescent="0.3">
      <c r="A4985" s="84">
        <v>2026</v>
      </c>
      <c r="B4985" s="84" t="s">
        <v>399</v>
      </c>
      <c r="C4985" s="84">
        <v>17</v>
      </c>
      <c r="D4985" s="84">
        <v>4</v>
      </c>
      <c r="E4985" s="85">
        <v>16399.88</v>
      </c>
      <c r="F4985" s="85">
        <v>12200.86</v>
      </c>
      <c r="G4985" s="85">
        <v>-4199.0200000000004</v>
      </c>
    </row>
    <row r="4986" spans="1:7" x14ac:dyDescent="0.3">
      <c r="A4986" s="84">
        <v>2026</v>
      </c>
      <c r="B4986" s="84" t="s">
        <v>399</v>
      </c>
      <c r="C4986" s="84">
        <v>17</v>
      </c>
      <c r="D4986" s="84">
        <v>5</v>
      </c>
      <c r="E4986" s="85">
        <v>16399.88</v>
      </c>
      <c r="F4986" s="85">
        <v>12507.88</v>
      </c>
      <c r="G4986" s="85">
        <v>-3892</v>
      </c>
    </row>
    <row r="4987" spans="1:7" x14ac:dyDescent="0.3">
      <c r="A4987" s="84">
        <v>2026</v>
      </c>
      <c r="B4987" s="84" t="s">
        <v>399</v>
      </c>
      <c r="C4987" s="84">
        <v>17</v>
      </c>
      <c r="D4987" s="84">
        <v>6</v>
      </c>
      <c r="E4987" s="85">
        <v>16399.88</v>
      </c>
      <c r="F4987" s="85">
        <v>12712.7</v>
      </c>
      <c r="G4987" s="85">
        <v>-3687.18</v>
      </c>
    </row>
    <row r="4988" spans="1:7" x14ac:dyDescent="0.3">
      <c r="A4988" s="84">
        <v>2026</v>
      </c>
      <c r="B4988" s="84" t="s">
        <v>399</v>
      </c>
      <c r="C4988" s="84">
        <v>17</v>
      </c>
      <c r="D4988" s="84">
        <v>7</v>
      </c>
      <c r="E4988" s="85">
        <v>16399.88</v>
      </c>
      <c r="F4988" s="85">
        <v>12917.94</v>
      </c>
      <c r="G4988" s="85">
        <v>-3481.94</v>
      </c>
    </row>
    <row r="4989" spans="1:7" x14ac:dyDescent="0.3">
      <c r="A4989" s="84">
        <v>2026</v>
      </c>
      <c r="B4989" s="84" t="s">
        <v>399</v>
      </c>
      <c r="C4989" s="84">
        <v>17</v>
      </c>
      <c r="D4989" s="84">
        <v>8</v>
      </c>
      <c r="E4989" s="85">
        <v>16399.88</v>
      </c>
      <c r="F4989" s="85">
        <v>13122.48</v>
      </c>
      <c r="G4989" s="85">
        <v>-3277.4</v>
      </c>
    </row>
    <row r="4990" spans="1:7" x14ac:dyDescent="0.3">
      <c r="A4990" s="84">
        <v>2026</v>
      </c>
      <c r="B4990" s="84" t="s">
        <v>399</v>
      </c>
      <c r="C4990" s="84">
        <v>17</v>
      </c>
      <c r="D4990" s="84">
        <v>9</v>
      </c>
      <c r="E4990" s="85">
        <v>16399.88</v>
      </c>
      <c r="F4990" s="85">
        <v>13327.86</v>
      </c>
      <c r="G4990" s="85">
        <v>-3072.02</v>
      </c>
    </row>
    <row r="4991" spans="1:7" x14ac:dyDescent="0.3">
      <c r="A4991" s="84">
        <v>2026</v>
      </c>
      <c r="B4991" s="84" t="s">
        <v>399</v>
      </c>
      <c r="C4991" s="84">
        <v>17</v>
      </c>
      <c r="D4991" s="84">
        <v>10</v>
      </c>
      <c r="E4991" s="85">
        <v>16399.88</v>
      </c>
      <c r="F4991" s="85">
        <v>13532.82</v>
      </c>
      <c r="G4991" s="85">
        <v>-2867.06</v>
      </c>
    </row>
    <row r="4992" spans="1:7" x14ac:dyDescent="0.3">
      <c r="A4992" s="84">
        <v>2026</v>
      </c>
      <c r="B4992" s="84" t="s">
        <v>399</v>
      </c>
      <c r="C4992" s="84">
        <v>17</v>
      </c>
      <c r="D4992" s="84">
        <v>11</v>
      </c>
      <c r="E4992" s="85">
        <v>16399.88</v>
      </c>
      <c r="F4992" s="85">
        <v>13941.62</v>
      </c>
      <c r="G4992" s="85">
        <v>-2458.2600000000002</v>
      </c>
    </row>
    <row r="4993" spans="1:7" x14ac:dyDescent="0.3">
      <c r="A4993" s="84">
        <v>2026</v>
      </c>
      <c r="B4993" s="84" t="s">
        <v>399</v>
      </c>
      <c r="C4993" s="84">
        <v>17</v>
      </c>
      <c r="D4993" s="84">
        <v>12</v>
      </c>
      <c r="E4993" s="85">
        <v>16399.88</v>
      </c>
      <c r="F4993" s="85">
        <v>14351.54</v>
      </c>
      <c r="G4993" s="85">
        <v>-2048.34</v>
      </c>
    </row>
    <row r="4994" spans="1:7" x14ac:dyDescent="0.3">
      <c r="A4994" s="84">
        <v>2026</v>
      </c>
      <c r="B4994" s="84" t="s">
        <v>399</v>
      </c>
      <c r="C4994" s="84">
        <v>17</v>
      </c>
      <c r="D4994" s="84">
        <v>13</v>
      </c>
      <c r="E4994" s="85">
        <v>16399.88</v>
      </c>
      <c r="F4994" s="85">
        <v>14761.32</v>
      </c>
      <c r="G4994" s="85">
        <v>-1638.56</v>
      </c>
    </row>
    <row r="4995" spans="1:7" x14ac:dyDescent="0.3">
      <c r="A4995" s="84">
        <v>2026</v>
      </c>
      <c r="B4995" s="84" t="s">
        <v>399</v>
      </c>
      <c r="C4995" s="84">
        <v>17</v>
      </c>
      <c r="D4995" s="84">
        <v>14</v>
      </c>
      <c r="E4995" s="85">
        <v>16399.88</v>
      </c>
      <c r="F4995" s="85">
        <v>15171.52</v>
      </c>
      <c r="G4995" s="85">
        <v>-1228.3599999999999</v>
      </c>
    </row>
    <row r="4996" spans="1:7" x14ac:dyDescent="0.3">
      <c r="A4996" s="84">
        <v>2026</v>
      </c>
      <c r="B4996" s="84" t="s">
        <v>399</v>
      </c>
      <c r="C4996" s="84">
        <v>17</v>
      </c>
      <c r="D4996" s="84">
        <v>15</v>
      </c>
      <c r="E4996" s="85">
        <v>16399.88</v>
      </c>
      <c r="F4996" s="85">
        <v>15581.16</v>
      </c>
      <c r="G4996" s="85">
        <v>-818.72</v>
      </c>
    </row>
    <row r="4997" spans="1:7" x14ac:dyDescent="0.3">
      <c r="A4997" s="84">
        <v>2026</v>
      </c>
      <c r="B4997" s="84" t="s">
        <v>399</v>
      </c>
      <c r="C4997" s="84">
        <v>17</v>
      </c>
      <c r="D4997" s="84">
        <v>16</v>
      </c>
      <c r="E4997" s="85">
        <v>16399.88</v>
      </c>
      <c r="F4997" s="85">
        <v>15990.8</v>
      </c>
      <c r="G4997" s="85">
        <v>-409.08</v>
      </c>
    </row>
    <row r="4998" spans="1:7" x14ac:dyDescent="0.3">
      <c r="A4998" s="84">
        <v>2026</v>
      </c>
      <c r="B4998" s="84" t="s">
        <v>399</v>
      </c>
      <c r="C4998" s="84">
        <v>17</v>
      </c>
      <c r="D4998" s="84">
        <v>17</v>
      </c>
      <c r="E4998" s="85">
        <v>16399.88</v>
      </c>
      <c r="F4998" s="85">
        <v>16399.88</v>
      </c>
      <c r="G4998" s="85">
        <v>0</v>
      </c>
    </row>
    <row r="4999" spans="1:7" x14ac:dyDescent="0.3">
      <c r="A4999" s="84">
        <v>2026</v>
      </c>
      <c r="B4999" s="84" t="s">
        <v>399</v>
      </c>
      <c r="C4999" s="84">
        <v>17</v>
      </c>
      <c r="D4999" s="84">
        <v>18</v>
      </c>
      <c r="E4999" s="85">
        <v>16399.88</v>
      </c>
      <c r="F4999" s="85">
        <v>16809.8</v>
      </c>
      <c r="G4999" s="85">
        <v>409.92</v>
      </c>
    </row>
    <row r="5000" spans="1:7" x14ac:dyDescent="0.3">
      <c r="A5000" s="84">
        <v>2026</v>
      </c>
      <c r="B5000" s="84" t="s">
        <v>399</v>
      </c>
      <c r="C5000" s="84">
        <v>17</v>
      </c>
      <c r="D5000" s="84">
        <v>19</v>
      </c>
      <c r="E5000" s="85">
        <v>16399.88</v>
      </c>
      <c r="F5000" s="85">
        <v>17219.86</v>
      </c>
      <c r="G5000" s="85">
        <v>819.98</v>
      </c>
    </row>
    <row r="5001" spans="1:7" x14ac:dyDescent="0.3">
      <c r="A5001" s="84">
        <v>2026</v>
      </c>
      <c r="B5001" s="84" t="s">
        <v>399</v>
      </c>
      <c r="C5001" s="84">
        <v>17</v>
      </c>
      <c r="D5001" s="84">
        <v>20</v>
      </c>
      <c r="E5001" s="85">
        <v>16399.88</v>
      </c>
      <c r="F5001" s="85">
        <v>17629.64</v>
      </c>
      <c r="G5001" s="85">
        <v>1229.76</v>
      </c>
    </row>
    <row r="5002" spans="1:7" x14ac:dyDescent="0.3">
      <c r="A5002" s="84">
        <v>2026</v>
      </c>
      <c r="B5002" s="84" t="s">
        <v>399</v>
      </c>
      <c r="C5002" s="84">
        <v>17</v>
      </c>
      <c r="D5002" s="84">
        <v>21</v>
      </c>
      <c r="E5002" s="85">
        <v>16399.88</v>
      </c>
      <c r="F5002" s="85">
        <v>18243.82</v>
      </c>
      <c r="G5002" s="85">
        <v>1843.94</v>
      </c>
    </row>
    <row r="5003" spans="1:7" x14ac:dyDescent="0.3">
      <c r="A5003" s="84">
        <v>2026</v>
      </c>
      <c r="B5003" s="84" t="s">
        <v>399</v>
      </c>
      <c r="C5003" s="84">
        <v>17</v>
      </c>
      <c r="D5003" s="84">
        <v>22</v>
      </c>
      <c r="E5003" s="85">
        <v>16399.88</v>
      </c>
      <c r="F5003" s="85">
        <v>18909.099999999999</v>
      </c>
      <c r="G5003" s="85">
        <v>2509.2199999999998</v>
      </c>
    </row>
    <row r="5004" spans="1:7" x14ac:dyDescent="0.3">
      <c r="A5004" s="84">
        <v>2026</v>
      </c>
      <c r="B5004" s="84" t="s">
        <v>399</v>
      </c>
      <c r="C5004" s="84">
        <v>17</v>
      </c>
      <c r="D5004" s="84">
        <v>23</v>
      </c>
      <c r="E5004" s="85">
        <v>16399.88</v>
      </c>
      <c r="F5004" s="85">
        <v>19576.759999999998</v>
      </c>
      <c r="G5004" s="85">
        <v>3176.88</v>
      </c>
    </row>
    <row r="5005" spans="1:7" x14ac:dyDescent="0.3">
      <c r="A5005" s="84">
        <v>2026</v>
      </c>
      <c r="B5005" s="84" t="s">
        <v>399</v>
      </c>
      <c r="C5005" s="84">
        <v>17</v>
      </c>
      <c r="D5005" s="84">
        <v>24</v>
      </c>
      <c r="E5005" s="85">
        <v>16399.88</v>
      </c>
      <c r="F5005" s="85">
        <v>20242.88</v>
      </c>
      <c r="G5005" s="85">
        <v>3843</v>
      </c>
    </row>
    <row r="5006" spans="1:7" x14ac:dyDescent="0.3">
      <c r="A5006" s="84">
        <v>2026</v>
      </c>
      <c r="B5006" s="84" t="s">
        <v>399</v>
      </c>
      <c r="C5006" s="84">
        <v>17</v>
      </c>
      <c r="D5006" s="84">
        <v>25</v>
      </c>
      <c r="E5006" s="85">
        <v>16399.88</v>
      </c>
      <c r="F5006" s="85">
        <v>20909.84</v>
      </c>
      <c r="G5006" s="85">
        <v>4509.96</v>
      </c>
    </row>
    <row r="5007" spans="1:7" x14ac:dyDescent="0.3">
      <c r="A5007" s="84">
        <v>2026</v>
      </c>
      <c r="B5007" s="84" t="s">
        <v>399</v>
      </c>
      <c r="C5007" s="84">
        <v>17</v>
      </c>
      <c r="D5007" s="84">
        <v>26</v>
      </c>
      <c r="E5007" s="85">
        <v>16399.88</v>
      </c>
      <c r="F5007" s="85">
        <v>22346.799999999999</v>
      </c>
      <c r="G5007" s="85">
        <v>5946.92</v>
      </c>
    </row>
    <row r="5008" spans="1:7" x14ac:dyDescent="0.3">
      <c r="A5008" s="84">
        <v>2026</v>
      </c>
      <c r="B5008" s="84" t="s">
        <v>399</v>
      </c>
      <c r="C5008" s="84">
        <v>17</v>
      </c>
      <c r="D5008" s="84">
        <v>27</v>
      </c>
      <c r="E5008" s="85">
        <v>16399.88</v>
      </c>
      <c r="F5008" s="85">
        <v>24128.720000000001</v>
      </c>
      <c r="G5008" s="85">
        <v>7728.84</v>
      </c>
    </row>
    <row r="5009" spans="1:7" x14ac:dyDescent="0.3">
      <c r="A5009" s="84">
        <v>2026</v>
      </c>
      <c r="B5009" s="84" t="s">
        <v>399</v>
      </c>
      <c r="C5009" s="84">
        <v>17</v>
      </c>
      <c r="D5009" s="84">
        <v>28</v>
      </c>
      <c r="E5009" s="85">
        <v>16399.88</v>
      </c>
      <c r="F5009" s="85">
        <v>24795.82</v>
      </c>
      <c r="G5009" s="85">
        <v>8395.94</v>
      </c>
    </row>
    <row r="5010" spans="1:7" x14ac:dyDescent="0.3">
      <c r="A5010" s="84">
        <v>2026</v>
      </c>
      <c r="B5010" s="84" t="s">
        <v>399</v>
      </c>
      <c r="C5010" s="84">
        <v>17</v>
      </c>
      <c r="D5010" s="84">
        <v>29</v>
      </c>
      <c r="E5010" s="85">
        <v>16399.88</v>
      </c>
      <c r="F5010" s="85">
        <v>25461.94</v>
      </c>
      <c r="G5010" s="85">
        <v>9062.06</v>
      </c>
    </row>
    <row r="5011" spans="1:7" x14ac:dyDescent="0.3">
      <c r="A5011" s="84">
        <v>2026</v>
      </c>
      <c r="B5011" s="84" t="s">
        <v>399</v>
      </c>
      <c r="C5011" s="84">
        <v>17</v>
      </c>
      <c r="D5011" s="84">
        <v>30</v>
      </c>
      <c r="E5011" s="85">
        <v>16399.88</v>
      </c>
      <c r="F5011" s="85">
        <v>27284.38</v>
      </c>
      <c r="G5011" s="85">
        <v>10884.5</v>
      </c>
    </row>
    <row r="5012" spans="1:7" x14ac:dyDescent="0.3">
      <c r="A5012" s="84">
        <v>2026</v>
      </c>
      <c r="B5012" s="84" t="s">
        <v>399</v>
      </c>
      <c r="C5012" s="84">
        <v>18</v>
      </c>
      <c r="D5012" s="84">
        <v>1</v>
      </c>
      <c r="E5012" s="85">
        <v>16809.8</v>
      </c>
      <c r="F5012" s="85">
        <v>11279.66</v>
      </c>
      <c r="G5012" s="85">
        <v>-5530.14</v>
      </c>
    </row>
    <row r="5013" spans="1:7" x14ac:dyDescent="0.3">
      <c r="A5013" s="84">
        <v>2026</v>
      </c>
      <c r="B5013" s="84" t="s">
        <v>399</v>
      </c>
      <c r="C5013" s="84">
        <v>18</v>
      </c>
      <c r="D5013" s="84">
        <v>2</v>
      </c>
      <c r="E5013" s="85">
        <v>16809.8</v>
      </c>
      <c r="F5013" s="85">
        <v>11586.96</v>
      </c>
      <c r="G5013" s="85">
        <v>-5222.84</v>
      </c>
    </row>
    <row r="5014" spans="1:7" x14ac:dyDescent="0.3">
      <c r="A5014" s="84">
        <v>2026</v>
      </c>
      <c r="B5014" s="84" t="s">
        <v>399</v>
      </c>
      <c r="C5014" s="84">
        <v>18</v>
      </c>
      <c r="D5014" s="84">
        <v>3</v>
      </c>
      <c r="E5014" s="85">
        <v>16809.8</v>
      </c>
      <c r="F5014" s="85">
        <v>11894.54</v>
      </c>
      <c r="G5014" s="85">
        <v>-4915.26</v>
      </c>
    </row>
    <row r="5015" spans="1:7" x14ac:dyDescent="0.3">
      <c r="A5015" s="84">
        <v>2026</v>
      </c>
      <c r="B5015" s="84" t="s">
        <v>399</v>
      </c>
      <c r="C5015" s="84">
        <v>18</v>
      </c>
      <c r="D5015" s="84">
        <v>4</v>
      </c>
      <c r="E5015" s="85">
        <v>16809.8</v>
      </c>
      <c r="F5015" s="85">
        <v>12200.86</v>
      </c>
      <c r="G5015" s="85">
        <v>-4608.9399999999996</v>
      </c>
    </row>
    <row r="5016" spans="1:7" x14ac:dyDescent="0.3">
      <c r="A5016" s="84">
        <v>2026</v>
      </c>
      <c r="B5016" s="84" t="s">
        <v>399</v>
      </c>
      <c r="C5016" s="84">
        <v>18</v>
      </c>
      <c r="D5016" s="84">
        <v>5</v>
      </c>
      <c r="E5016" s="85">
        <v>16809.8</v>
      </c>
      <c r="F5016" s="85">
        <v>12507.88</v>
      </c>
      <c r="G5016" s="85">
        <v>-4301.92</v>
      </c>
    </row>
    <row r="5017" spans="1:7" x14ac:dyDescent="0.3">
      <c r="A5017" s="84">
        <v>2026</v>
      </c>
      <c r="B5017" s="84" t="s">
        <v>399</v>
      </c>
      <c r="C5017" s="84">
        <v>18</v>
      </c>
      <c r="D5017" s="84">
        <v>6</v>
      </c>
      <c r="E5017" s="85">
        <v>16809.8</v>
      </c>
      <c r="F5017" s="85">
        <v>12712.7</v>
      </c>
      <c r="G5017" s="85">
        <v>-4097.1000000000004</v>
      </c>
    </row>
    <row r="5018" spans="1:7" x14ac:dyDescent="0.3">
      <c r="A5018" s="84">
        <v>2026</v>
      </c>
      <c r="B5018" s="84" t="s">
        <v>399</v>
      </c>
      <c r="C5018" s="84">
        <v>18</v>
      </c>
      <c r="D5018" s="84">
        <v>7</v>
      </c>
      <c r="E5018" s="85">
        <v>16809.8</v>
      </c>
      <c r="F5018" s="85">
        <v>12917.94</v>
      </c>
      <c r="G5018" s="85">
        <v>-3891.86</v>
      </c>
    </row>
    <row r="5019" spans="1:7" x14ac:dyDescent="0.3">
      <c r="A5019" s="84">
        <v>2026</v>
      </c>
      <c r="B5019" s="84" t="s">
        <v>399</v>
      </c>
      <c r="C5019" s="84">
        <v>18</v>
      </c>
      <c r="D5019" s="84">
        <v>8</v>
      </c>
      <c r="E5019" s="85">
        <v>16809.8</v>
      </c>
      <c r="F5019" s="85">
        <v>13122.48</v>
      </c>
      <c r="G5019" s="85">
        <v>-3687.32</v>
      </c>
    </row>
    <row r="5020" spans="1:7" x14ac:dyDescent="0.3">
      <c r="A5020" s="84">
        <v>2026</v>
      </c>
      <c r="B5020" s="84" t="s">
        <v>399</v>
      </c>
      <c r="C5020" s="84">
        <v>18</v>
      </c>
      <c r="D5020" s="84">
        <v>9</v>
      </c>
      <c r="E5020" s="85">
        <v>16809.8</v>
      </c>
      <c r="F5020" s="85">
        <v>13327.86</v>
      </c>
      <c r="G5020" s="85">
        <v>-3481.94</v>
      </c>
    </row>
    <row r="5021" spans="1:7" x14ac:dyDescent="0.3">
      <c r="A5021" s="84">
        <v>2026</v>
      </c>
      <c r="B5021" s="84" t="s">
        <v>399</v>
      </c>
      <c r="C5021" s="84">
        <v>18</v>
      </c>
      <c r="D5021" s="84">
        <v>10</v>
      </c>
      <c r="E5021" s="85">
        <v>16809.8</v>
      </c>
      <c r="F5021" s="85">
        <v>13532.82</v>
      </c>
      <c r="G5021" s="85">
        <v>-3276.98</v>
      </c>
    </row>
    <row r="5022" spans="1:7" x14ac:dyDescent="0.3">
      <c r="A5022" s="84">
        <v>2026</v>
      </c>
      <c r="B5022" s="84" t="s">
        <v>399</v>
      </c>
      <c r="C5022" s="84">
        <v>18</v>
      </c>
      <c r="D5022" s="84">
        <v>11</v>
      </c>
      <c r="E5022" s="85">
        <v>16809.8</v>
      </c>
      <c r="F5022" s="85">
        <v>13941.62</v>
      </c>
      <c r="G5022" s="85">
        <v>-2868.18</v>
      </c>
    </row>
    <row r="5023" spans="1:7" x14ac:dyDescent="0.3">
      <c r="A5023" s="84">
        <v>2026</v>
      </c>
      <c r="B5023" s="84" t="s">
        <v>399</v>
      </c>
      <c r="C5023" s="84">
        <v>18</v>
      </c>
      <c r="D5023" s="84">
        <v>12</v>
      </c>
      <c r="E5023" s="85">
        <v>16809.8</v>
      </c>
      <c r="F5023" s="85">
        <v>14351.54</v>
      </c>
      <c r="G5023" s="85">
        <v>-2458.2600000000002</v>
      </c>
    </row>
    <row r="5024" spans="1:7" x14ac:dyDescent="0.3">
      <c r="A5024" s="84">
        <v>2026</v>
      </c>
      <c r="B5024" s="84" t="s">
        <v>399</v>
      </c>
      <c r="C5024" s="84">
        <v>18</v>
      </c>
      <c r="D5024" s="84">
        <v>13</v>
      </c>
      <c r="E5024" s="85">
        <v>16809.8</v>
      </c>
      <c r="F5024" s="85">
        <v>14761.32</v>
      </c>
      <c r="G5024" s="85">
        <v>-2048.48</v>
      </c>
    </row>
    <row r="5025" spans="1:7" x14ac:dyDescent="0.3">
      <c r="A5025" s="84">
        <v>2026</v>
      </c>
      <c r="B5025" s="84" t="s">
        <v>399</v>
      </c>
      <c r="C5025" s="84">
        <v>18</v>
      </c>
      <c r="D5025" s="84">
        <v>14</v>
      </c>
      <c r="E5025" s="85">
        <v>16809.8</v>
      </c>
      <c r="F5025" s="85">
        <v>15171.52</v>
      </c>
      <c r="G5025" s="85">
        <v>-1638.28</v>
      </c>
    </row>
    <row r="5026" spans="1:7" x14ac:dyDescent="0.3">
      <c r="A5026" s="84">
        <v>2026</v>
      </c>
      <c r="B5026" s="84" t="s">
        <v>399</v>
      </c>
      <c r="C5026" s="84">
        <v>18</v>
      </c>
      <c r="D5026" s="84">
        <v>15</v>
      </c>
      <c r="E5026" s="85">
        <v>16809.8</v>
      </c>
      <c r="F5026" s="85">
        <v>15581.16</v>
      </c>
      <c r="G5026" s="85">
        <v>-1228.6400000000001</v>
      </c>
    </row>
    <row r="5027" spans="1:7" x14ac:dyDescent="0.3">
      <c r="A5027" s="84">
        <v>2026</v>
      </c>
      <c r="B5027" s="84" t="s">
        <v>399</v>
      </c>
      <c r="C5027" s="84">
        <v>18</v>
      </c>
      <c r="D5027" s="84">
        <v>16</v>
      </c>
      <c r="E5027" s="85">
        <v>16809.8</v>
      </c>
      <c r="F5027" s="85">
        <v>15990.8</v>
      </c>
      <c r="G5027" s="85">
        <v>-819</v>
      </c>
    </row>
    <row r="5028" spans="1:7" x14ac:dyDescent="0.3">
      <c r="A5028" s="84">
        <v>2026</v>
      </c>
      <c r="B5028" s="84" t="s">
        <v>399</v>
      </c>
      <c r="C5028" s="84">
        <v>18</v>
      </c>
      <c r="D5028" s="84">
        <v>17</v>
      </c>
      <c r="E5028" s="85">
        <v>16809.8</v>
      </c>
      <c r="F5028" s="85">
        <v>16399.88</v>
      </c>
      <c r="G5028" s="85">
        <v>-409.92</v>
      </c>
    </row>
    <row r="5029" spans="1:7" x14ac:dyDescent="0.3">
      <c r="A5029" s="84">
        <v>2026</v>
      </c>
      <c r="B5029" s="84" t="s">
        <v>399</v>
      </c>
      <c r="C5029" s="84">
        <v>18</v>
      </c>
      <c r="D5029" s="84">
        <v>18</v>
      </c>
      <c r="E5029" s="85">
        <v>16809.8</v>
      </c>
      <c r="F5029" s="85">
        <v>16809.8</v>
      </c>
      <c r="G5029" s="85">
        <v>0</v>
      </c>
    </row>
    <row r="5030" spans="1:7" x14ac:dyDescent="0.3">
      <c r="A5030" s="84">
        <v>2026</v>
      </c>
      <c r="B5030" s="84" t="s">
        <v>399</v>
      </c>
      <c r="C5030" s="84">
        <v>18</v>
      </c>
      <c r="D5030" s="84">
        <v>19</v>
      </c>
      <c r="E5030" s="85">
        <v>16809.8</v>
      </c>
      <c r="F5030" s="85">
        <v>17219.86</v>
      </c>
      <c r="G5030" s="85">
        <v>410.06</v>
      </c>
    </row>
    <row r="5031" spans="1:7" x14ac:dyDescent="0.3">
      <c r="A5031" s="84">
        <v>2026</v>
      </c>
      <c r="B5031" s="84" t="s">
        <v>399</v>
      </c>
      <c r="C5031" s="84">
        <v>18</v>
      </c>
      <c r="D5031" s="84">
        <v>20</v>
      </c>
      <c r="E5031" s="85">
        <v>16809.8</v>
      </c>
      <c r="F5031" s="85">
        <v>17629.64</v>
      </c>
      <c r="G5031" s="85">
        <v>819.84</v>
      </c>
    </row>
    <row r="5032" spans="1:7" x14ac:dyDescent="0.3">
      <c r="A5032" s="84">
        <v>2026</v>
      </c>
      <c r="B5032" s="84" t="s">
        <v>399</v>
      </c>
      <c r="C5032" s="84">
        <v>18</v>
      </c>
      <c r="D5032" s="84">
        <v>21</v>
      </c>
      <c r="E5032" s="85">
        <v>16809.8</v>
      </c>
      <c r="F5032" s="85">
        <v>18243.82</v>
      </c>
      <c r="G5032" s="85">
        <v>1434.02</v>
      </c>
    </row>
    <row r="5033" spans="1:7" x14ac:dyDescent="0.3">
      <c r="A5033" s="84">
        <v>2026</v>
      </c>
      <c r="B5033" s="84" t="s">
        <v>399</v>
      </c>
      <c r="C5033" s="84">
        <v>18</v>
      </c>
      <c r="D5033" s="84">
        <v>22</v>
      </c>
      <c r="E5033" s="85">
        <v>16809.8</v>
      </c>
      <c r="F5033" s="85">
        <v>18909.099999999999</v>
      </c>
      <c r="G5033" s="85">
        <v>2099.3000000000002</v>
      </c>
    </row>
    <row r="5034" spans="1:7" x14ac:dyDescent="0.3">
      <c r="A5034" s="84">
        <v>2026</v>
      </c>
      <c r="B5034" s="84" t="s">
        <v>399</v>
      </c>
      <c r="C5034" s="84">
        <v>18</v>
      </c>
      <c r="D5034" s="84">
        <v>23</v>
      </c>
      <c r="E5034" s="85">
        <v>16809.8</v>
      </c>
      <c r="F5034" s="85">
        <v>19576.759999999998</v>
      </c>
      <c r="G5034" s="85">
        <v>2766.96</v>
      </c>
    </row>
    <row r="5035" spans="1:7" x14ac:dyDescent="0.3">
      <c r="A5035" s="84">
        <v>2026</v>
      </c>
      <c r="B5035" s="84" t="s">
        <v>399</v>
      </c>
      <c r="C5035" s="84">
        <v>18</v>
      </c>
      <c r="D5035" s="84">
        <v>24</v>
      </c>
      <c r="E5035" s="85">
        <v>16809.8</v>
      </c>
      <c r="F5035" s="85">
        <v>20242.88</v>
      </c>
      <c r="G5035" s="85">
        <v>3433.08</v>
      </c>
    </row>
    <row r="5036" spans="1:7" x14ac:dyDescent="0.3">
      <c r="A5036" s="84">
        <v>2026</v>
      </c>
      <c r="B5036" s="84" t="s">
        <v>399</v>
      </c>
      <c r="C5036" s="84">
        <v>18</v>
      </c>
      <c r="D5036" s="84">
        <v>25</v>
      </c>
      <c r="E5036" s="85">
        <v>16809.8</v>
      </c>
      <c r="F5036" s="85">
        <v>20909.84</v>
      </c>
      <c r="G5036" s="85">
        <v>4100.04</v>
      </c>
    </row>
    <row r="5037" spans="1:7" x14ac:dyDescent="0.3">
      <c r="A5037" s="84">
        <v>2026</v>
      </c>
      <c r="B5037" s="84" t="s">
        <v>399</v>
      </c>
      <c r="C5037" s="84">
        <v>18</v>
      </c>
      <c r="D5037" s="84">
        <v>26</v>
      </c>
      <c r="E5037" s="85">
        <v>16809.8</v>
      </c>
      <c r="F5037" s="85">
        <v>22346.799999999999</v>
      </c>
      <c r="G5037" s="85">
        <v>5537</v>
      </c>
    </row>
    <row r="5038" spans="1:7" x14ac:dyDescent="0.3">
      <c r="A5038" s="84">
        <v>2026</v>
      </c>
      <c r="B5038" s="84" t="s">
        <v>399</v>
      </c>
      <c r="C5038" s="84">
        <v>18</v>
      </c>
      <c r="D5038" s="84">
        <v>27</v>
      </c>
      <c r="E5038" s="85">
        <v>16809.8</v>
      </c>
      <c r="F5038" s="85">
        <v>24128.720000000001</v>
      </c>
      <c r="G5038" s="85">
        <v>7318.92</v>
      </c>
    </row>
    <row r="5039" spans="1:7" x14ac:dyDescent="0.3">
      <c r="A5039" s="84">
        <v>2026</v>
      </c>
      <c r="B5039" s="84" t="s">
        <v>399</v>
      </c>
      <c r="C5039" s="84">
        <v>18</v>
      </c>
      <c r="D5039" s="84">
        <v>28</v>
      </c>
      <c r="E5039" s="85">
        <v>16809.8</v>
      </c>
      <c r="F5039" s="85">
        <v>24795.82</v>
      </c>
      <c r="G5039" s="85">
        <v>7986.02</v>
      </c>
    </row>
    <row r="5040" spans="1:7" x14ac:dyDescent="0.3">
      <c r="A5040" s="84">
        <v>2026</v>
      </c>
      <c r="B5040" s="84" t="s">
        <v>399</v>
      </c>
      <c r="C5040" s="84">
        <v>18</v>
      </c>
      <c r="D5040" s="84">
        <v>29</v>
      </c>
      <c r="E5040" s="85">
        <v>16809.8</v>
      </c>
      <c r="F5040" s="85">
        <v>25461.94</v>
      </c>
      <c r="G5040" s="85">
        <v>8652.14</v>
      </c>
    </row>
    <row r="5041" spans="1:7" x14ac:dyDescent="0.3">
      <c r="A5041" s="84">
        <v>2026</v>
      </c>
      <c r="B5041" s="84" t="s">
        <v>399</v>
      </c>
      <c r="C5041" s="84">
        <v>18</v>
      </c>
      <c r="D5041" s="84">
        <v>30</v>
      </c>
      <c r="E5041" s="85">
        <v>16809.8</v>
      </c>
      <c r="F5041" s="85">
        <v>27284.38</v>
      </c>
      <c r="G5041" s="85">
        <v>10474.58</v>
      </c>
    </row>
    <row r="5042" spans="1:7" x14ac:dyDescent="0.3">
      <c r="A5042" s="84">
        <v>2026</v>
      </c>
      <c r="B5042" s="84" t="s">
        <v>399</v>
      </c>
      <c r="C5042" s="84">
        <v>19</v>
      </c>
      <c r="D5042" s="84">
        <v>1</v>
      </c>
      <c r="E5042" s="85">
        <v>17219.86</v>
      </c>
      <c r="F5042" s="85">
        <v>11279.66</v>
      </c>
      <c r="G5042" s="85">
        <v>-5940.2</v>
      </c>
    </row>
    <row r="5043" spans="1:7" x14ac:dyDescent="0.3">
      <c r="A5043" s="84">
        <v>2026</v>
      </c>
      <c r="B5043" s="84" t="s">
        <v>399</v>
      </c>
      <c r="C5043" s="84">
        <v>19</v>
      </c>
      <c r="D5043" s="84">
        <v>2</v>
      </c>
      <c r="E5043" s="85">
        <v>17219.86</v>
      </c>
      <c r="F5043" s="85">
        <v>11586.96</v>
      </c>
      <c r="G5043" s="85">
        <v>-5632.9</v>
      </c>
    </row>
    <row r="5044" spans="1:7" x14ac:dyDescent="0.3">
      <c r="A5044" s="84">
        <v>2026</v>
      </c>
      <c r="B5044" s="84" t="s">
        <v>399</v>
      </c>
      <c r="C5044" s="84">
        <v>19</v>
      </c>
      <c r="D5044" s="84">
        <v>3</v>
      </c>
      <c r="E5044" s="85">
        <v>17219.86</v>
      </c>
      <c r="F5044" s="85">
        <v>11894.54</v>
      </c>
      <c r="G5044" s="85">
        <v>-5325.32</v>
      </c>
    </row>
    <row r="5045" spans="1:7" x14ac:dyDescent="0.3">
      <c r="A5045" s="84">
        <v>2026</v>
      </c>
      <c r="B5045" s="84" t="s">
        <v>399</v>
      </c>
      <c r="C5045" s="84">
        <v>19</v>
      </c>
      <c r="D5045" s="84">
        <v>4</v>
      </c>
      <c r="E5045" s="85">
        <v>17219.86</v>
      </c>
      <c r="F5045" s="85">
        <v>12200.86</v>
      </c>
      <c r="G5045" s="85">
        <v>-5019</v>
      </c>
    </row>
    <row r="5046" spans="1:7" x14ac:dyDescent="0.3">
      <c r="A5046" s="84">
        <v>2026</v>
      </c>
      <c r="B5046" s="84" t="s">
        <v>399</v>
      </c>
      <c r="C5046" s="84">
        <v>19</v>
      </c>
      <c r="D5046" s="84">
        <v>5</v>
      </c>
      <c r="E5046" s="85">
        <v>17219.86</v>
      </c>
      <c r="F5046" s="85">
        <v>12507.88</v>
      </c>
      <c r="G5046" s="85">
        <v>-4711.9799999999996</v>
      </c>
    </row>
    <row r="5047" spans="1:7" x14ac:dyDescent="0.3">
      <c r="A5047" s="84">
        <v>2026</v>
      </c>
      <c r="B5047" s="84" t="s">
        <v>399</v>
      </c>
      <c r="C5047" s="84">
        <v>19</v>
      </c>
      <c r="D5047" s="84">
        <v>6</v>
      </c>
      <c r="E5047" s="85">
        <v>17219.86</v>
      </c>
      <c r="F5047" s="85">
        <v>12712.7</v>
      </c>
      <c r="G5047" s="85">
        <v>-4507.16</v>
      </c>
    </row>
    <row r="5048" spans="1:7" x14ac:dyDescent="0.3">
      <c r="A5048" s="84">
        <v>2026</v>
      </c>
      <c r="B5048" s="84" t="s">
        <v>399</v>
      </c>
      <c r="C5048" s="84">
        <v>19</v>
      </c>
      <c r="D5048" s="84">
        <v>7</v>
      </c>
      <c r="E5048" s="85">
        <v>17219.86</v>
      </c>
      <c r="F5048" s="85">
        <v>12917.94</v>
      </c>
      <c r="G5048" s="85">
        <v>-4301.92</v>
      </c>
    </row>
    <row r="5049" spans="1:7" x14ac:dyDescent="0.3">
      <c r="A5049" s="84">
        <v>2026</v>
      </c>
      <c r="B5049" s="84" t="s">
        <v>399</v>
      </c>
      <c r="C5049" s="84">
        <v>19</v>
      </c>
      <c r="D5049" s="84">
        <v>8</v>
      </c>
      <c r="E5049" s="85">
        <v>17219.86</v>
      </c>
      <c r="F5049" s="85">
        <v>13122.48</v>
      </c>
      <c r="G5049" s="85">
        <v>-4097.38</v>
      </c>
    </row>
    <row r="5050" spans="1:7" x14ac:dyDescent="0.3">
      <c r="A5050" s="84">
        <v>2026</v>
      </c>
      <c r="B5050" s="84" t="s">
        <v>399</v>
      </c>
      <c r="C5050" s="84">
        <v>19</v>
      </c>
      <c r="D5050" s="84">
        <v>9</v>
      </c>
      <c r="E5050" s="85">
        <v>17219.86</v>
      </c>
      <c r="F5050" s="85">
        <v>13327.86</v>
      </c>
      <c r="G5050" s="85">
        <v>-3892</v>
      </c>
    </row>
    <row r="5051" spans="1:7" x14ac:dyDescent="0.3">
      <c r="A5051" s="84">
        <v>2026</v>
      </c>
      <c r="B5051" s="84" t="s">
        <v>399</v>
      </c>
      <c r="C5051" s="84">
        <v>19</v>
      </c>
      <c r="D5051" s="84">
        <v>10</v>
      </c>
      <c r="E5051" s="85">
        <v>17219.86</v>
      </c>
      <c r="F5051" s="85">
        <v>13532.82</v>
      </c>
      <c r="G5051" s="85">
        <v>-3687.04</v>
      </c>
    </row>
    <row r="5052" spans="1:7" x14ac:dyDescent="0.3">
      <c r="A5052" s="84">
        <v>2026</v>
      </c>
      <c r="B5052" s="84" t="s">
        <v>399</v>
      </c>
      <c r="C5052" s="84">
        <v>19</v>
      </c>
      <c r="D5052" s="84">
        <v>11</v>
      </c>
      <c r="E5052" s="85">
        <v>17219.86</v>
      </c>
      <c r="F5052" s="85">
        <v>13941.62</v>
      </c>
      <c r="G5052" s="85">
        <v>-3278.24</v>
      </c>
    </row>
    <row r="5053" spans="1:7" x14ac:dyDescent="0.3">
      <c r="A5053" s="84">
        <v>2026</v>
      </c>
      <c r="B5053" s="84" t="s">
        <v>399</v>
      </c>
      <c r="C5053" s="84">
        <v>19</v>
      </c>
      <c r="D5053" s="84">
        <v>12</v>
      </c>
      <c r="E5053" s="85">
        <v>17219.86</v>
      </c>
      <c r="F5053" s="85">
        <v>14351.54</v>
      </c>
      <c r="G5053" s="85">
        <v>-2868.32</v>
      </c>
    </row>
    <row r="5054" spans="1:7" x14ac:dyDescent="0.3">
      <c r="A5054" s="84">
        <v>2026</v>
      </c>
      <c r="B5054" s="84" t="s">
        <v>399</v>
      </c>
      <c r="C5054" s="84">
        <v>19</v>
      </c>
      <c r="D5054" s="84">
        <v>13</v>
      </c>
      <c r="E5054" s="85">
        <v>17219.86</v>
      </c>
      <c r="F5054" s="85">
        <v>14761.32</v>
      </c>
      <c r="G5054" s="85">
        <v>-2458.54</v>
      </c>
    </row>
    <row r="5055" spans="1:7" x14ac:dyDescent="0.3">
      <c r="A5055" s="84">
        <v>2026</v>
      </c>
      <c r="B5055" s="84" t="s">
        <v>399</v>
      </c>
      <c r="C5055" s="84">
        <v>19</v>
      </c>
      <c r="D5055" s="84">
        <v>14</v>
      </c>
      <c r="E5055" s="85">
        <v>17219.86</v>
      </c>
      <c r="F5055" s="85">
        <v>15171.52</v>
      </c>
      <c r="G5055" s="85">
        <v>-2048.34</v>
      </c>
    </row>
    <row r="5056" spans="1:7" x14ac:dyDescent="0.3">
      <c r="A5056" s="84">
        <v>2026</v>
      </c>
      <c r="B5056" s="84" t="s">
        <v>399</v>
      </c>
      <c r="C5056" s="84">
        <v>19</v>
      </c>
      <c r="D5056" s="84">
        <v>15</v>
      </c>
      <c r="E5056" s="85">
        <v>17219.86</v>
      </c>
      <c r="F5056" s="85">
        <v>15581.16</v>
      </c>
      <c r="G5056" s="85">
        <v>-1638.7</v>
      </c>
    </row>
    <row r="5057" spans="1:7" x14ac:dyDescent="0.3">
      <c r="A5057" s="84">
        <v>2026</v>
      </c>
      <c r="B5057" s="84" t="s">
        <v>399</v>
      </c>
      <c r="C5057" s="84">
        <v>19</v>
      </c>
      <c r="D5057" s="84">
        <v>16</v>
      </c>
      <c r="E5057" s="85">
        <v>17219.86</v>
      </c>
      <c r="F5057" s="85">
        <v>15990.8</v>
      </c>
      <c r="G5057" s="85">
        <v>-1229.06</v>
      </c>
    </row>
    <row r="5058" spans="1:7" x14ac:dyDescent="0.3">
      <c r="A5058" s="84">
        <v>2026</v>
      </c>
      <c r="B5058" s="84" t="s">
        <v>399</v>
      </c>
      <c r="C5058" s="84">
        <v>19</v>
      </c>
      <c r="D5058" s="84">
        <v>17</v>
      </c>
      <c r="E5058" s="85">
        <v>17219.86</v>
      </c>
      <c r="F5058" s="85">
        <v>16399.88</v>
      </c>
      <c r="G5058" s="85">
        <v>-819.98</v>
      </c>
    </row>
    <row r="5059" spans="1:7" x14ac:dyDescent="0.3">
      <c r="A5059" s="84">
        <v>2026</v>
      </c>
      <c r="B5059" s="84" t="s">
        <v>399</v>
      </c>
      <c r="C5059" s="84">
        <v>19</v>
      </c>
      <c r="D5059" s="84">
        <v>18</v>
      </c>
      <c r="E5059" s="85">
        <v>17219.86</v>
      </c>
      <c r="F5059" s="85">
        <v>16809.8</v>
      </c>
      <c r="G5059" s="85">
        <v>-410.06</v>
      </c>
    </row>
    <row r="5060" spans="1:7" x14ac:dyDescent="0.3">
      <c r="A5060" s="84">
        <v>2026</v>
      </c>
      <c r="B5060" s="84" t="s">
        <v>399</v>
      </c>
      <c r="C5060" s="84">
        <v>19</v>
      </c>
      <c r="D5060" s="84">
        <v>19</v>
      </c>
      <c r="E5060" s="85">
        <v>17219.86</v>
      </c>
      <c r="F5060" s="85">
        <v>17219.86</v>
      </c>
      <c r="G5060" s="85">
        <v>0</v>
      </c>
    </row>
    <row r="5061" spans="1:7" x14ac:dyDescent="0.3">
      <c r="A5061" s="84">
        <v>2026</v>
      </c>
      <c r="B5061" s="84" t="s">
        <v>399</v>
      </c>
      <c r="C5061" s="84">
        <v>19</v>
      </c>
      <c r="D5061" s="84">
        <v>20</v>
      </c>
      <c r="E5061" s="85">
        <v>17219.86</v>
      </c>
      <c r="F5061" s="85">
        <v>17629.64</v>
      </c>
      <c r="G5061" s="85">
        <v>409.78</v>
      </c>
    </row>
    <row r="5062" spans="1:7" x14ac:dyDescent="0.3">
      <c r="A5062" s="84">
        <v>2026</v>
      </c>
      <c r="B5062" s="84" t="s">
        <v>399</v>
      </c>
      <c r="C5062" s="84">
        <v>19</v>
      </c>
      <c r="D5062" s="84">
        <v>21</v>
      </c>
      <c r="E5062" s="85">
        <v>17219.86</v>
      </c>
      <c r="F5062" s="85">
        <v>18243.82</v>
      </c>
      <c r="G5062" s="85">
        <v>1023.96</v>
      </c>
    </row>
    <row r="5063" spans="1:7" x14ac:dyDescent="0.3">
      <c r="A5063" s="84">
        <v>2026</v>
      </c>
      <c r="B5063" s="84" t="s">
        <v>399</v>
      </c>
      <c r="C5063" s="84">
        <v>19</v>
      </c>
      <c r="D5063" s="84">
        <v>22</v>
      </c>
      <c r="E5063" s="85">
        <v>17219.86</v>
      </c>
      <c r="F5063" s="85">
        <v>18909.099999999999</v>
      </c>
      <c r="G5063" s="85">
        <v>1689.24</v>
      </c>
    </row>
    <row r="5064" spans="1:7" x14ac:dyDescent="0.3">
      <c r="A5064" s="84">
        <v>2026</v>
      </c>
      <c r="B5064" s="84" t="s">
        <v>399</v>
      </c>
      <c r="C5064" s="84">
        <v>19</v>
      </c>
      <c r="D5064" s="84">
        <v>23</v>
      </c>
      <c r="E5064" s="85">
        <v>17219.86</v>
      </c>
      <c r="F5064" s="85">
        <v>19576.759999999998</v>
      </c>
      <c r="G5064" s="85">
        <v>2356.9</v>
      </c>
    </row>
    <row r="5065" spans="1:7" x14ac:dyDescent="0.3">
      <c r="A5065" s="84">
        <v>2026</v>
      </c>
      <c r="B5065" s="84" t="s">
        <v>399</v>
      </c>
      <c r="C5065" s="84">
        <v>19</v>
      </c>
      <c r="D5065" s="84">
        <v>24</v>
      </c>
      <c r="E5065" s="85">
        <v>17219.86</v>
      </c>
      <c r="F5065" s="85">
        <v>20242.88</v>
      </c>
      <c r="G5065" s="85">
        <v>3023.02</v>
      </c>
    </row>
    <row r="5066" spans="1:7" x14ac:dyDescent="0.3">
      <c r="A5066" s="84">
        <v>2026</v>
      </c>
      <c r="B5066" s="84" t="s">
        <v>399</v>
      </c>
      <c r="C5066" s="84">
        <v>19</v>
      </c>
      <c r="D5066" s="84">
        <v>25</v>
      </c>
      <c r="E5066" s="85">
        <v>17219.86</v>
      </c>
      <c r="F5066" s="85">
        <v>20909.84</v>
      </c>
      <c r="G5066" s="85">
        <v>3689.98</v>
      </c>
    </row>
    <row r="5067" spans="1:7" x14ac:dyDescent="0.3">
      <c r="A5067" s="84">
        <v>2026</v>
      </c>
      <c r="B5067" s="84" t="s">
        <v>399</v>
      </c>
      <c r="C5067" s="84">
        <v>19</v>
      </c>
      <c r="D5067" s="84">
        <v>26</v>
      </c>
      <c r="E5067" s="85">
        <v>17219.86</v>
      </c>
      <c r="F5067" s="85">
        <v>22346.799999999999</v>
      </c>
      <c r="G5067" s="85">
        <v>5126.9399999999996</v>
      </c>
    </row>
    <row r="5068" spans="1:7" x14ac:dyDescent="0.3">
      <c r="A5068" s="84">
        <v>2026</v>
      </c>
      <c r="B5068" s="84" t="s">
        <v>399</v>
      </c>
      <c r="C5068" s="84">
        <v>19</v>
      </c>
      <c r="D5068" s="84">
        <v>27</v>
      </c>
      <c r="E5068" s="85">
        <v>17219.86</v>
      </c>
      <c r="F5068" s="85">
        <v>24128.720000000001</v>
      </c>
      <c r="G5068" s="85">
        <v>6908.86</v>
      </c>
    </row>
    <row r="5069" spans="1:7" x14ac:dyDescent="0.3">
      <c r="A5069" s="84">
        <v>2026</v>
      </c>
      <c r="B5069" s="84" t="s">
        <v>399</v>
      </c>
      <c r="C5069" s="84">
        <v>19</v>
      </c>
      <c r="D5069" s="84">
        <v>28</v>
      </c>
      <c r="E5069" s="85">
        <v>17219.86</v>
      </c>
      <c r="F5069" s="85">
        <v>24795.82</v>
      </c>
      <c r="G5069" s="85">
        <v>7575.96</v>
      </c>
    </row>
    <row r="5070" spans="1:7" x14ac:dyDescent="0.3">
      <c r="A5070" s="84">
        <v>2026</v>
      </c>
      <c r="B5070" s="84" t="s">
        <v>399</v>
      </c>
      <c r="C5070" s="84">
        <v>19</v>
      </c>
      <c r="D5070" s="84">
        <v>29</v>
      </c>
      <c r="E5070" s="85">
        <v>17219.86</v>
      </c>
      <c r="F5070" s="85">
        <v>25461.94</v>
      </c>
      <c r="G5070" s="85">
        <v>8242.08</v>
      </c>
    </row>
    <row r="5071" spans="1:7" x14ac:dyDescent="0.3">
      <c r="A5071" s="84">
        <v>2026</v>
      </c>
      <c r="B5071" s="84" t="s">
        <v>399</v>
      </c>
      <c r="C5071" s="84">
        <v>19</v>
      </c>
      <c r="D5071" s="84">
        <v>30</v>
      </c>
      <c r="E5071" s="85">
        <v>17219.86</v>
      </c>
      <c r="F5071" s="85">
        <v>27284.38</v>
      </c>
      <c r="G5071" s="85">
        <v>10064.52</v>
      </c>
    </row>
    <row r="5072" spans="1:7" x14ac:dyDescent="0.3">
      <c r="A5072" s="84">
        <v>2026</v>
      </c>
      <c r="B5072" s="84" t="s">
        <v>399</v>
      </c>
      <c r="C5072" s="84">
        <v>20</v>
      </c>
      <c r="D5072" s="84">
        <v>1</v>
      </c>
      <c r="E5072" s="85">
        <v>17629.64</v>
      </c>
      <c r="F5072" s="85">
        <v>11279.66</v>
      </c>
      <c r="G5072" s="85">
        <v>-6349.98</v>
      </c>
    </row>
    <row r="5073" spans="1:7" x14ac:dyDescent="0.3">
      <c r="A5073" s="84">
        <v>2026</v>
      </c>
      <c r="B5073" s="84" t="s">
        <v>399</v>
      </c>
      <c r="C5073" s="84">
        <v>20</v>
      </c>
      <c r="D5073" s="84">
        <v>2</v>
      </c>
      <c r="E5073" s="85">
        <v>17629.64</v>
      </c>
      <c r="F5073" s="85">
        <v>11586.96</v>
      </c>
      <c r="G5073" s="85">
        <v>-6042.68</v>
      </c>
    </row>
    <row r="5074" spans="1:7" x14ac:dyDescent="0.3">
      <c r="A5074" s="84">
        <v>2026</v>
      </c>
      <c r="B5074" s="84" t="s">
        <v>399</v>
      </c>
      <c r="C5074" s="84">
        <v>20</v>
      </c>
      <c r="D5074" s="84">
        <v>3</v>
      </c>
      <c r="E5074" s="85">
        <v>17629.64</v>
      </c>
      <c r="F5074" s="85">
        <v>11894.54</v>
      </c>
      <c r="G5074" s="85">
        <v>-5735.1</v>
      </c>
    </row>
    <row r="5075" spans="1:7" x14ac:dyDescent="0.3">
      <c r="A5075" s="84">
        <v>2026</v>
      </c>
      <c r="B5075" s="84" t="s">
        <v>399</v>
      </c>
      <c r="C5075" s="84">
        <v>20</v>
      </c>
      <c r="D5075" s="84">
        <v>4</v>
      </c>
      <c r="E5075" s="85">
        <v>17629.64</v>
      </c>
      <c r="F5075" s="85">
        <v>12200.86</v>
      </c>
      <c r="G5075" s="85">
        <v>-5428.78</v>
      </c>
    </row>
    <row r="5076" spans="1:7" x14ac:dyDescent="0.3">
      <c r="A5076" s="84">
        <v>2026</v>
      </c>
      <c r="B5076" s="84" t="s">
        <v>399</v>
      </c>
      <c r="C5076" s="84">
        <v>20</v>
      </c>
      <c r="D5076" s="84">
        <v>5</v>
      </c>
      <c r="E5076" s="85">
        <v>17629.64</v>
      </c>
      <c r="F5076" s="85">
        <v>12507.88</v>
      </c>
      <c r="G5076" s="85">
        <v>-5121.76</v>
      </c>
    </row>
    <row r="5077" spans="1:7" x14ac:dyDescent="0.3">
      <c r="A5077" s="84">
        <v>2026</v>
      </c>
      <c r="B5077" s="84" t="s">
        <v>399</v>
      </c>
      <c r="C5077" s="84">
        <v>20</v>
      </c>
      <c r="D5077" s="84">
        <v>6</v>
      </c>
      <c r="E5077" s="85">
        <v>17629.64</v>
      </c>
      <c r="F5077" s="85">
        <v>12712.7</v>
      </c>
      <c r="G5077" s="85">
        <v>-4916.9399999999996</v>
      </c>
    </row>
    <row r="5078" spans="1:7" x14ac:dyDescent="0.3">
      <c r="A5078" s="84">
        <v>2026</v>
      </c>
      <c r="B5078" s="84" t="s">
        <v>399</v>
      </c>
      <c r="C5078" s="84">
        <v>20</v>
      </c>
      <c r="D5078" s="84">
        <v>7</v>
      </c>
      <c r="E5078" s="85">
        <v>17629.64</v>
      </c>
      <c r="F5078" s="85">
        <v>12917.94</v>
      </c>
      <c r="G5078" s="85">
        <v>-4711.7</v>
      </c>
    </row>
    <row r="5079" spans="1:7" x14ac:dyDescent="0.3">
      <c r="A5079" s="84">
        <v>2026</v>
      </c>
      <c r="B5079" s="84" t="s">
        <v>399</v>
      </c>
      <c r="C5079" s="84">
        <v>20</v>
      </c>
      <c r="D5079" s="84">
        <v>8</v>
      </c>
      <c r="E5079" s="85">
        <v>17629.64</v>
      </c>
      <c r="F5079" s="85">
        <v>13122.48</v>
      </c>
      <c r="G5079" s="85">
        <v>-4507.16</v>
      </c>
    </row>
    <row r="5080" spans="1:7" x14ac:dyDescent="0.3">
      <c r="A5080" s="84">
        <v>2026</v>
      </c>
      <c r="B5080" s="84" t="s">
        <v>399</v>
      </c>
      <c r="C5080" s="84">
        <v>20</v>
      </c>
      <c r="D5080" s="84">
        <v>9</v>
      </c>
      <c r="E5080" s="85">
        <v>17629.64</v>
      </c>
      <c r="F5080" s="85">
        <v>13327.86</v>
      </c>
      <c r="G5080" s="85">
        <v>-4301.78</v>
      </c>
    </row>
    <row r="5081" spans="1:7" x14ac:dyDescent="0.3">
      <c r="A5081" s="84">
        <v>2026</v>
      </c>
      <c r="B5081" s="84" t="s">
        <v>399</v>
      </c>
      <c r="C5081" s="84">
        <v>20</v>
      </c>
      <c r="D5081" s="84">
        <v>10</v>
      </c>
      <c r="E5081" s="85">
        <v>17629.64</v>
      </c>
      <c r="F5081" s="85">
        <v>13532.82</v>
      </c>
      <c r="G5081" s="85">
        <v>-4096.82</v>
      </c>
    </row>
    <row r="5082" spans="1:7" x14ac:dyDescent="0.3">
      <c r="A5082" s="84">
        <v>2026</v>
      </c>
      <c r="B5082" s="84" t="s">
        <v>399</v>
      </c>
      <c r="C5082" s="84">
        <v>20</v>
      </c>
      <c r="D5082" s="84">
        <v>11</v>
      </c>
      <c r="E5082" s="85">
        <v>17629.64</v>
      </c>
      <c r="F5082" s="85">
        <v>13941.62</v>
      </c>
      <c r="G5082" s="85">
        <v>-3688.02</v>
      </c>
    </row>
    <row r="5083" spans="1:7" x14ac:dyDescent="0.3">
      <c r="A5083" s="84">
        <v>2026</v>
      </c>
      <c r="B5083" s="84" t="s">
        <v>399</v>
      </c>
      <c r="C5083" s="84">
        <v>20</v>
      </c>
      <c r="D5083" s="84">
        <v>12</v>
      </c>
      <c r="E5083" s="85">
        <v>17629.64</v>
      </c>
      <c r="F5083" s="85">
        <v>14351.54</v>
      </c>
      <c r="G5083" s="85">
        <v>-3278.1</v>
      </c>
    </row>
    <row r="5084" spans="1:7" x14ac:dyDescent="0.3">
      <c r="A5084" s="84">
        <v>2026</v>
      </c>
      <c r="B5084" s="84" t="s">
        <v>399</v>
      </c>
      <c r="C5084" s="84">
        <v>20</v>
      </c>
      <c r="D5084" s="84">
        <v>13</v>
      </c>
      <c r="E5084" s="85">
        <v>17629.64</v>
      </c>
      <c r="F5084" s="85">
        <v>14761.32</v>
      </c>
      <c r="G5084" s="85">
        <v>-2868.32</v>
      </c>
    </row>
    <row r="5085" spans="1:7" x14ac:dyDescent="0.3">
      <c r="A5085" s="84">
        <v>2026</v>
      </c>
      <c r="B5085" s="84" t="s">
        <v>399</v>
      </c>
      <c r="C5085" s="84">
        <v>20</v>
      </c>
      <c r="D5085" s="84">
        <v>14</v>
      </c>
      <c r="E5085" s="85">
        <v>17629.64</v>
      </c>
      <c r="F5085" s="85">
        <v>15171.52</v>
      </c>
      <c r="G5085" s="85">
        <v>-2458.12</v>
      </c>
    </row>
    <row r="5086" spans="1:7" x14ac:dyDescent="0.3">
      <c r="A5086" s="84">
        <v>2026</v>
      </c>
      <c r="B5086" s="84" t="s">
        <v>399</v>
      </c>
      <c r="C5086" s="84">
        <v>20</v>
      </c>
      <c r="D5086" s="84">
        <v>15</v>
      </c>
      <c r="E5086" s="85">
        <v>17629.64</v>
      </c>
      <c r="F5086" s="85">
        <v>15581.16</v>
      </c>
      <c r="G5086" s="85">
        <v>-2048.48</v>
      </c>
    </row>
    <row r="5087" spans="1:7" x14ac:dyDescent="0.3">
      <c r="A5087" s="84">
        <v>2026</v>
      </c>
      <c r="B5087" s="84" t="s">
        <v>399</v>
      </c>
      <c r="C5087" s="84">
        <v>20</v>
      </c>
      <c r="D5087" s="84">
        <v>16</v>
      </c>
      <c r="E5087" s="85">
        <v>17629.64</v>
      </c>
      <c r="F5087" s="85">
        <v>15990.8</v>
      </c>
      <c r="G5087" s="85">
        <v>-1638.84</v>
      </c>
    </row>
    <row r="5088" spans="1:7" x14ac:dyDescent="0.3">
      <c r="A5088" s="84">
        <v>2026</v>
      </c>
      <c r="B5088" s="84" t="s">
        <v>399</v>
      </c>
      <c r="C5088" s="84">
        <v>20</v>
      </c>
      <c r="D5088" s="84">
        <v>17</v>
      </c>
      <c r="E5088" s="85">
        <v>17629.64</v>
      </c>
      <c r="F5088" s="85">
        <v>16399.88</v>
      </c>
      <c r="G5088" s="85">
        <v>-1229.76</v>
      </c>
    </row>
    <row r="5089" spans="1:7" x14ac:dyDescent="0.3">
      <c r="A5089" s="84">
        <v>2026</v>
      </c>
      <c r="B5089" s="84" t="s">
        <v>399</v>
      </c>
      <c r="C5089" s="84">
        <v>20</v>
      </c>
      <c r="D5089" s="84">
        <v>18</v>
      </c>
      <c r="E5089" s="85">
        <v>17629.64</v>
      </c>
      <c r="F5089" s="85">
        <v>16809.8</v>
      </c>
      <c r="G5089" s="85">
        <v>-819.84</v>
      </c>
    </row>
    <row r="5090" spans="1:7" x14ac:dyDescent="0.3">
      <c r="A5090" s="84">
        <v>2026</v>
      </c>
      <c r="B5090" s="84" t="s">
        <v>399</v>
      </c>
      <c r="C5090" s="84">
        <v>20</v>
      </c>
      <c r="D5090" s="84">
        <v>19</v>
      </c>
      <c r="E5090" s="85">
        <v>17629.64</v>
      </c>
      <c r="F5090" s="85">
        <v>17219.86</v>
      </c>
      <c r="G5090" s="85">
        <v>-409.78</v>
      </c>
    </row>
    <row r="5091" spans="1:7" x14ac:dyDescent="0.3">
      <c r="A5091" s="84">
        <v>2026</v>
      </c>
      <c r="B5091" s="84" t="s">
        <v>399</v>
      </c>
      <c r="C5091" s="84">
        <v>20</v>
      </c>
      <c r="D5091" s="84">
        <v>20</v>
      </c>
      <c r="E5091" s="85">
        <v>17629.64</v>
      </c>
      <c r="F5091" s="85">
        <v>17629.64</v>
      </c>
      <c r="G5091" s="85">
        <v>0</v>
      </c>
    </row>
    <row r="5092" spans="1:7" x14ac:dyDescent="0.3">
      <c r="A5092" s="84">
        <v>2026</v>
      </c>
      <c r="B5092" s="84" t="s">
        <v>399</v>
      </c>
      <c r="C5092" s="84">
        <v>20</v>
      </c>
      <c r="D5092" s="84">
        <v>21</v>
      </c>
      <c r="E5092" s="85">
        <v>17629.64</v>
      </c>
      <c r="F5092" s="85">
        <v>18243.82</v>
      </c>
      <c r="G5092" s="85">
        <v>614.17999999999995</v>
      </c>
    </row>
    <row r="5093" spans="1:7" x14ac:dyDescent="0.3">
      <c r="A5093" s="84">
        <v>2026</v>
      </c>
      <c r="B5093" s="84" t="s">
        <v>399</v>
      </c>
      <c r="C5093" s="84">
        <v>20</v>
      </c>
      <c r="D5093" s="84">
        <v>22</v>
      </c>
      <c r="E5093" s="85">
        <v>17629.64</v>
      </c>
      <c r="F5093" s="85">
        <v>18909.099999999999</v>
      </c>
      <c r="G5093" s="85">
        <v>1279.46</v>
      </c>
    </row>
    <row r="5094" spans="1:7" x14ac:dyDescent="0.3">
      <c r="A5094" s="84">
        <v>2026</v>
      </c>
      <c r="B5094" s="84" t="s">
        <v>399</v>
      </c>
      <c r="C5094" s="84">
        <v>20</v>
      </c>
      <c r="D5094" s="84">
        <v>23</v>
      </c>
      <c r="E5094" s="85">
        <v>17629.64</v>
      </c>
      <c r="F5094" s="85">
        <v>19576.759999999998</v>
      </c>
      <c r="G5094" s="85">
        <v>1947.12</v>
      </c>
    </row>
    <row r="5095" spans="1:7" x14ac:dyDescent="0.3">
      <c r="A5095" s="84">
        <v>2026</v>
      </c>
      <c r="B5095" s="84" t="s">
        <v>399</v>
      </c>
      <c r="C5095" s="84">
        <v>20</v>
      </c>
      <c r="D5095" s="84">
        <v>24</v>
      </c>
      <c r="E5095" s="85">
        <v>17629.64</v>
      </c>
      <c r="F5095" s="85">
        <v>20242.88</v>
      </c>
      <c r="G5095" s="85">
        <v>2613.2399999999998</v>
      </c>
    </row>
    <row r="5096" spans="1:7" x14ac:dyDescent="0.3">
      <c r="A5096" s="84">
        <v>2026</v>
      </c>
      <c r="B5096" s="84" t="s">
        <v>399</v>
      </c>
      <c r="C5096" s="84">
        <v>20</v>
      </c>
      <c r="D5096" s="84">
        <v>25</v>
      </c>
      <c r="E5096" s="85">
        <v>17629.64</v>
      </c>
      <c r="F5096" s="85">
        <v>20909.84</v>
      </c>
      <c r="G5096" s="85">
        <v>3280.2</v>
      </c>
    </row>
    <row r="5097" spans="1:7" x14ac:dyDescent="0.3">
      <c r="A5097" s="84">
        <v>2026</v>
      </c>
      <c r="B5097" s="84" t="s">
        <v>399</v>
      </c>
      <c r="C5097" s="84">
        <v>20</v>
      </c>
      <c r="D5097" s="84">
        <v>26</v>
      </c>
      <c r="E5097" s="85">
        <v>17629.64</v>
      </c>
      <c r="F5097" s="85">
        <v>22346.799999999999</v>
      </c>
      <c r="G5097" s="85">
        <v>4717.16</v>
      </c>
    </row>
    <row r="5098" spans="1:7" x14ac:dyDescent="0.3">
      <c r="A5098" s="84">
        <v>2026</v>
      </c>
      <c r="B5098" s="84" t="s">
        <v>399</v>
      </c>
      <c r="C5098" s="84">
        <v>20</v>
      </c>
      <c r="D5098" s="84">
        <v>27</v>
      </c>
      <c r="E5098" s="85">
        <v>17629.64</v>
      </c>
      <c r="F5098" s="85">
        <v>24128.720000000001</v>
      </c>
      <c r="G5098" s="85">
        <v>6499.08</v>
      </c>
    </row>
    <row r="5099" spans="1:7" x14ac:dyDescent="0.3">
      <c r="A5099" s="84">
        <v>2026</v>
      </c>
      <c r="B5099" s="84" t="s">
        <v>399</v>
      </c>
      <c r="C5099" s="84">
        <v>20</v>
      </c>
      <c r="D5099" s="84">
        <v>28</v>
      </c>
      <c r="E5099" s="85">
        <v>17629.64</v>
      </c>
      <c r="F5099" s="85">
        <v>24795.82</v>
      </c>
      <c r="G5099" s="85">
        <v>7166.18</v>
      </c>
    </row>
    <row r="5100" spans="1:7" x14ac:dyDescent="0.3">
      <c r="A5100" s="84">
        <v>2026</v>
      </c>
      <c r="B5100" s="84" t="s">
        <v>399</v>
      </c>
      <c r="C5100" s="84">
        <v>20</v>
      </c>
      <c r="D5100" s="84">
        <v>29</v>
      </c>
      <c r="E5100" s="85">
        <v>17629.64</v>
      </c>
      <c r="F5100" s="85">
        <v>25461.94</v>
      </c>
      <c r="G5100" s="85">
        <v>7832.3</v>
      </c>
    </row>
    <row r="5101" spans="1:7" x14ac:dyDescent="0.3">
      <c r="A5101" s="84">
        <v>2026</v>
      </c>
      <c r="B5101" s="84" t="s">
        <v>399</v>
      </c>
      <c r="C5101" s="84">
        <v>20</v>
      </c>
      <c r="D5101" s="84">
        <v>30</v>
      </c>
      <c r="E5101" s="85">
        <v>17629.64</v>
      </c>
      <c r="F5101" s="85">
        <v>27284.38</v>
      </c>
      <c r="G5101" s="85">
        <v>9654.74</v>
      </c>
    </row>
    <row r="5102" spans="1:7" x14ac:dyDescent="0.3">
      <c r="A5102" s="84">
        <v>2026</v>
      </c>
      <c r="B5102" s="84" t="s">
        <v>399</v>
      </c>
      <c r="C5102" s="84">
        <v>21</v>
      </c>
      <c r="D5102" s="84">
        <v>1</v>
      </c>
      <c r="E5102" s="85">
        <v>18243.82</v>
      </c>
      <c r="F5102" s="85">
        <v>11279.66</v>
      </c>
      <c r="G5102" s="85">
        <v>-6964.16</v>
      </c>
    </row>
    <row r="5103" spans="1:7" x14ac:dyDescent="0.3">
      <c r="A5103" s="84">
        <v>2026</v>
      </c>
      <c r="B5103" s="84" t="s">
        <v>399</v>
      </c>
      <c r="C5103" s="84">
        <v>21</v>
      </c>
      <c r="D5103" s="84">
        <v>2</v>
      </c>
      <c r="E5103" s="85">
        <v>18243.82</v>
      </c>
      <c r="F5103" s="85">
        <v>11586.96</v>
      </c>
      <c r="G5103" s="85">
        <v>-6656.86</v>
      </c>
    </row>
    <row r="5104" spans="1:7" x14ac:dyDescent="0.3">
      <c r="A5104" s="84">
        <v>2026</v>
      </c>
      <c r="B5104" s="84" t="s">
        <v>399</v>
      </c>
      <c r="C5104" s="84">
        <v>21</v>
      </c>
      <c r="D5104" s="84">
        <v>3</v>
      </c>
      <c r="E5104" s="85">
        <v>18243.82</v>
      </c>
      <c r="F5104" s="85">
        <v>11894.54</v>
      </c>
      <c r="G5104" s="85">
        <v>-6349.28</v>
      </c>
    </row>
    <row r="5105" spans="1:7" x14ac:dyDescent="0.3">
      <c r="A5105" s="84">
        <v>2026</v>
      </c>
      <c r="B5105" s="84" t="s">
        <v>399</v>
      </c>
      <c r="C5105" s="84">
        <v>21</v>
      </c>
      <c r="D5105" s="84">
        <v>4</v>
      </c>
      <c r="E5105" s="85">
        <v>18243.82</v>
      </c>
      <c r="F5105" s="85">
        <v>12200.86</v>
      </c>
      <c r="G5105" s="85">
        <v>-6042.96</v>
      </c>
    </row>
    <row r="5106" spans="1:7" x14ac:dyDescent="0.3">
      <c r="A5106" s="84">
        <v>2026</v>
      </c>
      <c r="B5106" s="84" t="s">
        <v>399</v>
      </c>
      <c r="C5106" s="84">
        <v>21</v>
      </c>
      <c r="D5106" s="84">
        <v>5</v>
      </c>
      <c r="E5106" s="85">
        <v>18243.82</v>
      </c>
      <c r="F5106" s="85">
        <v>12507.88</v>
      </c>
      <c r="G5106" s="85">
        <v>-5735.94</v>
      </c>
    </row>
    <row r="5107" spans="1:7" x14ac:dyDescent="0.3">
      <c r="A5107" s="84">
        <v>2026</v>
      </c>
      <c r="B5107" s="84" t="s">
        <v>399</v>
      </c>
      <c r="C5107" s="84">
        <v>21</v>
      </c>
      <c r="D5107" s="84">
        <v>6</v>
      </c>
      <c r="E5107" s="85">
        <v>18243.82</v>
      </c>
      <c r="F5107" s="85">
        <v>12712.7</v>
      </c>
      <c r="G5107" s="85">
        <v>-5531.12</v>
      </c>
    </row>
    <row r="5108" spans="1:7" x14ac:dyDescent="0.3">
      <c r="A5108" s="84">
        <v>2026</v>
      </c>
      <c r="B5108" s="84" t="s">
        <v>399</v>
      </c>
      <c r="C5108" s="84">
        <v>21</v>
      </c>
      <c r="D5108" s="84">
        <v>7</v>
      </c>
      <c r="E5108" s="85">
        <v>18243.82</v>
      </c>
      <c r="F5108" s="85">
        <v>12917.94</v>
      </c>
      <c r="G5108" s="85">
        <v>-5325.88</v>
      </c>
    </row>
    <row r="5109" spans="1:7" x14ac:dyDescent="0.3">
      <c r="A5109" s="84">
        <v>2026</v>
      </c>
      <c r="B5109" s="84" t="s">
        <v>399</v>
      </c>
      <c r="C5109" s="84">
        <v>21</v>
      </c>
      <c r="D5109" s="84">
        <v>8</v>
      </c>
      <c r="E5109" s="85">
        <v>18243.82</v>
      </c>
      <c r="F5109" s="85">
        <v>13122.48</v>
      </c>
      <c r="G5109" s="85">
        <v>-5121.34</v>
      </c>
    </row>
    <row r="5110" spans="1:7" x14ac:dyDescent="0.3">
      <c r="A5110" s="84">
        <v>2026</v>
      </c>
      <c r="B5110" s="84" t="s">
        <v>399</v>
      </c>
      <c r="C5110" s="84">
        <v>21</v>
      </c>
      <c r="D5110" s="84">
        <v>9</v>
      </c>
      <c r="E5110" s="85">
        <v>18243.82</v>
      </c>
      <c r="F5110" s="85">
        <v>13327.86</v>
      </c>
      <c r="G5110" s="85">
        <v>-4915.96</v>
      </c>
    </row>
    <row r="5111" spans="1:7" x14ac:dyDescent="0.3">
      <c r="A5111" s="84">
        <v>2026</v>
      </c>
      <c r="B5111" s="84" t="s">
        <v>399</v>
      </c>
      <c r="C5111" s="84">
        <v>21</v>
      </c>
      <c r="D5111" s="84">
        <v>10</v>
      </c>
      <c r="E5111" s="85">
        <v>18243.82</v>
      </c>
      <c r="F5111" s="85">
        <v>13532.82</v>
      </c>
      <c r="G5111" s="85">
        <v>-4711</v>
      </c>
    </row>
    <row r="5112" spans="1:7" x14ac:dyDescent="0.3">
      <c r="A5112" s="84">
        <v>2026</v>
      </c>
      <c r="B5112" s="84" t="s">
        <v>399</v>
      </c>
      <c r="C5112" s="84">
        <v>21</v>
      </c>
      <c r="D5112" s="84">
        <v>11</v>
      </c>
      <c r="E5112" s="85">
        <v>18243.82</v>
      </c>
      <c r="F5112" s="85">
        <v>13941.62</v>
      </c>
      <c r="G5112" s="85">
        <v>-4302.2</v>
      </c>
    </row>
    <row r="5113" spans="1:7" x14ac:dyDescent="0.3">
      <c r="A5113" s="84">
        <v>2026</v>
      </c>
      <c r="B5113" s="84" t="s">
        <v>399</v>
      </c>
      <c r="C5113" s="84">
        <v>21</v>
      </c>
      <c r="D5113" s="84">
        <v>12</v>
      </c>
      <c r="E5113" s="85">
        <v>18243.82</v>
      </c>
      <c r="F5113" s="85">
        <v>14351.54</v>
      </c>
      <c r="G5113" s="85">
        <v>-3892.28</v>
      </c>
    </row>
    <row r="5114" spans="1:7" x14ac:dyDescent="0.3">
      <c r="A5114" s="84">
        <v>2026</v>
      </c>
      <c r="B5114" s="84" t="s">
        <v>399</v>
      </c>
      <c r="C5114" s="84">
        <v>21</v>
      </c>
      <c r="D5114" s="84">
        <v>13</v>
      </c>
      <c r="E5114" s="85">
        <v>18243.82</v>
      </c>
      <c r="F5114" s="85">
        <v>14761.32</v>
      </c>
      <c r="G5114" s="85">
        <v>-3482.5</v>
      </c>
    </row>
    <row r="5115" spans="1:7" x14ac:dyDescent="0.3">
      <c r="A5115" s="84">
        <v>2026</v>
      </c>
      <c r="B5115" s="84" t="s">
        <v>399</v>
      </c>
      <c r="C5115" s="84">
        <v>21</v>
      </c>
      <c r="D5115" s="84">
        <v>14</v>
      </c>
      <c r="E5115" s="85">
        <v>18243.82</v>
      </c>
      <c r="F5115" s="85">
        <v>15171.52</v>
      </c>
      <c r="G5115" s="85">
        <v>-3072.3</v>
      </c>
    </row>
    <row r="5116" spans="1:7" x14ac:dyDescent="0.3">
      <c r="A5116" s="84">
        <v>2026</v>
      </c>
      <c r="B5116" s="84" t="s">
        <v>399</v>
      </c>
      <c r="C5116" s="84">
        <v>21</v>
      </c>
      <c r="D5116" s="84">
        <v>15</v>
      </c>
      <c r="E5116" s="85">
        <v>18243.82</v>
      </c>
      <c r="F5116" s="85">
        <v>15581.16</v>
      </c>
      <c r="G5116" s="85">
        <v>-2662.66</v>
      </c>
    </row>
    <row r="5117" spans="1:7" x14ac:dyDescent="0.3">
      <c r="A5117" s="84">
        <v>2026</v>
      </c>
      <c r="B5117" s="84" t="s">
        <v>399</v>
      </c>
      <c r="C5117" s="84">
        <v>21</v>
      </c>
      <c r="D5117" s="84">
        <v>16</v>
      </c>
      <c r="E5117" s="85">
        <v>18243.82</v>
      </c>
      <c r="F5117" s="85">
        <v>15990.8</v>
      </c>
      <c r="G5117" s="85">
        <v>-2253.02</v>
      </c>
    </row>
    <row r="5118" spans="1:7" x14ac:dyDescent="0.3">
      <c r="A5118" s="84">
        <v>2026</v>
      </c>
      <c r="B5118" s="84" t="s">
        <v>399</v>
      </c>
      <c r="C5118" s="84">
        <v>21</v>
      </c>
      <c r="D5118" s="84">
        <v>17</v>
      </c>
      <c r="E5118" s="85">
        <v>18243.82</v>
      </c>
      <c r="F5118" s="85">
        <v>16399.88</v>
      </c>
      <c r="G5118" s="85">
        <v>-1843.94</v>
      </c>
    </row>
    <row r="5119" spans="1:7" x14ac:dyDescent="0.3">
      <c r="A5119" s="84">
        <v>2026</v>
      </c>
      <c r="B5119" s="84" t="s">
        <v>399</v>
      </c>
      <c r="C5119" s="84">
        <v>21</v>
      </c>
      <c r="D5119" s="84">
        <v>18</v>
      </c>
      <c r="E5119" s="85">
        <v>18243.82</v>
      </c>
      <c r="F5119" s="85">
        <v>16809.8</v>
      </c>
      <c r="G5119" s="85">
        <v>-1434.02</v>
      </c>
    </row>
    <row r="5120" spans="1:7" x14ac:dyDescent="0.3">
      <c r="A5120" s="84">
        <v>2026</v>
      </c>
      <c r="B5120" s="84" t="s">
        <v>399</v>
      </c>
      <c r="C5120" s="84">
        <v>21</v>
      </c>
      <c r="D5120" s="84">
        <v>19</v>
      </c>
      <c r="E5120" s="85">
        <v>18243.82</v>
      </c>
      <c r="F5120" s="85">
        <v>17219.86</v>
      </c>
      <c r="G5120" s="85">
        <v>-1023.96</v>
      </c>
    </row>
    <row r="5121" spans="1:7" x14ac:dyDescent="0.3">
      <c r="A5121" s="84">
        <v>2026</v>
      </c>
      <c r="B5121" s="84" t="s">
        <v>399</v>
      </c>
      <c r="C5121" s="84">
        <v>21</v>
      </c>
      <c r="D5121" s="84">
        <v>20</v>
      </c>
      <c r="E5121" s="85">
        <v>18243.82</v>
      </c>
      <c r="F5121" s="85">
        <v>17629.64</v>
      </c>
      <c r="G5121" s="85">
        <v>-614.17999999999995</v>
      </c>
    </row>
    <row r="5122" spans="1:7" x14ac:dyDescent="0.3">
      <c r="A5122" s="84">
        <v>2026</v>
      </c>
      <c r="B5122" s="84" t="s">
        <v>399</v>
      </c>
      <c r="C5122" s="84">
        <v>21</v>
      </c>
      <c r="D5122" s="84">
        <v>21</v>
      </c>
      <c r="E5122" s="85">
        <v>18243.82</v>
      </c>
      <c r="F5122" s="85">
        <v>18243.82</v>
      </c>
      <c r="G5122" s="85">
        <v>0</v>
      </c>
    </row>
    <row r="5123" spans="1:7" x14ac:dyDescent="0.3">
      <c r="A5123" s="84">
        <v>2026</v>
      </c>
      <c r="B5123" s="84" t="s">
        <v>399</v>
      </c>
      <c r="C5123" s="84">
        <v>21</v>
      </c>
      <c r="D5123" s="84">
        <v>22</v>
      </c>
      <c r="E5123" s="85">
        <v>18243.82</v>
      </c>
      <c r="F5123" s="85">
        <v>18909.099999999999</v>
      </c>
      <c r="G5123" s="85">
        <v>665.28</v>
      </c>
    </row>
    <row r="5124" spans="1:7" x14ac:dyDescent="0.3">
      <c r="A5124" s="84">
        <v>2026</v>
      </c>
      <c r="B5124" s="84" t="s">
        <v>399</v>
      </c>
      <c r="C5124" s="84">
        <v>21</v>
      </c>
      <c r="D5124" s="84">
        <v>23</v>
      </c>
      <c r="E5124" s="85">
        <v>18243.82</v>
      </c>
      <c r="F5124" s="85">
        <v>19576.759999999998</v>
      </c>
      <c r="G5124" s="85">
        <v>1332.94</v>
      </c>
    </row>
    <row r="5125" spans="1:7" x14ac:dyDescent="0.3">
      <c r="A5125" s="84">
        <v>2026</v>
      </c>
      <c r="B5125" s="84" t="s">
        <v>399</v>
      </c>
      <c r="C5125" s="84">
        <v>21</v>
      </c>
      <c r="D5125" s="84">
        <v>24</v>
      </c>
      <c r="E5125" s="85">
        <v>18243.82</v>
      </c>
      <c r="F5125" s="85">
        <v>20242.88</v>
      </c>
      <c r="G5125" s="85">
        <v>1999.06</v>
      </c>
    </row>
    <row r="5126" spans="1:7" x14ac:dyDescent="0.3">
      <c r="A5126" s="84">
        <v>2026</v>
      </c>
      <c r="B5126" s="84" t="s">
        <v>399</v>
      </c>
      <c r="C5126" s="84">
        <v>21</v>
      </c>
      <c r="D5126" s="84">
        <v>25</v>
      </c>
      <c r="E5126" s="85">
        <v>18243.82</v>
      </c>
      <c r="F5126" s="85">
        <v>20909.84</v>
      </c>
      <c r="G5126" s="85">
        <v>2666.02</v>
      </c>
    </row>
    <row r="5127" spans="1:7" x14ac:dyDescent="0.3">
      <c r="A5127" s="84">
        <v>2026</v>
      </c>
      <c r="B5127" s="84" t="s">
        <v>399</v>
      </c>
      <c r="C5127" s="84">
        <v>21</v>
      </c>
      <c r="D5127" s="84">
        <v>26</v>
      </c>
      <c r="E5127" s="85">
        <v>18243.82</v>
      </c>
      <c r="F5127" s="85">
        <v>22346.799999999999</v>
      </c>
      <c r="G5127" s="85">
        <v>4102.9799999999996</v>
      </c>
    </row>
    <row r="5128" spans="1:7" x14ac:dyDescent="0.3">
      <c r="A5128" s="84">
        <v>2026</v>
      </c>
      <c r="B5128" s="84" t="s">
        <v>399</v>
      </c>
      <c r="C5128" s="84">
        <v>21</v>
      </c>
      <c r="D5128" s="84">
        <v>27</v>
      </c>
      <c r="E5128" s="85">
        <v>18243.82</v>
      </c>
      <c r="F5128" s="85">
        <v>24128.720000000001</v>
      </c>
      <c r="G5128" s="85">
        <v>5884.9</v>
      </c>
    </row>
    <row r="5129" spans="1:7" x14ac:dyDescent="0.3">
      <c r="A5129" s="84">
        <v>2026</v>
      </c>
      <c r="B5129" s="84" t="s">
        <v>399</v>
      </c>
      <c r="C5129" s="84">
        <v>21</v>
      </c>
      <c r="D5129" s="84">
        <v>28</v>
      </c>
      <c r="E5129" s="85">
        <v>18243.82</v>
      </c>
      <c r="F5129" s="85">
        <v>24795.82</v>
      </c>
      <c r="G5129" s="85">
        <v>6552</v>
      </c>
    </row>
    <row r="5130" spans="1:7" x14ac:dyDescent="0.3">
      <c r="A5130" s="84">
        <v>2026</v>
      </c>
      <c r="B5130" s="84" t="s">
        <v>399</v>
      </c>
      <c r="C5130" s="84">
        <v>21</v>
      </c>
      <c r="D5130" s="84">
        <v>29</v>
      </c>
      <c r="E5130" s="85">
        <v>18243.82</v>
      </c>
      <c r="F5130" s="85">
        <v>25461.94</v>
      </c>
      <c r="G5130" s="85">
        <v>7218.12</v>
      </c>
    </row>
    <row r="5131" spans="1:7" x14ac:dyDescent="0.3">
      <c r="A5131" s="84">
        <v>2026</v>
      </c>
      <c r="B5131" s="84" t="s">
        <v>399</v>
      </c>
      <c r="C5131" s="84">
        <v>21</v>
      </c>
      <c r="D5131" s="84">
        <v>30</v>
      </c>
      <c r="E5131" s="85">
        <v>18243.82</v>
      </c>
      <c r="F5131" s="85">
        <v>27284.38</v>
      </c>
      <c r="G5131" s="85">
        <v>9040.56</v>
      </c>
    </row>
    <row r="5132" spans="1:7" x14ac:dyDescent="0.3">
      <c r="A5132" s="84">
        <v>2026</v>
      </c>
      <c r="B5132" s="84" t="s">
        <v>399</v>
      </c>
      <c r="C5132" s="84">
        <v>22</v>
      </c>
      <c r="D5132" s="84">
        <v>1</v>
      </c>
      <c r="E5132" s="85">
        <v>18909.099999999999</v>
      </c>
      <c r="F5132" s="85">
        <v>11279.66</v>
      </c>
      <c r="G5132" s="85">
        <v>-7629.44</v>
      </c>
    </row>
    <row r="5133" spans="1:7" x14ac:dyDescent="0.3">
      <c r="A5133" s="84">
        <v>2026</v>
      </c>
      <c r="B5133" s="84" t="s">
        <v>399</v>
      </c>
      <c r="C5133" s="84">
        <v>22</v>
      </c>
      <c r="D5133" s="84">
        <v>2</v>
      </c>
      <c r="E5133" s="85">
        <v>18909.099999999999</v>
      </c>
      <c r="F5133" s="85">
        <v>11586.96</v>
      </c>
      <c r="G5133" s="85">
        <v>-7322.14</v>
      </c>
    </row>
    <row r="5134" spans="1:7" x14ac:dyDescent="0.3">
      <c r="A5134" s="84">
        <v>2026</v>
      </c>
      <c r="B5134" s="84" t="s">
        <v>399</v>
      </c>
      <c r="C5134" s="84">
        <v>22</v>
      </c>
      <c r="D5134" s="84">
        <v>3</v>
      </c>
      <c r="E5134" s="85">
        <v>18909.099999999999</v>
      </c>
      <c r="F5134" s="85">
        <v>11894.54</v>
      </c>
      <c r="G5134" s="85">
        <v>-7014.56</v>
      </c>
    </row>
    <row r="5135" spans="1:7" x14ac:dyDescent="0.3">
      <c r="A5135" s="84">
        <v>2026</v>
      </c>
      <c r="B5135" s="84" t="s">
        <v>399</v>
      </c>
      <c r="C5135" s="84">
        <v>22</v>
      </c>
      <c r="D5135" s="84">
        <v>4</v>
      </c>
      <c r="E5135" s="85">
        <v>18909.099999999999</v>
      </c>
      <c r="F5135" s="85">
        <v>12200.86</v>
      </c>
      <c r="G5135" s="85">
        <v>-6708.24</v>
      </c>
    </row>
    <row r="5136" spans="1:7" x14ac:dyDescent="0.3">
      <c r="A5136" s="84">
        <v>2026</v>
      </c>
      <c r="B5136" s="84" t="s">
        <v>399</v>
      </c>
      <c r="C5136" s="84">
        <v>22</v>
      </c>
      <c r="D5136" s="84">
        <v>5</v>
      </c>
      <c r="E5136" s="85">
        <v>18909.099999999999</v>
      </c>
      <c r="F5136" s="85">
        <v>12507.88</v>
      </c>
      <c r="G5136" s="85">
        <v>-6401.22</v>
      </c>
    </row>
    <row r="5137" spans="1:7" x14ac:dyDescent="0.3">
      <c r="A5137" s="84">
        <v>2026</v>
      </c>
      <c r="B5137" s="84" t="s">
        <v>399</v>
      </c>
      <c r="C5137" s="84">
        <v>22</v>
      </c>
      <c r="D5137" s="84">
        <v>6</v>
      </c>
      <c r="E5137" s="85">
        <v>18909.099999999999</v>
      </c>
      <c r="F5137" s="85">
        <v>12712.7</v>
      </c>
      <c r="G5137" s="85">
        <v>-6196.4</v>
      </c>
    </row>
    <row r="5138" spans="1:7" x14ac:dyDescent="0.3">
      <c r="A5138" s="84">
        <v>2026</v>
      </c>
      <c r="B5138" s="84" t="s">
        <v>399</v>
      </c>
      <c r="C5138" s="84">
        <v>22</v>
      </c>
      <c r="D5138" s="84">
        <v>7</v>
      </c>
      <c r="E5138" s="85">
        <v>18909.099999999999</v>
      </c>
      <c r="F5138" s="85">
        <v>12917.94</v>
      </c>
      <c r="G5138" s="85">
        <v>-5991.16</v>
      </c>
    </row>
    <row r="5139" spans="1:7" x14ac:dyDescent="0.3">
      <c r="A5139" s="84">
        <v>2026</v>
      </c>
      <c r="B5139" s="84" t="s">
        <v>399</v>
      </c>
      <c r="C5139" s="84">
        <v>22</v>
      </c>
      <c r="D5139" s="84">
        <v>8</v>
      </c>
      <c r="E5139" s="85">
        <v>18909.099999999999</v>
      </c>
      <c r="F5139" s="85">
        <v>13122.48</v>
      </c>
      <c r="G5139" s="85">
        <v>-5786.62</v>
      </c>
    </row>
    <row r="5140" spans="1:7" x14ac:dyDescent="0.3">
      <c r="A5140" s="84">
        <v>2026</v>
      </c>
      <c r="B5140" s="84" t="s">
        <v>399</v>
      </c>
      <c r="C5140" s="84">
        <v>22</v>
      </c>
      <c r="D5140" s="84">
        <v>9</v>
      </c>
      <c r="E5140" s="85">
        <v>18909.099999999999</v>
      </c>
      <c r="F5140" s="85">
        <v>13327.86</v>
      </c>
      <c r="G5140" s="85">
        <v>-5581.24</v>
      </c>
    </row>
    <row r="5141" spans="1:7" x14ac:dyDescent="0.3">
      <c r="A5141" s="84">
        <v>2026</v>
      </c>
      <c r="B5141" s="84" t="s">
        <v>399</v>
      </c>
      <c r="C5141" s="84">
        <v>22</v>
      </c>
      <c r="D5141" s="84">
        <v>10</v>
      </c>
      <c r="E5141" s="85">
        <v>18909.099999999999</v>
      </c>
      <c r="F5141" s="85">
        <v>13532.82</v>
      </c>
      <c r="G5141" s="85">
        <v>-5376.28</v>
      </c>
    </row>
    <row r="5142" spans="1:7" x14ac:dyDescent="0.3">
      <c r="A5142" s="84">
        <v>2026</v>
      </c>
      <c r="B5142" s="84" t="s">
        <v>399</v>
      </c>
      <c r="C5142" s="84">
        <v>22</v>
      </c>
      <c r="D5142" s="84">
        <v>11</v>
      </c>
      <c r="E5142" s="85">
        <v>18909.099999999999</v>
      </c>
      <c r="F5142" s="85">
        <v>13941.62</v>
      </c>
      <c r="G5142" s="85">
        <v>-4967.4799999999996</v>
      </c>
    </row>
    <row r="5143" spans="1:7" x14ac:dyDescent="0.3">
      <c r="A5143" s="84">
        <v>2026</v>
      </c>
      <c r="B5143" s="84" t="s">
        <v>399</v>
      </c>
      <c r="C5143" s="84">
        <v>22</v>
      </c>
      <c r="D5143" s="84">
        <v>12</v>
      </c>
      <c r="E5143" s="85">
        <v>18909.099999999999</v>
      </c>
      <c r="F5143" s="85">
        <v>14351.54</v>
      </c>
      <c r="G5143" s="85">
        <v>-4557.5600000000004</v>
      </c>
    </row>
    <row r="5144" spans="1:7" x14ac:dyDescent="0.3">
      <c r="A5144" s="84">
        <v>2026</v>
      </c>
      <c r="B5144" s="84" t="s">
        <v>399</v>
      </c>
      <c r="C5144" s="84">
        <v>22</v>
      </c>
      <c r="D5144" s="84">
        <v>13</v>
      </c>
      <c r="E5144" s="85">
        <v>18909.099999999999</v>
      </c>
      <c r="F5144" s="85">
        <v>14761.32</v>
      </c>
      <c r="G5144" s="85">
        <v>-4147.78</v>
      </c>
    </row>
    <row r="5145" spans="1:7" x14ac:dyDescent="0.3">
      <c r="A5145" s="84">
        <v>2026</v>
      </c>
      <c r="B5145" s="84" t="s">
        <v>399</v>
      </c>
      <c r="C5145" s="84">
        <v>22</v>
      </c>
      <c r="D5145" s="84">
        <v>14</v>
      </c>
      <c r="E5145" s="85">
        <v>18909.099999999999</v>
      </c>
      <c r="F5145" s="85">
        <v>15171.52</v>
      </c>
      <c r="G5145" s="85">
        <v>-3737.58</v>
      </c>
    </row>
    <row r="5146" spans="1:7" x14ac:dyDescent="0.3">
      <c r="A5146" s="84">
        <v>2026</v>
      </c>
      <c r="B5146" s="84" t="s">
        <v>399</v>
      </c>
      <c r="C5146" s="84">
        <v>22</v>
      </c>
      <c r="D5146" s="84">
        <v>15</v>
      </c>
      <c r="E5146" s="85">
        <v>18909.099999999999</v>
      </c>
      <c r="F5146" s="85">
        <v>15581.16</v>
      </c>
      <c r="G5146" s="85">
        <v>-3327.94</v>
      </c>
    </row>
    <row r="5147" spans="1:7" x14ac:dyDescent="0.3">
      <c r="A5147" s="84">
        <v>2026</v>
      </c>
      <c r="B5147" s="84" t="s">
        <v>399</v>
      </c>
      <c r="C5147" s="84">
        <v>22</v>
      </c>
      <c r="D5147" s="84">
        <v>16</v>
      </c>
      <c r="E5147" s="85">
        <v>18909.099999999999</v>
      </c>
      <c r="F5147" s="85">
        <v>15990.8</v>
      </c>
      <c r="G5147" s="85">
        <v>-2918.3</v>
      </c>
    </row>
    <row r="5148" spans="1:7" x14ac:dyDescent="0.3">
      <c r="A5148" s="84">
        <v>2026</v>
      </c>
      <c r="B5148" s="84" t="s">
        <v>399</v>
      </c>
      <c r="C5148" s="84">
        <v>22</v>
      </c>
      <c r="D5148" s="84">
        <v>17</v>
      </c>
      <c r="E5148" s="85">
        <v>18909.099999999999</v>
      </c>
      <c r="F5148" s="85">
        <v>16399.88</v>
      </c>
      <c r="G5148" s="85">
        <v>-2509.2199999999998</v>
      </c>
    </row>
    <row r="5149" spans="1:7" x14ac:dyDescent="0.3">
      <c r="A5149" s="84">
        <v>2026</v>
      </c>
      <c r="B5149" s="84" t="s">
        <v>399</v>
      </c>
      <c r="C5149" s="84">
        <v>22</v>
      </c>
      <c r="D5149" s="84">
        <v>18</v>
      </c>
      <c r="E5149" s="85">
        <v>18909.099999999999</v>
      </c>
      <c r="F5149" s="85">
        <v>16809.8</v>
      </c>
      <c r="G5149" s="85">
        <v>-2099.3000000000002</v>
      </c>
    </row>
    <row r="5150" spans="1:7" x14ac:dyDescent="0.3">
      <c r="A5150" s="84">
        <v>2026</v>
      </c>
      <c r="B5150" s="84" t="s">
        <v>399</v>
      </c>
      <c r="C5150" s="84">
        <v>22</v>
      </c>
      <c r="D5150" s="84">
        <v>19</v>
      </c>
      <c r="E5150" s="85">
        <v>18909.099999999999</v>
      </c>
      <c r="F5150" s="85">
        <v>17219.86</v>
      </c>
      <c r="G5150" s="85">
        <v>-1689.24</v>
      </c>
    </row>
    <row r="5151" spans="1:7" x14ac:dyDescent="0.3">
      <c r="A5151" s="84">
        <v>2026</v>
      </c>
      <c r="B5151" s="84" t="s">
        <v>399</v>
      </c>
      <c r="C5151" s="84">
        <v>22</v>
      </c>
      <c r="D5151" s="84">
        <v>20</v>
      </c>
      <c r="E5151" s="85">
        <v>18909.099999999999</v>
      </c>
      <c r="F5151" s="85">
        <v>17629.64</v>
      </c>
      <c r="G5151" s="85">
        <v>-1279.46</v>
      </c>
    </row>
    <row r="5152" spans="1:7" x14ac:dyDescent="0.3">
      <c r="A5152" s="84">
        <v>2026</v>
      </c>
      <c r="B5152" s="84" t="s">
        <v>399</v>
      </c>
      <c r="C5152" s="84">
        <v>22</v>
      </c>
      <c r="D5152" s="84">
        <v>21</v>
      </c>
      <c r="E5152" s="85">
        <v>18909.099999999999</v>
      </c>
      <c r="F5152" s="85">
        <v>18243.82</v>
      </c>
      <c r="G5152" s="85">
        <v>-665.28</v>
      </c>
    </row>
    <row r="5153" spans="1:7" x14ac:dyDescent="0.3">
      <c r="A5153" s="84">
        <v>2026</v>
      </c>
      <c r="B5153" s="84" t="s">
        <v>399</v>
      </c>
      <c r="C5153" s="84">
        <v>22</v>
      </c>
      <c r="D5153" s="84">
        <v>22</v>
      </c>
      <c r="E5153" s="85">
        <v>18909.099999999999</v>
      </c>
      <c r="F5153" s="85">
        <v>18909.099999999999</v>
      </c>
      <c r="G5153" s="85">
        <v>0</v>
      </c>
    </row>
    <row r="5154" spans="1:7" x14ac:dyDescent="0.3">
      <c r="A5154" s="84">
        <v>2026</v>
      </c>
      <c r="B5154" s="84" t="s">
        <v>399</v>
      </c>
      <c r="C5154" s="84">
        <v>22</v>
      </c>
      <c r="D5154" s="84">
        <v>23</v>
      </c>
      <c r="E5154" s="85">
        <v>18909.099999999999</v>
      </c>
      <c r="F5154" s="85">
        <v>19576.759999999998</v>
      </c>
      <c r="G5154" s="85">
        <v>667.66</v>
      </c>
    </row>
    <row r="5155" spans="1:7" x14ac:dyDescent="0.3">
      <c r="A5155" s="84">
        <v>2026</v>
      </c>
      <c r="B5155" s="84" t="s">
        <v>399</v>
      </c>
      <c r="C5155" s="84">
        <v>22</v>
      </c>
      <c r="D5155" s="84">
        <v>24</v>
      </c>
      <c r="E5155" s="85">
        <v>18909.099999999999</v>
      </c>
      <c r="F5155" s="85">
        <v>20242.88</v>
      </c>
      <c r="G5155" s="85">
        <v>1333.78</v>
      </c>
    </row>
    <row r="5156" spans="1:7" x14ac:dyDescent="0.3">
      <c r="A5156" s="84">
        <v>2026</v>
      </c>
      <c r="B5156" s="84" t="s">
        <v>399</v>
      </c>
      <c r="C5156" s="84">
        <v>22</v>
      </c>
      <c r="D5156" s="84">
        <v>25</v>
      </c>
      <c r="E5156" s="85">
        <v>18909.099999999999</v>
      </c>
      <c r="F5156" s="85">
        <v>20909.84</v>
      </c>
      <c r="G5156" s="85">
        <v>2000.74</v>
      </c>
    </row>
    <row r="5157" spans="1:7" x14ac:dyDescent="0.3">
      <c r="A5157" s="84">
        <v>2026</v>
      </c>
      <c r="B5157" s="84" t="s">
        <v>399</v>
      </c>
      <c r="C5157" s="84">
        <v>22</v>
      </c>
      <c r="D5157" s="84">
        <v>26</v>
      </c>
      <c r="E5157" s="85">
        <v>18909.099999999999</v>
      </c>
      <c r="F5157" s="85">
        <v>22346.799999999999</v>
      </c>
      <c r="G5157" s="85">
        <v>3437.7</v>
      </c>
    </row>
    <row r="5158" spans="1:7" x14ac:dyDescent="0.3">
      <c r="A5158" s="84">
        <v>2026</v>
      </c>
      <c r="B5158" s="84" t="s">
        <v>399</v>
      </c>
      <c r="C5158" s="84">
        <v>22</v>
      </c>
      <c r="D5158" s="84">
        <v>27</v>
      </c>
      <c r="E5158" s="85">
        <v>18909.099999999999</v>
      </c>
      <c r="F5158" s="85">
        <v>24128.720000000001</v>
      </c>
      <c r="G5158" s="85">
        <v>5219.62</v>
      </c>
    </row>
    <row r="5159" spans="1:7" x14ac:dyDescent="0.3">
      <c r="A5159" s="84">
        <v>2026</v>
      </c>
      <c r="B5159" s="84" t="s">
        <v>399</v>
      </c>
      <c r="C5159" s="84">
        <v>22</v>
      </c>
      <c r="D5159" s="84">
        <v>28</v>
      </c>
      <c r="E5159" s="85">
        <v>18909.099999999999</v>
      </c>
      <c r="F5159" s="85">
        <v>24795.82</v>
      </c>
      <c r="G5159" s="85">
        <v>5886.72</v>
      </c>
    </row>
    <row r="5160" spans="1:7" x14ac:dyDescent="0.3">
      <c r="A5160" s="84">
        <v>2026</v>
      </c>
      <c r="B5160" s="84" t="s">
        <v>399</v>
      </c>
      <c r="C5160" s="84">
        <v>22</v>
      </c>
      <c r="D5160" s="84">
        <v>29</v>
      </c>
      <c r="E5160" s="85">
        <v>18909.099999999999</v>
      </c>
      <c r="F5160" s="85">
        <v>25461.94</v>
      </c>
      <c r="G5160" s="85">
        <v>6552.84</v>
      </c>
    </row>
    <row r="5161" spans="1:7" x14ac:dyDescent="0.3">
      <c r="A5161" s="84">
        <v>2026</v>
      </c>
      <c r="B5161" s="84" t="s">
        <v>399</v>
      </c>
      <c r="C5161" s="84">
        <v>22</v>
      </c>
      <c r="D5161" s="84">
        <v>30</v>
      </c>
      <c r="E5161" s="85">
        <v>18909.099999999999</v>
      </c>
      <c r="F5161" s="85">
        <v>27284.38</v>
      </c>
      <c r="G5161" s="85">
        <v>8375.2800000000007</v>
      </c>
    </row>
    <row r="5162" spans="1:7" x14ac:dyDescent="0.3">
      <c r="A5162" s="84">
        <v>2026</v>
      </c>
      <c r="B5162" s="84" t="s">
        <v>399</v>
      </c>
      <c r="C5162" s="84">
        <v>23</v>
      </c>
      <c r="D5162" s="84">
        <v>1</v>
      </c>
      <c r="E5162" s="85">
        <v>19576.759999999998</v>
      </c>
      <c r="F5162" s="85">
        <v>11279.66</v>
      </c>
      <c r="G5162" s="85">
        <v>-8297.1</v>
      </c>
    </row>
    <row r="5163" spans="1:7" x14ac:dyDescent="0.3">
      <c r="A5163" s="84">
        <v>2026</v>
      </c>
      <c r="B5163" s="84" t="s">
        <v>399</v>
      </c>
      <c r="C5163" s="84">
        <v>23</v>
      </c>
      <c r="D5163" s="84">
        <v>2</v>
      </c>
      <c r="E5163" s="85">
        <v>19576.759999999998</v>
      </c>
      <c r="F5163" s="85">
        <v>11586.96</v>
      </c>
      <c r="G5163" s="85">
        <v>-7989.8</v>
      </c>
    </row>
    <row r="5164" spans="1:7" x14ac:dyDescent="0.3">
      <c r="A5164" s="84">
        <v>2026</v>
      </c>
      <c r="B5164" s="84" t="s">
        <v>399</v>
      </c>
      <c r="C5164" s="84">
        <v>23</v>
      </c>
      <c r="D5164" s="84">
        <v>3</v>
      </c>
      <c r="E5164" s="85">
        <v>19576.759999999998</v>
      </c>
      <c r="F5164" s="85">
        <v>11894.54</v>
      </c>
      <c r="G5164" s="85">
        <v>-7682.22</v>
      </c>
    </row>
    <row r="5165" spans="1:7" x14ac:dyDescent="0.3">
      <c r="A5165" s="84">
        <v>2026</v>
      </c>
      <c r="B5165" s="84" t="s">
        <v>399</v>
      </c>
      <c r="C5165" s="84">
        <v>23</v>
      </c>
      <c r="D5165" s="84">
        <v>4</v>
      </c>
      <c r="E5165" s="85">
        <v>19576.759999999998</v>
      </c>
      <c r="F5165" s="85">
        <v>12200.86</v>
      </c>
      <c r="G5165" s="85">
        <v>-7375.9</v>
      </c>
    </row>
    <row r="5166" spans="1:7" x14ac:dyDescent="0.3">
      <c r="A5166" s="84">
        <v>2026</v>
      </c>
      <c r="B5166" s="84" t="s">
        <v>399</v>
      </c>
      <c r="C5166" s="84">
        <v>23</v>
      </c>
      <c r="D5166" s="84">
        <v>5</v>
      </c>
      <c r="E5166" s="85">
        <v>19576.759999999998</v>
      </c>
      <c r="F5166" s="85">
        <v>12507.88</v>
      </c>
      <c r="G5166" s="85">
        <v>-7068.88</v>
      </c>
    </row>
    <row r="5167" spans="1:7" x14ac:dyDescent="0.3">
      <c r="A5167" s="84">
        <v>2026</v>
      </c>
      <c r="B5167" s="84" t="s">
        <v>399</v>
      </c>
      <c r="C5167" s="84">
        <v>23</v>
      </c>
      <c r="D5167" s="84">
        <v>6</v>
      </c>
      <c r="E5167" s="85">
        <v>19576.759999999998</v>
      </c>
      <c r="F5167" s="85">
        <v>12712.7</v>
      </c>
      <c r="G5167" s="85">
        <v>-6864.06</v>
      </c>
    </row>
    <row r="5168" spans="1:7" x14ac:dyDescent="0.3">
      <c r="A5168" s="84">
        <v>2026</v>
      </c>
      <c r="B5168" s="84" t="s">
        <v>399</v>
      </c>
      <c r="C5168" s="84">
        <v>23</v>
      </c>
      <c r="D5168" s="84">
        <v>7</v>
      </c>
      <c r="E5168" s="85">
        <v>19576.759999999998</v>
      </c>
      <c r="F5168" s="85">
        <v>12917.94</v>
      </c>
      <c r="G5168" s="85">
        <v>-6658.82</v>
      </c>
    </row>
    <row r="5169" spans="1:7" x14ac:dyDescent="0.3">
      <c r="A5169" s="84">
        <v>2026</v>
      </c>
      <c r="B5169" s="84" t="s">
        <v>399</v>
      </c>
      <c r="C5169" s="84">
        <v>23</v>
      </c>
      <c r="D5169" s="84">
        <v>8</v>
      </c>
      <c r="E5169" s="85">
        <v>19576.759999999998</v>
      </c>
      <c r="F5169" s="85">
        <v>13122.48</v>
      </c>
      <c r="G5169" s="85">
        <v>-6454.28</v>
      </c>
    </row>
    <row r="5170" spans="1:7" x14ac:dyDescent="0.3">
      <c r="A5170" s="84">
        <v>2026</v>
      </c>
      <c r="B5170" s="84" t="s">
        <v>399</v>
      </c>
      <c r="C5170" s="84">
        <v>23</v>
      </c>
      <c r="D5170" s="84">
        <v>9</v>
      </c>
      <c r="E5170" s="85">
        <v>19576.759999999998</v>
      </c>
      <c r="F5170" s="85">
        <v>13327.86</v>
      </c>
      <c r="G5170" s="85">
        <v>-6248.9</v>
      </c>
    </row>
    <row r="5171" spans="1:7" x14ac:dyDescent="0.3">
      <c r="A5171" s="84">
        <v>2026</v>
      </c>
      <c r="B5171" s="84" t="s">
        <v>399</v>
      </c>
      <c r="C5171" s="84">
        <v>23</v>
      </c>
      <c r="D5171" s="84">
        <v>10</v>
      </c>
      <c r="E5171" s="85">
        <v>19576.759999999998</v>
      </c>
      <c r="F5171" s="85">
        <v>13532.82</v>
      </c>
      <c r="G5171" s="85">
        <v>-6043.94</v>
      </c>
    </row>
    <row r="5172" spans="1:7" x14ac:dyDescent="0.3">
      <c r="A5172" s="84">
        <v>2026</v>
      </c>
      <c r="B5172" s="84" t="s">
        <v>399</v>
      </c>
      <c r="C5172" s="84">
        <v>23</v>
      </c>
      <c r="D5172" s="84">
        <v>11</v>
      </c>
      <c r="E5172" s="85">
        <v>19576.759999999998</v>
      </c>
      <c r="F5172" s="85">
        <v>13941.62</v>
      </c>
      <c r="G5172" s="85">
        <v>-5635.14</v>
      </c>
    </row>
    <row r="5173" spans="1:7" x14ac:dyDescent="0.3">
      <c r="A5173" s="84">
        <v>2026</v>
      </c>
      <c r="B5173" s="84" t="s">
        <v>399</v>
      </c>
      <c r="C5173" s="84">
        <v>23</v>
      </c>
      <c r="D5173" s="84">
        <v>12</v>
      </c>
      <c r="E5173" s="85">
        <v>19576.759999999998</v>
      </c>
      <c r="F5173" s="85">
        <v>14351.54</v>
      </c>
      <c r="G5173" s="85">
        <v>-5225.22</v>
      </c>
    </row>
    <row r="5174" spans="1:7" x14ac:dyDescent="0.3">
      <c r="A5174" s="84">
        <v>2026</v>
      </c>
      <c r="B5174" s="84" t="s">
        <v>399</v>
      </c>
      <c r="C5174" s="84">
        <v>23</v>
      </c>
      <c r="D5174" s="84">
        <v>13</v>
      </c>
      <c r="E5174" s="85">
        <v>19576.759999999998</v>
      </c>
      <c r="F5174" s="85">
        <v>14761.32</v>
      </c>
      <c r="G5174" s="85">
        <v>-4815.4399999999996</v>
      </c>
    </row>
    <row r="5175" spans="1:7" x14ac:dyDescent="0.3">
      <c r="A5175" s="84">
        <v>2026</v>
      </c>
      <c r="B5175" s="84" t="s">
        <v>399</v>
      </c>
      <c r="C5175" s="84">
        <v>23</v>
      </c>
      <c r="D5175" s="84">
        <v>14</v>
      </c>
      <c r="E5175" s="85">
        <v>19576.759999999998</v>
      </c>
      <c r="F5175" s="85">
        <v>15171.52</v>
      </c>
      <c r="G5175" s="85">
        <v>-4405.24</v>
      </c>
    </row>
    <row r="5176" spans="1:7" x14ac:dyDescent="0.3">
      <c r="A5176" s="84">
        <v>2026</v>
      </c>
      <c r="B5176" s="84" t="s">
        <v>399</v>
      </c>
      <c r="C5176" s="84">
        <v>23</v>
      </c>
      <c r="D5176" s="84">
        <v>15</v>
      </c>
      <c r="E5176" s="85">
        <v>19576.759999999998</v>
      </c>
      <c r="F5176" s="85">
        <v>15581.16</v>
      </c>
      <c r="G5176" s="85">
        <v>-3995.6</v>
      </c>
    </row>
    <row r="5177" spans="1:7" x14ac:dyDescent="0.3">
      <c r="A5177" s="84">
        <v>2026</v>
      </c>
      <c r="B5177" s="84" t="s">
        <v>399</v>
      </c>
      <c r="C5177" s="84">
        <v>23</v>
      </c>
      <c r="D5177" s="84">
        <v>16</v>
      </c>
      <c r="E5177" s="85">
        <v>19576.759999999998</v>
      </c>
      <c r="F5177" s="85">
        <v>15990.8</v>
      </c>
      <c r="G5177" s="85">
        <v>-3585.96</v>
      </c>
    </row>
    <row r="5178" spans="1:7" x14ac:dyDescent="0.3">
      <c r="A5178" s="84">
        <v>2026</v>
      </c>
      <c r="B5178" s="84" t="s">
        <v>399</v>
      </c>
      <c r="C5178" s="84">
        <v>23</v>
      </c>
      <c r="D5178" s="84">
        <v>17</v>
      </c>
      <c r="E5178" s="85">
        <v>19576.759999999998</v>
      </c>
      <c r="F5178" s="85">
        <v>16399.88</v>
      </c>
      <c r="G5178" s="85">
        <v>-3176.88</v>
      </c>
    </row>
    <row r="5179" spans="1:7" x14ac:dyDescent="0.3">
      <c r="A5179" s="84">
        <v>2026</v>
      </c>
      <c r="B5179" s="84" t="s">
        <v>399</v>
      </c>
      <c r="C5179" s="84">
        <v>23</v>
      </c>
      <c r="D5179" s="84">
        <v>18</v>
      </c>
      <c r="E5179" s="85">
        <v>19576.759999999998</v>
      </c>
      <c r="F5179" s="85">
        <v>16809.8</v>
      </c>
      <c r="G5179" s="85">
        <v>-2766.96</v>
      </c>
    </row>
    <row r="5180" spans="1:7" x14ac:dyDescent="0.3">
      <c r="A5180" s="84">
        <v>2026</v>
      </c>
      <c r="B5180" s="84" t="s">
        <v>399</v>
      </c>
      <c r="C5180" s="84">
        <v>23</v>
      </c>
      <c r="D5180" s="84">
        <v>19</v>
      </c>
      <c r="E5180" s="85">
        <v>19576.759999999998</v>
      </c>
      <c r="F5180" s="85">
        <v>17219.86</v>
      </c>
      <c r="G5180" s="85">
        <v>-2356.9</v>
      </c>
    </row>
    <row r="5181" spans="1:7" x14ac:dyDescent="0.3">
      <c r="A5181" s="84">
        <v>2026</v>
      </c>
      <c r="B5181" s="84" t="s">
        <v>399</v>
      </c>
      <c r="C5181" s="84">
        <v>23</v>
      </c>
      <c r="D5181" s="84">
        <v>20</v>
      </c>
      <c r="E5181" s="85">
        <v>19576.759999999998</v>
      </c>
      <c r="F5181" s="85">
        <v>17629.64</v>
      </c>
      <c r="G5181" s="85">
        <v>-1947.12</v>
      </c>
    </row>
    <row r="5182" spans="1:7" x14ac:dyDescent="0.3">
      <c r="A5182" s="84">
        <v>2026</v>
      </c>
      <c r="B5182" s="84" t="s">
        <v>399</v>
      </c>
      <c r="C5182" s="84">
        <v>23</v>
      </c>
      <c r="D5182" s="84">
        <v>21</v>
      </c>
      <c r="E5182" s="85">
        <v>19576.759999999998</v>
      </c>
      <c r="F5182" s="85">
        <v>18243.82</v>
      </c>
      <c r="G5182" s="85">
        <v>-1332.94</v>
      </c>
    </row>
    <row r="5183" spans="1:7" x14ac:dyDescent="0.3">
      <c r="A5183" s="84">
        <v>2026</v>
      </c>
      <c r="B5183" s="84" t="s">
        <v>399</v>
      </c>
      <c r="C5183" s="84">
        <v>23</v>
      </c>
      <c r="D5183" s="84">
        <v>22</v>
      </c>
      <c r="E5183" s="85">
        <v>19576.759999999998</v>
      </c>
      <c r="F5183" s="85">
        <v>18909.099999999999</v>
      </c>
      <c r="G5183" s="85">
        <v>-667.66</v>
      </c>
    </row>
    <row r="5184" spans="1:7" x14ac:dyDescent="0.3">
      <c r="A5184" s="84">
        <v>2026</v>
      </c>
      <c r="B5184" s="84" t="s">
        <v>399</v>
      </c>
      <c r="C5184" s="84">
        <v>23</v>
      </c>
      <c r="D5184" s="84">
        <v>23</v>
      </c>
      <c r="E5184" s="85">
        <v>19576.759999999998</v>
      </c>
      <c r="F5184" s="85">
        <v>19576.759999999998</v>
      </c>
      <c r="G5184" s="85">
        <v>0</v>
      </c>
    </row>
    <row r="5185" spans="1:7" x14ac:dyDescent="0.3">
      <c r="A5185" s="84">
        <v>2026</v>
      </c>
      <c r="B5185" s="84" t="s">
        <v>399</v>
      </c>
      <c r="C5185" s="84">
        <v>23</v>
      </c>
      <c r="D5185" s="84">
        <v>24</v>
      </c>
      <c r="E5185" s="85">
        <v>19576.759999999998</v>
      </c>
      <c r="F5185" s="85">
        <v>20242.88</v>
      </c>
      <c r="G5185" s="85">
        <v>666.12</v>
      </c>
    </row>
    <row r="5186" spans="1:7" x14ac:dyDescent="0.3">
      <c r="A5186" s="84">
        <v>2026</v>
      </c>
      <c r="B5186" s="84" t="s">
        <v>399</v>
      </c>
      <c r="C5186" s="84">
        <v>23</v>
      </c>
      <c r="D5186" s="84">
        <v>25</v>
      </c>
      <c r="E5186" s="85">
        <v>19576.759999999998</v>
      </c>
      <c r="F5186" s="85">
        <v>20909.84</v>
      </c>
      <c r="G5186" s="85">
        <v>1333.08</v>
      </c>
    </row>
    <row r="5187" spans="1:7" x14ac:dyDescent="0.3">
      <c r="A5187" s="84">
        <v>2026</v>
      </c>
      <c r="B5187" s="84" t="s">
        <v>399</v>
      </c>
      <c r="C5187" s="84">
        <v>23</v>
      </c>
      <c r="D5187" s="84">
        <v>26</v>
      </c>
      <c r="E5187" s="85">
        <v>19576.759999999998</v>
      </c>
      <c r="F5187" s="85">
        <v>22346.799999999999</v>
      </c>
      <c r="G5187" s="85">
        <v>2770.04</v>
      </c>
    </row>
    <row r="5188" spans="1:7" x14ac:dyDescent="0.3">
      <c r="A5188" s="84">
        <v>2026</v>
      </c>
      <c r="B5188" s="84" t="s">
        <v>399</v>
      </c>
      <c r="C5188" s="84">
        <v>23</v>
      </c>
      <c r="D5188" s="84">
        <v>27</v>
      </c>
      <c r="E5188" s="85">
        <v>19576.759999999998</v>
      </c>
      <c r="F5188" s="85">
        <v>24128.720000000001</v>
      </c>
      <c r="G5188" s="85">
        <v>4551.96</v>
      </c>
    </row>
    <row r="5189" spans="1:7" x14ac:dyDescent="0.3">
      <c r="A5189" s="84">
        <v>2026</v>
      </c>
      <c r="B5189" s="84" t="s">
        <v>399</v>
      </c>
      <c r="C5189" s="84">
        <v>23</v>
      </c>
      <c r="D5189" s="84">
        <v>28</v>
      </c>
      <c r="E5189" s="85">
        <v>19576.759999999998</v>
      </c>
      <c r="F5189" s="85">
        <v>24795.82</v>
      </c>
      <c r="G5189" s="85">
        <v>5219.0600000000004</v>
      </c>
    </row>
    <row r="5190" spans="1:7" x14ac:dyDescent="0.3">
      <c r="A5190" s="84">
        <v>2026</v>
      </c>
      <c r="B5190" s="84" t="s">
        <v>399</v>
      </c>
      <c r="C5190" s="84">
        <v>23</v>
      </c>
      <c r="D5190" s="84">
        <v>29</v>
      </c>
      <c r="E5190" s="85">
        <v>19576.759999999998</v>
      </c>
      <c r="F5190" s="85">
        <v>25461.94</v>
      </c>
      <c r="G5190" s="85">
        <v>5885.18</v>
      </c>
    </row>
    <row r="5191" spans="1:7" x14ac:dyDescent="0.3">
      <c r="A5191" s="84">
        <v>2026</v>
      </c>
      <c r="B5191" s="84" t="s">
        <v>399</v>
      </c>
      <c r="C5191" s="84">
        <v>23</v>
      </c>
      <c r="D5191" s="84">
        <v>30</v>
      </c>
      <c r="E5191" s="85">
        <v>19576.759999999998</v>
      </c>
      <c r="F5191" s="85">
        <v>27284.38</v>
      </c>
      <c r="G5191" s="85">
        <v>7707.62</v>
      </c>
    </row>
    <row r="5192" spans="1:7" x14ac:dyDescent="0.3">
      <c r="A5192" s="84">
        <v>2026</v>
      </c>
      <c r="B5192" s="84" t="s">
        <v>399</v>
      </c>
      <c r="C5192" s="84">
        <v>24</v>
      </c>
      <c r="D5192" s="84">
        <v>1</v>
      </c>
      <c r="E5192" s="85">
        <v>20242.88</v>
      </c>
      <c r="F5192" s="85">
        <v>11279.66</v>
      </c>
      <c r="G5192" s="85">
        <v>-8963.2199999999993</v>
      </c>
    </row>
    <row r="5193" spans="1:7" x14ac:dyDescent="0.3">
      <c r="A5193" s="84">
        <v>2026</v>
      </c>
      <c r="B5193" s="84" t="s">
        <v>399</v>
      </c>
      <c r="C5193" s="84">
        <v>24</v>
      </c>
      <c r="D5193" s="84">
        <v>2</v>
      </c>
      <c r="E5193" s="85">
        <v>20242.88</v>
      </c>
      <c r="F5193" s="85">
        <v>11586.96</v>
      </c>
      <c r="G5193" s="85">
        <v>-8655.92</v>
      </c>
    </row>
    <row r="5194" spans="1:7" x14ac:dyDescent="0.3">
      <c r="A5194" s="84">
        <v>2026</v>
      </c>
      <c r="B5194" s="84" t="s">
        <v>399</v>
      </c>
      <c r="C5194" s="84">
        <v>24</v>
      </c>
      <c r="D5194" s="84">
        <v>3</v>
      </c>
      <c r="E5194" s="85">
        <v>20242.88</v>
      </c>
      <c r="F5194" s="85">
        <v>11894.54</v>
      </c>
      <c r="G5194" s="85">
        <v>-8348.34</v>
      </c>
    </row>
    <row r="5195" spans="1:7" x14ac:dyDescent="0.3">
      <c r="A5195" s="84">
        <v>2026</v>
      </c>
      <c r="B5195" s="84" t="s">
        <v>399</v>
      </c>
      <c r="C5195" s="84">
        <v>24</v>
      </c>
      <c r="D5195" s="84">
        <v>4</v>
      </c>
      <c r="E5195" s="85">
        <v>20242.88</v>
      </c>
      <c r="F5195" s="85">
        <v>12200.86</v>
      </c>
      <c r="G5195" s="85">
        <v>-8042.02</v>
      </c>
    </row>
    <row r="5196" spans="1:7" x14ac:dyDescent="0.3">
      <c r="A5196" s="84">
        <v>2026</v>
      </c>
      <c r="B5196" s="84" t="s">
        <v>399</v>
      </c>
      <c r="C5196" s="84">
        <v>24</v>
      </c>
      <c r="D5196" s="84">
        <v>5</v>
      </c>
      <c r="E5196" s="85">
        <v>20242.88</v>
      </c>
      <c r="F5196" s="85">
        <v>12507.88</v>
      </c>
      <c r="G5196" s="85">
        <v>-7735</v>
      </c>
    </row>
    <row r="5197" spans="1:7" x14ac:dyDescent="0.3">
      <c r="A5197" s="84">
        <v>2026</v>
      </c>
      <c r="B5197" s="84" t="s">
        <v>399</v>
      </c>
      <c r="C5197" s="84">
        <v>24</v>
      </c>
      <c r="D5197" s="84">
        <v>6</v>
      </c>
      <c r="E5197" s="85">
        <v>20242.88</v>
      </c>
      <c r="F5197" s="85">
        <v>12712.7</v>
      </c>
      <c r="G5197" s="85">
        <v>-7530.18</v>
      </c>
    </row>
    <row r="5198" spans="1:7" x14ac:dyDescent="0.3">
      <c r="A5198" s="84">
        <v>2026</v>
      </c>
      <c r="B5198" s="84" t="s">
        <v>399</v>
      </c>
      <c r="C5198" s="84">
        <v>24</v>
      </c>
      <c r="D5198" s="84">
        <v>7</v>
      </c>
      <c r="E5198" s="85">
        <v>20242.88</v>
      </c>
      <c r="F5198" s="85">
        <v>12917.94</v>
      </c>
      <c r="G5198" s="85">
        <v>-7324.94</v>
      </c>
    </row>
    <row r="5199" spans="1:7" x14ac:dyDescent="0.3">
      <c r="A5199" s="84">
        <v>2026</v>
      </c>
      <c r="B5199" s="84" t="s">
        <v>399</v>
      </c>
      <c r="C5199" s="84">
        <v>24</v>
      </c>
      <c r="D5199" s="84">
        <v>8</v>
      </c>
      <c r="E5199" s="85">
        <v>20242.88</v>
      </c>
      <c r="F5199" s="85">
        <v>13122.48</v>
      </c>
      <c r="G5199" s="85">
        <v>-7120.4</v>
      </c>
    </row>
    <row r="5200" spans="1:7" x14ac:dyDescent="0.3">
      <c r="A5200" s="84">
        <v>2026</v>
      </c>
      <c r="B5200" s="84" t="s">
        <v>399</v>
      </c>
      <c r="C5200" s="84">
        <v>24</v>
      </c>
      <c r="D5200" s="84">
        <v>9</v>
      </c>
      <c r="E5200" s="85">
        <v>20242.88</v>
      </c>
      <c r="F5200" s="85">
        <v>13327.86</v>
      </c>
      <c r="G5200" s="85">
        <v>-6915.02</v>
      </c>
    </row>
    <row r="5201" spans="1:7" x14ac:dyDescent="0.3">
      <c r="A5201" s="84">
        <v>2026</v>
      </c>
      <c r="B5201" s="84" t="s">
        <v>399</v>
      </c>
      <c r="C5201" s="84">
        <v>24</v>
      </c>
      <c r="D5201" s="84">
        <v>10</v>
      </c>
      <c r="E5201" s="85">
        <v>20242.88</v>
      </c>
      <c r="F5201" s="85">
        <v>13532.82</v>
      </c>
      <c r="G5201" s="85">
        <v>-6710.06</v>
      </c>
    </row>
    <row r="5202" spans="1:7" x14ac:dyDescent="0.3">
      <c r="A5202" s="84">
        <v>2026</v>
      </c>
      <c r="B5202" s="84" t="s">
        <v>399</v>
      </c>
      <c r="C5202" s="84">
        <v>24</v>
      </c>
      <c r="D5202" s="84">
        <v>11</v>
      </c>
      <c r="E5202" s="85">
        <v>20242.88</v>
      </c>
      <c r="F5202" s="85">
        <v>13941.62</v>
      </c>
      <c r="G5202" s="85">
        <v>-6301.26</v>
      </c>
    </row>
    <row r="5203" spans="1:7" x14ac:dyDescent="0.3">
      <c r="A5203" s="84">
        <v>2026</v>
      </c>
      <c r="B5203" s="84" t="s">
        <v>399</v>
      </c>
      <c r="C5203" s="84">
        <v>24</v>
      </c>
      <c r="D5203" s="84">
        <v>12</v>
      </c>
      <c r="E5203" s="85">
        <v>20242.88</v>
      </c>
      <c r="F5203" s="85">
        <v>14351.54</v>
      </c>
      <c r="G5203" s="85">
        <v>-5891.34</v>
      </c>
    </row>
    <row r="5204" spans="1:7" x14ac:dyDescent="0.3">
      <c r="A5204" s="84">
        <v>2026</v>
      </c>
      <c r="B5204" s="84" t="s">
        <v>399</v>
      </c>
      <c r="C5204" s="84">
        <v>24</v>
      </c>
      <c r="D5204" s="84">
        <v>13</v>
      </c>
      <c r="E5204" s="85">
        <v>20242.88</v>
      </c>
      <c r="F5204" s="85">
        <v>14761.32</v>
      </c>
      <c r="G5204" s="85">
        <v>-5481.56</v>
      </c>
    </row>
    <row r="5205" spans="1:7" x14ac:dyDescent="0.3">
      <c r="A5205" s="84">
        <v>2026</v>
      </c>
      <c r="B5205" s="84" t="s">
        <v>399</v>
      </c>
      <c r="C5205" s="84">
        <v>24</v>
      </c>
      <c r="D5205" s="84">
        <v>14</v>
      </c>
      <c r="E5205" s="85">
        <v>20242.88</v>
      </c>
      <c r="F5205" s="85">
        <v>15171.52</v>
      </c>
      <c r="G5205" s="85">
        <v>-5071.3599999999997</v>
      </c>
    </row>
    <row r="5206" spans="1:7" x14ac:dyDescent="0.3">
      <c r="A5206" s="84">
        <v>2026</v>
      </c>
      <c r="B5206" s="84" t="s">
        <v>399</v>
      </c>
      <c r="C5206" s="84">
        <v>24</v>
      </c>
      <c r="D5206" s="84">
        <v>15</v>
      </c>
      <c r="E5206" s="85">
        <v>20242.88</v>
      </c>
      <c r="F5206" s="85">
        <v>15581.16</v>
      </c>
      <c r="G5206" s="85">
        <v>-4661.72</v>
      </c>
    </row>
    <row r="5207" spans="1:7" x14ac:dyDescent="0.3">
      <c r="A5207" s="84">
        <v>2026</v>
      </c>
      <c r="B5207" s="84" t="s">
        <v>399</v>
      </c>
      <c r="C5207" s="84">
        <v>24</v>
      </c>
      <c r="D5207" s="84">
        <v>16</v>
      </c>
      <c r="E5207" s="85">
        <v>20242.88</v>
      </c>
      <c r="F5207" s="85">
        <v>15990.8</v>
      </c>
      <c r="G5207" s="85">
        <v>-4252.08</v>
      </c>
    </row>
    <row r="5208" spans="1:7" x14ac:dyDescent="0.3">
      <c r="A5208" s="84">
        <v>2026</v>
      </c>
      <c r="B5208" s="84" t="s">
        <v>399</v>
      </c>
      <c r="C5208" s="84">
        <v>24</v>
      </c>
      <c r="D5208" s="84">
        <v>17</v>
      </c>
      <c r="E5208" s="85">
        <v>20242.88</v>
      </c>
      <c r="F5208" s="85">
        <v>16399.88</v>
      </c>
      <c r="G5208" s="85">
        <v>-3843</v>
      </c>
    </row>
    <row r="5209" spans="1:7" x14ac:dyDescent="0.3">
      <c r="A5209" s="84">
        <v>2026</v>
      </c>
      <c r="B5209" s="84" t="s">
        <v>399</v>
      </c>
      <c r="C5209" s="84">
        <v>24</v>
      </c>
      <c r="D5209" s="84">
        <v>18</v>
      </c>
      <c r="E5209" s="85">
        <v>20242.88</v>
      </c>
      <c r="F5209" s="85">
        <v>16809.8</v>
      </c>
      <c r="G5209" s="85">
        <v>-3433.08</v>
      </c>
    </row>
    <row r="5210" spans="1:7" x14ac:dyDescent="0.3">
      <c r="A5210" s="84">
        <v>2026</v>
      </c>
      <c r="B5210" s="84" t="s">
        <v>399</v>
      </c>
      <c r="C5210" s="84">
        <v>24</v>
      </c>
      <c r="D5210" s="84">
        <v>19</v>
      </c>
      <c r="E5210" s="85">
        <v>20242.88</v>
      </c>
      <c r="F5210" s="85">
        <v>17219.86</v>
      </c>
      <c r="G5210" s="85">
        <v>-3023.02</v>
      </c>
    </row>
    <row r="5211" spans="1:7" x14ac:dyDescent="0.3">
      <c r="A5211" s="84">
        <v>2026</v>
      </c>
      <c r="B5211" s="84" t="s">
        <v>399</v>
      </c>
      <c r="C5211" s="84">
        <v>24</v>
      </c>
      <c r="D5211" s="84">
        <v>20</v>
      </c>
      <c r="E5211" s="85">
        <v>20242.88</v>
      </c>
      <c r="F5211" s="85">
        <v>17629.64</v>
      </c>
      <c r="G5211" s="85">
        <v>-2613.2399999999998</v>
      </c>
    </row>
    <row r="5212" spans="1:7" x14ac:dyDescent="0.3">
      <c r="A5212" s="84">
        <v>2026</v>
      </c>
      <c r="B5212" s="84" t="s">
        <v>399</v>
      </c>
      <c r="C5212" s="84">
        <v>24</v>
      </c>
      <c r="D5212" s="84">
        <v>21</v>
      </c>
      <c r="E5212" s="85">
        <v>20242.88</v>
      </c>
      <c r="F5212" s="85">
        <v>18243.82</v>
      </c>
      <c r="G5212" s="85">
        <v>-1999.06</v>
      </c>
    </row>
    <row r="5213" spans="1:7" x14ac:dyDescent="0.3">
      <c r="A5213" s="84">
        <v>2026</v>
      </c>
      <c r="B5213" s="84" t="s">
        <v>399</v>
      </c>
      <c r="C5213" s="84">
        <v>24</v>
      </c>
      <c r="D5213" s="84">
        <v>22</v>
      </c>
      <c r="E5213" s="85">
        <v>20242.88</v>
      </c>
      <c r="F5213" s="85">
        <v>18909.099999999999</v>
      </c>
      <c r="G5213" s="85">
        <v>-1333.78</v>
      </c>
    </row>
    <row r="5214" spans="1:7" x14ac:dyDescent="0.3">
      <c r="A5214" s="84">
        <v>2026</v>
      </c>
      <c r="B5214" s="84" t="s">
        <v>399</v>
      </c>
      <c r="C5214" s="84">
        <v>24</v>
      </c>
      <c r="D5214" s="84">
        <v>23</v>
      </c>
      <c r="E5214" s="85">
        <v>20242.88</v>
      </c>
      <c r="F5214" s="85">
        <v>19576.759999999998</v>
      </c>
      <c r="G5214" s="85">
        <v>-666.12</v>
      </c>
    </row>
    <row r="5215" spans="1:7" x14ac:dyDescent="0.3">
      <c r="A5215" s="84">
        <v>2026</v>
      </c>
      <c r="B5215" s="84" t="s">
        <v>399</v>
      </c>
      <c r="C5215" s="84">
        <v>24</v>
      </c>
      <c r="D5215" s="84">
        <v>24</v>
      </c>
      <c r="E5215" s="85">
        <v>20242.88</v>
      </c>
      <c r="F5215" s="85">
        <v>20242.88</v>
      </c>
      <c r="G5215" s="85">
        <v>0</v>
      </c>
    </row>
    <row r="5216" spans="1:7" x14ac:dyDescent="0.3">
      <c r="A5216" s="84">
        <v>2026</v>
      </c>
      <c r="B5216" s="84" t="s">
        <v>399</v>
      </c>
      <c r="C5216" s="84">
        <v>24</v>
      </c>
      <c r="D5216" s="84">
        <v>25</v>
      </c>
      <c r="E5216" s="85">
        <v>20242.88</v>
      </c>
      <c r="F5216" s="85">
        <v>20909.84</v>
      </c>
      <c r="G5216" s="85">
        <v>666.96</v>
      </c>
    </row>
    <row r="5217" spans="1:7" x14ac:dyDescent="0.3">
      <c r="A5217" s="84">
        <v>2026</v>
      </c>
      <c r="B5217" s="84" t="s">
        <v>399</v>
      </c>
      <c r="C5217" s="84">
        <v>24</v>
      </c>
      <c r="D5217" s="84">
        <v>26</v>
      </c>
      <c r="E5217" s="85">
        <v>20242.88</v>
      </c>
      <c r="F5217" s="85">
        <v>22346.799999999999</v>
      </c>
      <c r="G5217" s="85">
        <v>2103.92</v>
      </c>
    </row>
    <row r="5218" spans="1:7" x14ac:dyDescent="0.3">
      <c r="A5218" s="84">
        <v>2026</v>
      </c>
      <c r="B5218" s="84" t="s">
        <v>399</v>
      </c>
      <c r="C5218" s="84">
        <v>24</v>
      </c>
      <c r="D5218" s="84">
        <v>27</v>
      </c>
      <c r="E5218" s="85">
        <v>20242.88</v>
      </c>
      <c r="F5218" s="85">
        <v>24128.720000000001</v>
      </c>
      <c r="G5218" s="85">
        <v>3885.84</v>
      </c>
    </row>
    <row r="5219" spans="1:7" x14ac:dyDescent="0.3">
      <c r="A5219" s="84">
        <v>2026</v>
      </c>
      <c r="B5219" s="84" t="s">
        <v>399</v>
      </c>
      <c r="C5219" s="84">
        <v>24</v>
      </c>
      <c r="D5219" s="84">
        <v>28</v>
      </c>
      <c r="E5219" s="85">
        <v>20242.88</v>
      </c>
      <c r="F5219" s="85">
        <v>24795.82</v>
      </c>
      <c r="G5219" s="85">
        <v>4552.9399999999996</v>
      </c>
    </row>
    <row r="5220" spans="1:7" x14ac:dyDescent="0.3">
      <c r="A5220" s="84">
        <v>2026</v>
      </c>
      <c r="B5220" s="84" t="s">
        <v>399</v>
      </c>
      <c r="C5220" s="84">
        <v>24</v>
      </c>
      <c r="D5220" s="84">
        <v>29</v>
      </c>
      <c r="E5220" s="85">
        <v>20242.88</v>
      </c>
      <c r="F5220" s="85">
        <v>25461.94</v>
      </c>
      <c r="G5220" s="85">
        <v>5219.0600000000004</v>
      </c>
    </row>
    <row r="5221" spans="1:7" x14ac:dyDescent="0.3">
      <c r="A5221" s="84">
        <v>2026</v>
      </c>
      <c r="B5221" s="84" t="s">
        <v>399</v>
      </c>
      <c r="C5221" s="84">
        <v>24</v>
      </c>
      <c r="D5221" s="84">
        <v>30</v>
      </c>
      <c r="E5221" s="85">
        <v>20242.88</v>
      </c>
      <c r="F5221" s="85">
        <v>27284.38</v>
      </c>
      <c r="G5221" s="85">
        <v>7041.5</v>
      </c>
    </row>
    <row r="5222" spans="1:7" x14ac:dyDescent="0.3">
      <c r="A5222" s="84">
        <v>2026</v>
      </c>
      <c r="B5222" s="84" t="s">
        <v>399</v>
      </c>
      <c r="C5222" s="84">
        <v>25</v>
      </c>
      <c r="D5222" s="84">
        <v>1</v>
      </c>
      <c r="E5222" s="85">
        <v>20909.84</v>
      </c>
      <c r="F5222" s="85">
        <v>11279.66</v>
      </c>
      <c r="G5222" s="85">
        <v>-9630.18</v>
      </c>
    </row>
    <row r="5223" spans="1:7" x14ac:dyDescent="0.3">
      <c r="A5223" s="84">
        <v>2026</v>
      </c>
      <c r="B5223" s="84" t="s">
        <v>399</v>
      </c>
      <c r="C5223" s="84">
        <v>25</v>
      </c>
      <c r="D5223" s="84">
        <v>2</v>
      </c>
      <c r="E5223" s="85">
        <v>20909.84</v>
      </c>
      <c r="F5223" s="85">
        <v>11586.96</v>
      </c>
      <c r="G5223" s="85">
        <v>-9322.8799999999992</v>
      </c>
    </row>
    <row r="5224" spans="1:7" x14ac:dyDescent="0.3">
      <c r="A5224" s="84">
        <v>2026</v>
      </c>
      <c r="B5224" s="84" t="s">
        <v>399</v>
      </c>
      <c r="C5224" s="84">
        <v>25</v>
      </c>
      <c r="D5224" s="84">
        <v>3</v>
      </c>
      <c r="E5224" s="85">
        <v>20909.84</v>
      </c>
      <c r="F5224" s="85">
        <v>11894.54</v>
      </c>
      <c r="G5224" s="85">
        <v>-9015.2999999999993</v>
      </c>
    </row>
    <row r="5225" spans="1:7" x14ac:dyDescent="0.3">
      <c r="A5225" s="84">
        <v>2026</v>
      </c>
      <c r="B5225" s="84" t="s">
        <v>399</v>
      </c>
      <c r="C5225" s="84">
        <v>25</v>
      </c>
      <c r="D5225" s="84">
        <v>4</v>
      </c>
      <c r="E5225" s="85">
        <v>20909.84</v>
      </c>
      <c r="F5225" s="85">
        <v>12200.86</v>
      </c>
      <c r="G5225" s="85">
        <v>-8708.98</v>
      </c>
    </row>
    <row r="5226" spans="1:7" x14ac:dyDescent="0.3">
      <c r="A5226" s="84">
        <v>2026</v>
      </c>
      <c r="B5226" s="84" t="s">
        <v>399</v>
      </c>
      <c r="C5226" s="84">
        <v>25</v>
      </c>
      <c r="D5226" s="84">
        <v>5</v>
      </c>
      <c r="E5226" s="85">
        <v>20909.84</v>
      </c>
      <c r="F5226" s="85">
        <v>12507.88</v>
      </c>
      <c r="G5226" s="85">
        <v>-8401.9599999999991</v>
      </c>
    </row>
    <row r="5227" spans="1:7" x14ac:dyDescent="0.3">
      <c r="A5227" s="84">
        <v>2026</v>
      </c>
      <c r="B5227" s="84" t="s">
        <v>399</v>
      </c>
      <c r="C5227" s="84">
        <v>25</v>
      </c>
      <c r="D5227" s="84">
        <v>6</v>
      </c>
      <c r="E5227" s="85">
        <v>20909.84</v>
      </c>
      <c r="F5227" s="85">
        <v>12712.7</v>
      </c>
      <c r="G5227" s="85">
        <v>-8197.14</v>
      </c>
    </row>
    <row r="5228" spans="1:7" x14ac:dyDescent="0.3">
      <c r="A5228" s="84">
        <v>2026</v>
      </c>
      <c r="B5228" s="84" t="s">
        <v>399</v>
      </c>
      <c r="C5228" s="84">
        <v>25</v>
      </c>
      <c r="D5228" s="84">
        <v>7</v>
      </c>
      <c r="E5228" s="85">
        <v>20909.84</v>
      </c>
      <c r="F5228" s="85">
        <v>12917.94</v>
      </c>
      <c r="G5228" s="85">
        <v>-7991.9</v>
      </c>
    </row>
    <row r="5229" spans="1:7" x14ac:dyDescent="0.3">
      <c r="A5229" s="84">
        <v>2026</v>
      </c>
      <c r="B5229" s="84" t="s">
        <v>399</v>
      </c>
      <c r="C5229" s="84">
        <v>25</v>
      </c>
      <c r="D5229" s="84">
        <v>8</v>
      </c>
      <c r="E5229" s="85">
        <v>20909.84</v>
      </c>
      <c r="F5229" s="85">
        <v>13122.48</v>
      </c>
      <c r="G5229" s="85">
        <v>-7787.36</v>
      </c>
    </row>
    <row r="5230" spans="1:7" x14ac:dyDescent="0.3">
      <c r="A5230" s="84">
        <v>2026</v>
      </c>
      <c r="B5230" s="84" t="s">
        <v>399</v>
      </c>
      <c r="C5230" s="84">
        <v>25</v>
      </c>
      <c r="D5230" s="84">
        <v>9</v>
      </c>
      <c r="E5230" s="85">
        <v>20909.84</v>
      </c>
      <c r="F5230" s="85">
        <v>13327.86</v>
      </c>
      <c r="G5230" s="85">
        <v>-7581.98</v>
      </c>
    </row>
    <row r="5231" spans="1:7" x14ac:dyDescent="0.3">
      <c r="A5231" s="84">
        <v>2026</v>
      </c>
      <c r="B5231" s="84" t="s">
        <v>399</v>
      </c>
      <c r="C5231" s="84">
        <v>25</v>
      </c>
      <c r="D5231" s="84">
        <v>10</v>
      </c>
      <c r="E5231" s="85">
        <v>20909.84</v>
      </c>
      <c r="F5231" s="85">
        <v>13532.82</v>
      </c>
      <c r="G5231" s="85">
        <v>-7377.02</v>
      </c>
    </row>
    <row r="5232" spans="1:7" x14ac:dyDescent="0.3">
      <c r="A5232" s="84">
        <v>2026</v>
      </c>
      <c r="B5232" s="84" t="s">
        <v>399</v>
      </c>
      <c r="C5232" s="84">
        <v>25</v>
      </c>
      <c r="D5232" s="84">
        <v>11</v>
      </c>
      <c r="E5232" s="85">
        <v>20909.84</v>
      </c>
      <c r="F5232" s="85">
        <v>13941.62</v>
      </c>
      <c r="G5232" s="85">
        <v>-6968.22</v>
      </c>
    </row>
    <row r="5233" spans="1:7" x14ac:dyDescent="0.3">
      <c r="A5233" s="84">
        <v>2026</v>
      </c>
      <c r="B5233" s="84" t="s">
        <v>399</v>
      </c>
      <c r="C5233" s="84">
        <v>25</v>
      </c>
      <c r="D5233" s="84">
        <v>12</v>
      </c>
      <c r="E5233" s="85">
        <v>20909.84</v>
      </c>
      <c r="F5233" s="85">
        <v>14351.54</v>
      </c>
      <c r="G5233" s="85">
        <v>-6558.3</v>
      </c>
    </row>
    <row r="5234" spans="1:7" x14ac:dyDescent="0.3">
      <c r="A5234" s="84">
        <v>2026</v>
      </c>
      <c r="B5234" s="84" t="s">
        <v>399</v>
      </c>
      <c r="C5234" s="84">
        <v>25</v>
      </c>
      <c r="D5234" s="84">
        <v>13</v>
      </c>
      <c r="E5234" s="85">
        <v>20909.84</v>
      </c>
      <c r="F5234" s="85">
        <v>14761.32</v>
      </c>
      <c r="G5234" s="85">
        <v>-6148.52</v>
      </c>
    </row>
    <row r="5235" spans="1:7" x14ac:dyDescent="0.3">
      <c r="A5235" s="84">
        <v>2026</v>
      </c>
      <c r="B5235" s="84" t="s">
        <v>399</v>
      </c>
      <c r="C5235" s="84">
        <v>25</v>
      </c>
      <c r="D5235" s="84">
        <v>14</v>
      </c>
      <c r="E5235" s="85">
        <v>20909.84</v>
      </c>
      <c r="F5235" s="85">
        <v>15171.52</v>
      </c>
      <c r="G5235" s="85">
        <v>-5738.32</v>
      </c>
    </row>
    <row r="5236" spans="1:7" x14ac:dyDescent="0.3">
      <c r="A5236" s="84">
        <v>2026</v>
      </c>
      <c r="B5236" s="84" t="s">
        <v>399</v>
      </c>
      <c r="C5236" s="84">
        <v>25</v>
      </c>
      <c r="D5236" s="84">
        <v>15</v>
      </c>
      <c r="E5236" s="85">
        <v>20909.84</v>
      </c>
      <c r="F5236" s="85">
        <v>15581.16</v>
      </c>
      <c r="G5236" s="85">
        <v>-5328.68</v>
      </c>
    </row>
    <row r="5237" spans="1:7" x14ac:dyDescent="0.3">
      <c r="A5237" s="84">
        <v>2026</v>
      </c>
      <c r="B5237" s="84" t="s">
        <v>399</v>
      </c>
      <c r="C5237" s="84">
        <v>25</v>
      </c>
      <c r="D5237" s="84">
        <v>16</v>
      </c>
      <c r="E5237" s="85">
        <v>20909.84</v>
      </c>
      <c r="F5237" s="85">
        <v>15990.8</v>
      </c>
      <c r="G5237" s="85">
        <v>-4919.04</v>
      </c>
    </row>
    <row r="5238" spans="1:7" x14ac:dyDescent="0.3">
      <c r="A5238" s="84">
        <v>2026</v>
      </c>
      <c r="B5238" s="84" t="s">
        <v>399</v>
      </c>
      <c r="C5238" s="84">
        <v>25</v>
      </c>
      <c r="D5238" s="84">
        <v>17</v>
      </c>
      <c r="E5238" s="85">
        <v>20909.84</v>
      </c>
      <c r="F5238" s="85">
        <v>16399.88</v>
      </c>
      <c r="G5238" s="85">
        <v>-4509.96</v>
      </c>
    </row>
    <row r="5239" spans="1:7" x14ac:dyDescent="0.3">
      <c r="A5239" s="84">
        <v>2026</v>
      </c>
      <c r="B5239" s="84" t="s">
        <v>399</v>
      </c>
      <c r="C5239" s="84">
        <v>25</v>
      </c>
      <c r="D5239" s="84">
        <v>18</v>
      </c>
      <c r="E5239" s="85">
        <v>20909.84</v>
      </c>
      <c r="F5239" s="85">
        <v>16809.8</v>
      </c>
      <c r="G5239" s="85">
        <v>-4100.04</v>
      </c>
    </row>
    <row r="5240" spans="1:7" x14ac:dyDescent="0.3">
      <c r="A5240" s="84">
        <v>2026</v>
      </c>
      <c r="B5240" s="84" t="s">
        <v>399</v>
      </c>
      <c r="C5240" s="84">
        <v>25</v>
      </c>
      <c r="D5240" s="84">
        <v>19</v>
      </c>
      <c r="E5240" s="85">
        <v>20909.84</v>
      </c>
      <c r="F5240" s="85">
        <v>17219.86</v>
      </c>
      <c r="G5240" s="85">
        <v>-3689.98</v>
      </c>
    </row>
    <row r="5241" spans="1:7" x14ac:dyDescent="0.3">
      <c r="A5241" s="84">
        <v>2026</v>
      </c>
      <c r="B5241" s="84" t="s">
        <v>399</v>
      </c>
      <c r="C5241" s="84">
        <v>25</v>
      </c>
      <c r="D5241" s="84">
        <v>20</v>
      </c>
      <c r="E5241" s="85">
        <v>20909.84</v>
      </c>
      <c r="F5241" s="85">
        <v>17629.64</v>
      </c>
      <c r="G5241" s="85">
        <v>-3280.2</v>
      </c>
    </row>
    <row r="5242" spans="1:7" x14ac:dyDescent="0.3">
      <c r="A5242" s="84">
        <v>2026</v>
      </c>
      <c r="B5242" s="84" t="s">
        <v>399</v>
      </c>
      <c r="C5242" s="84">
        <v>25</v>
      </c>
      <c r="D5242" s="84">
        <v>21</v>
      </c>
      <c r="E5242" s="85">
        <v>20909.84</v>
      </c>
      <c r="F5242" s="85">
        <v>18243.82</v>
      </c>
      <c r="G5242" s="85">
        <v>-2666.02</v>
      </c>
    </row>
    <row r="5243" spans="1:7" x14ac:dyDescent="0.3">
      <c r="A5243" s="84">
        <v>2026</v>
      </c>
      <c r="B5243" s="84" t="s">
        <v>399</v>
      </c>
      <c r="C5243" s="84">
        <v>25</v>
      </c>
      <c r="D5243" s="84">
        <v>22</v>
      </c>
      <c r="E5243" s="85">
        <v>20909.84</v>
      </c>
      <c r="F5243" s="85">
        <v>18909.099999999999</v>
      </c>
      <c r="G5243" s="85">
        <v>-2000.74</v>
      </c>
    </row>
    <row r="5244" spans="1:7" x14ac:dyDescent="0.3">
      <c r="A5244" s="84">
        <v>2026</v>
      </c>
      <c r="B5244" s="84" t="s">
        <v>399</v>
      </c>
      <c r="C5244" s="84">
        <v>25</v>
      </c>
      <c r="D5244" s="84">
        <v>23</v>
      </c>
      <c r="E5244" s="85">
        <v>20909.84</v>
      </c>
      <c r="F5244" s="85">
        <v>19576.759999999998</v>
      </c>
      <c r="G5244" s="85">
        <v>-1333.08</v>
      </c>
    </row>
    <row r="5245" spans="1:7" x14ac:dyDescent="0.3">
      <c r="A5245" s="84">
        <v>2026</v>
      </c>
      <c r="B5245" s="84" t="s">
        <v>399</v>
      </c>
      <c r="C5245" s="84">
        <v>25</v>
      </c>
      <c r="D5245" s="84">
        <v>24</v>
      </c>
      <c r="E5245" s="85">
        <v>20909.84</v>
      </c>
      <c r="F5245" s="85">
        <v>20242.88</v>
      </c>
      <c r="G5245" s="85">
        <v>-666.96</v>
      </c>
    </row>
    <row r="5246" spans="1:7" x14ac:dyDescent="0.3">
      <c r="A5246" s="84">
        <v>2026</v>
      </c>
      <c r="B5246" s="84" t="s">
        <v>399</v>
      </c>
      <c r="C5246" s="84">
        <v>25</v>
      </c>
      <c r="D5246" s="84">
        <v>25</v>
      </c>
      <c r="E5246" s="85">
        <v>20909.84</v>
      </c>
      <c r="F5246" s="85">
        <v>20909.84</v>
      </c>
      <c r="G5246" s="85">
        <v>0</v>
      </c>
    </row>
    <row r="5247" spans="1:7" x14ac:dyDescent="0.3">
      <c r="A5247" s="84">
        <v>2026</v>
      </c>
      <c r="B5247" s="84" t="s">
        <v>399</v>
      </c>
      <c r="C5247" s="84">
        <v>25</v>
      </c>
      <c r="D5247" s="84">
        <v>26</v>
      </c>
      <c r="E5247" s="85">
        <v>20909.84</v>
      </c>
      <c r="F5247" s="85">
        <v>22346.799999999999</v>
      </c>
      <c r="G5247" s="85">
        <v>1436.96</v>
      </c>
    </row>
    <row r="5248" spans="1:7" x14ac:dyDescent="0.3">
      <c r="A5248" s="84">
        <v>2026</v>
      </c>
      <c r="B5248" s="84" t="s">
        <v>399</v>
      </c>
      <c r="C5248" s="84">
        <v>25</v>
      </c>
      <c r="D5248" s="84">
        <v>27</v>
      </c>
      <c r="E5248" s="85">
        <v>20909.84</v>
      </c>
      <c r="F5248" s="85">
        <v>24128.720000000001</v>
      </c>
      <c r="G5248" s="85">
        <v>3218.88</v>
      </c>
    </row>
    <row r="5249" spans="1:7" x14ac:dyDescent="0.3">
      <c r="A5249" s="84">
        <v>2026</v>
      </c>
      <c r="B5249" s="84" t="s">
        <v>399</v>
      </c>
      <c r="C5249" s="84">
        <v>25</v>
      </c>
      <c r="D5249" s="84">
        <v>28</v>
      </c>
      <c r="E5249" s="85">
        <v>20909.84</v>
      </c>
      <c r="F5249" s="85">
        <v>24795.82</v>
      </c>
      <c r="G5249" s="85">
        <v>3885.98</v>
      </c>
    </row>
    <row r="5250" spans="1:7" x14ac:dyDescent="0.3">
      <c r="A5250" s="84">
        <v>2026</v>
      </c>
      <c r="B5250" s="84" t="s">
        <v>399</v>
      </c>
      <c r="C5250" s="84">
        <v>25</v>
      </c>
      <c r="D5250" s="84">
        <v>29</v>
      </c>
      <c r="E5250" s="85">
        <v>20909.84</v>
      </c>
      <c r="F5250" s="85">
        <v>25461.94</v>
      </c>
      <c r="G5250" s="85">
        <v>4552.1000000000004</v>
      </c>
    </row>
    <row r="5251" spans="1:7" x14ac:dyDescent="0.3">
      <c r="A5251" s="84">
        <v>2026</v>
      </c>
      <c r="B5251" s="84" t="s">
        <v>399</v>
      </c>
      <c r="C5251" s="84">
        <v>25</v>
      </c>
      <c r="D5251" s="84">
        <v>30</v>
      </c>
      <c r="E5251" s="85">
        <v>20909.84</v>
      </c>
      <c r="F5251" s="85">
        <v>27284.38</v>
      </c>
      <c r="G5251" s="85">
        <v>6374.54</v>
      </c>
    </row>
    <row r="5252" spans="1:7" x14ac:dyDescent="0.3">
      <c r="A5252" s="84">
        <v>2026</v>
      </c>
      <c r="B5252" s="84" t="s">
        <v>399</v>
      </c>
      <c r="C5252" s="84">
        <v>26</v>
      </c>
      <c r="D5252" s="84">
        <v>1</v>
      </c>
      <c r="E5252" s="85">
        <v>22346.799999999999</v>
      </c>
      <c r="F5252" s="85">
        <v>11279.66</v>
      </c>
      <c r="G5252" s="85">
        <v>-11067.14</v>
      </c>
    </row>
    <row r="5253" spans="1:7" x14ac:dyDescent="0.3">
      <c r="A5253" s="84">
        <v>2026</v>
      </c>
      <c r="B5253" s="84" t="s">
        <v>399</v>
      </c>
      <c r="C5253" s="84">
        <v>26</v>
      </c>
      <c r="D5253" s="84">
        <v>2</v>
      </c>
      <c r="E5253" s="85">
        <v>22346.799999999999</v>
      </c>
      <c r="F5253" s="85">
        <v>11586.96</v>
      </c>
      <c r="G5253" s="85">
        <v>-10759.84</v>
      </c>
    </row>
    <row r="5254" spans="1:7" x14ac:dyDescent="0.3">
      <c r="A5254" s="84">
        <v>2026</v>
      </c>
      <c r="B5254" s="84" t="s">
        <v>399</v>
      </c>
      <c r="C5254" s="84">
        <v>26</v>
      </c>
      <c r="D5254" s="84">
        <v>3</v>
      </c>
      <c r="E5254" s="85">
        <v>22346.799999999999</v>
      </c>
      <c r="F5254" s="85">
        <v>11894.54</v>
      </c>
      <c r="G5254" s="85">
        <v>-10452.26</v>
      </c>
    </row>
    <row r="5255" spans="1:7" x14ac:dyDescent="0.3">
      <c r="A5255" s="84">
        <v>2026</v>
      </c>
      <c r="B5255" s="84" t="s">
        <v>399</v>
      </c>
      <c r="C5255" s="84">
        <v>26</v>
      </c>
      <c r="D5255" s="84">
        <v>4</v>
      </c>
      <c r="E5255" s="85">
        <v>22346.799999999999</v>
      </c>
      <c r="F5255" s="85">
        <v>12200.86</v>
      </c>
      <c r="G5255" s="85">
        <v>-10145.94</v>
      </c>
    </row>
    <row r="5256" spans="1:7" x14ac:dyDescent="0.3">
      <c r="A5256" s="84">
        <v>2026</v>
      </c>
      <c r="B5256" s="84" t="s">
        <v>399</v>
      </c>
      <c r="C5256" s="84">
        <v>26</v>
      </c>
      <c r="D5256" s="84">
        <v>5</v>
      </c>
      <c r="E5256" s="85">
        <v>22346.799999999999</v>
      </c>
      <c r="F5256" s="85">
        <v>12507.88</v>
      </c>
      <c r="G5256" s="85">
        <v>-9838.92</v>
      </c>
    </row>
    <row r="5257" spans="1:7" x14ac:dyDescent="0.3">
      <c r="A5257" s="84">
        <v>2026</v>
      </c>
      <c r="B5257" s="84" t="s">
        <v>399</v>
      </c>
      <c r="C5257" s="84">
        <v>26</v>
      </c>
      <c r="D5257" s="84">
        <v>6</v>
      </c>
      <c r="E5257" s="85">
        <v>22346.799999999999</v>
      </c>
      <c r="F5257" s="85">
        <v>12712.7</v>
      </c>
      <c r="G5257" s="85">
        <v>-9634.1</v>
      </c>
    </row>
    <row r="5258" spans="1:7" x14ac:dyDescent="0.3">
      <c r="A5258" s="84">
        <v>2026</v>
      </c>
      <c r="B5258" s="84" t="s">
        <v>399</v>
      </c>
      <c r="C5258" s="84">
        <v>26</v>
      </c>
      <c r="D5258" s="84">
        <v>7</v>
      </c>
      <c r="E5258" s="85">
        <v>22346.799999999999</v>
      </c>
      <c r="F5258" s="85">
        <v>12917.94</v>
      </c>
      <c r="G5258" s="85">
        <v>-9428.86</v>
      </c>
    </row>
    <row r="5259" spans="1:7" x14ac:dyDescent="0.3">
      <c r="A5259" s="84">
        <v>2026</v>
      </c>
      <c r="B5259" s="84" t="s">
        <v>399</v>
      </c>
      <c r="C5259" s="84">
        <v>26</v>
      </c>
      <c r="D5259" s="84">
        <v>8</v>
      </c>
      <c r="E5259" s="85">
        <v>22346.799999999999</v>
      </c>
      <c r="F5259" s="85">
        <v>13122.48</v>
      </c>
      <c r="G5259" s="85">
        <v>-9224.32</v>
      </c>
    </row>
    <row r="5260" spans="1:7" x14ac:dyDescent="0.3">
      <c r="A5260" s="84">
        <v>2026</v>
      </c>
      <c r="B5260" s="84" t="s">
        <v>399</v>
      </c>
      <c r="C5260" s="84">
        <v>26</v>
      </c>
      <c r="D5260" s="84">
        <v>9</v>
      </c>
      <c r="E5260" s="85">
        <v>22346.799999999999</v>
      </c>
      <c r="F5260" s="85">
        <v>13327.86</v>
      </c>
      <c r="G5260" s="85">
        <v>-9018.94</v>
      </c>
    </row>
    <row r="5261" spans="1:7" x14ac:dyDescent="0.3">
      <c r="A5261" s="84">
        <v>2026</v>
      </c>
      <c r="B5261" s="84" t="s">
        <v>399</v>
      </c>
      <c r="C5261" s="84">
        <v>26</v>
      </c>
      <c r="D5261" s="84">
        <v>10</v>
      </c>
      <c r="E5261" s="85">
        <v>22346.799999999999</v>
      </c>
      <c r="F5261" s="85">
        <v>13532.82</v>
      </c>
      <c r="G5261" s="85">
        <v>-8813.98</v>
      </c>
    </row>
    <row r="5262" spans="1:7" x14ac:dyDescent="0.3">
      <c r="A5262" s="84">
        <v>2026</v>
      </c>
      <c r="B5262" s="84" t="s">
        <v>399</v>
      </c>
      <c r="C5262" s="84">
        <v>26</v>
      </c>
      <c r="D5262" s="84">
        <v>11</v>
      </c>
      <c r="E5262" s="85">
        <v>22346.799999999999</v>
      </c>
      <c r="F5262" s="85">
        <v>13941.62</v>
      </c>
      <c r="G5262" s="85">
        <v>-8405.18</v>
      </c>
    </row>
    <row r="5263" spans="1:7" x14ac:dyDescent="0.3">
      <c r="A5263" s="84">
        <v>2026</v>
      </c>
      <c r="B5263" s="84" t="s">
        <v>399</v>
      </c>
      <c r="C5263" s="84">
        <v>26</v>
      </c>
      <c r="D5263" s="84">
        <v>12</v>
      </c>
      <c r="E5263" s="85">
        <v>22346.799999999999</v>
      </c>
      <c r="F5263" s="85">
        <v>14351.54</v>
      </c>
      <c r="G5263" s="85">
        <v>-7995.26</v>
      </c>
    </row>
    <row r="5264" spans="1:7" x14ac:dyDescent="0.3">
      <c r="A5264" s="84">
        <v>2026</v>
      </c>
      <c r="B5264" s="84" t="s">
        <v>399</v>
      </c>
      <c r="C5264" s="84">
        <v>26</v>
      </c>
      <c r="D5264" s="84">
        <v>13</v>
      </c>
      <c r="E5264" s="85">
        <v>22346.799999999999</v>
      </c>
      <c r="F5264" s="85">
        <v>14761.32</v>
      </c>
      <c r="G5264" s="85">
        <v>-7585.48</v>
      </c>
    </row>
    <row r="5265" spans="1:7" x14ac:dyDescent="0.3">
      <c r="A5265" s="84">
        <v>2026</v>
      </c>
      <c r="B5265" s="84" t="s">
        <v>399</v>
      </c>
      <c r="C5265" s="84">
        <v>26</v>
      </c>
      <c r="D5265" s="84">
        <v>14</v>
      </c>
      <c r="E5265" s="85">
        <v>22346.799999999999</v>
      </c>
      <c r="F5265" s="85">
        <v>15171.52</v>
      </c>
      <c r="G5265" s="85">
        <v>-7175.28</v>
      </c>
    </row>
    <row r="5266" spans="1:7" x14ac:dyDescent="0.3">
      <c r="A5266" s="84">
        <v>2026</v>
      </c>
      <c r="B5266" s="84" t="s">
        <v>399</v>
      </c>
      <c r="C5266" s="84">
        <v>26</v>
      </c>
      <c r="D5266" s="84">
        <v>15</v>
      </c>
      <c r="E5266" s="85">
        <v>22346.799999999999</v>
      </c>
      <c r="F5266" s="85">
        <v>15581.16</v>
      </c>
      <c r="G5266" s="85">
        <v>-6765.64</v>
      </c>
    </row>
    <row r="5267" spans="1:7" x14ac:dyDescent="0.3">
      <c r="A5267" s="84">
        <v>2026</v>
      </c>
      <c r="B5267" s="84" t="s">
        <v>399</v>
      </c>
      <c r="C5267" s="84">
        <v>26</v>
      </c>
      <c r="D5267" s="84">
        <v>16</v>
      </c>
      <c r="E5267" s="85">
        <v>22346.799999999999</v>
      </c>
      <c r="F5267" s="85">
        <v>15990.8</v>
      </c>
      <c r="G5267" s="85">
        <v>-6356</v>
      </c>
    </row>
    <row r="5268" spans="1:7" x14ac:dyDescent="0.3">
      <c r="A5268" s="84">
        <v>2026</v>
      </c>
      <c r="B5268" s="84" t="s">
        <v>399</v>
      </c>
      <c r="C5268" s="84">
        <v>26</v>
      </c>
      <c r="D5268" s="84">
        <v>17</v>
      </c>
      <c r="E5268" s="85">
        <v>22346.799999999999</v>
      </c>
      <c r="F5268" s="85">
        <v>16399.88</v>
      </c>
      <c r="G5268" s="85">
        <v>-5946.92</v>
      </c>
    </row>
    <row r="5269" spans="1:7" x14ac:dyDescent="0.3">
      <c r="A5269" s="84">
        <v>2026</v>
      </c>
      <c r="B5269" s="84" t="s">
        <v>399</v>
      </c>
      <c r="C5269" s="84">
        <v>26</v>
      </c>
      <c r="D5269" s="84">
        <v>18</v>
      </c>
      <c r="E5269" s="85">
        <v>22346.799999999999</v>
      </c>
      <c r="F5269" s="85">
        <v>16809.8</v>
      </c>
      <c r="G5269" s="85">
        <v>-5537</v>
      </c>
    </row>
    <row r="5270" spans="1:7" x14ac:dyDescent="0.3">
      <c r="A5270" s="84">
        <v>2026</v>
      </c>
      <c r="B5270" s="84" t="s">
        <v>399</v>
      </c>
      <c r="C5270" s="84">
        <v>26</v>
      </c>
      <c r="D5270" s="84">
        <v>19</v>
      </c>
      <c r="E5270" s="85">
        <v>22346.799999999999</v>
      </c>
      <c r="F5270" s="85">
        <v>17219.86</v>
      </c>
      <c r="G5270" s="85">
        <v>-5126.9399999999996</v>
      </c>
    </row>
    <row r="5271" spans="1:7" x14ac:dyDescent="0.3">
      <c r="A5271" s="84">
        <v>2026</v>
      </c>
      <c r="B5271" s="84" t="s">
        <v>399</v>
      </c>
      <c r="C5271" s="84">
        <v>26</v>
      </c>
      <c r="D5271" s="84">
        <v>20</v>
      </c>
      <c r="E5271" s="85">
        <v>22346.799999999999</v>
      </c>
      <c r="F5271" s="85">
        <v>17629.64</v>
      </c>
      <c r="G5271" s="85">
        <v>-4717.16</v>
      </c>
    </row>
    <row r="5272" spans="1:7" x14ac:dyDescent="0.3">
      <c r="A5272" s="84">
        <v>2026</v>
      </c>
      <c r="B5272" s="84" t="s">
        <v>399</v>
      </c>
      <c r="C5272" s="84">
        <v>26</v>
      </c>
      <c r="D5272" s="84">
        <v>21</v>
      </c>
      <c r="E5272" s="85">
        <v>22346.799999999999</v>
      </c>
      <c r="F5272" s="85">
        <v>18243.82</v>
      </c>
      <c r="G5272" s="85">
        <v>-4102.9799999999996</v>
      </c>
    </row>
    <row r="5273" spans="1:7" x14ac:dyDescent="0.3">
      <c r="A5273" s="84">
        <v>2026</v>
      </c>
      <c r="B5273" s="84" t="s">
        <v>399</v>
      </c>
      <c r="C5273" s="84">
        <v>26</v>
      </c>
      <c r="D5273" s="84">
        <v>22</v>
      </c>
      <c r="E5273" s="85">
        <v>22346.799999999999</v>
      </c>
      <c r="F5273" s="85">
        <v>18909.099999999999</v>
      </c>
      <c r="G5273" s="85">
        <v>-3437.7</v>
      </c>
    </row>
    <row r="5274" spans="1:7" x14ac:dyDescent="0.3">
      <c r="A5274" s="84">
        <v>2026</v>
      </c>
      <c r="B5274" s="84" t="s">
        <v>399</v>
      </c>
      <c r="C5274" s="84">
        <v>26</v>
      </c>
      <c r="D5274" s="84">
        <v>23</v>
      </c>
      <c r="E5274" s="85">
        <v>22346.799999999999</v>
      </c>
      <c r="F5274" s="85">
        <v>19576.759999999998</v>
      </c>
      <c r="G5274" s="85">
        <v>-2770.04</v>
      </c>
    </row>
    <row r="5275" spans="1:7" x14ac:dyDescent="0.3">
      <c r="A5275" s="84">
        <v>2026</v>
      </c>
      <c r="B5275" s="84" t="s">
        <v>399</v>
      </c>
      <c r="C5275" s="84">
        <v>26</v>
      </c>
      <c r="D5275" s="84">
        <v>24</v>
      </c>
      <c r="E5275" s="85">
        <v>22346.799999999999</v>
      </c>
      <c r="F5275" s="85">
        <v>20242.88</v>
      </c>
      <c r="G5275" s="85">
        <v>-2103.92</v>
      </c>
    </row>
    <row r="5276" spans="1:7" x14ac:dyDescent="0.3">
      <c r="A5276" s="84">
        <v>2026</v>
      </c>
      <c r="B5276" s="84" t="s">
        <v>399</v>
      </c>
      <c r="C5276" s="84">
        <v>26</v>
      </c>
      <c r="D5276" s="84">
        <v>25</v>
      </c>
      <c r="E5276" s="85">
        <v>22346.799999999999</v>
      </c>
      <c r="F5276" s="85">
        <v>20909.84</v>
      </c>
      <c r="G5276" s="85">
        <v>-1436.96</v>
      </c>
    </row>
    <row r="5277" spans="1:7" x14ac:dyDescent="0.3">
      <c r="A5277" s="84">
        <v>2026</v>
      </c>
      <c r="B5277" s="84" t="s">
        <v>399</v>
      </c>
      <c r="C5277" s="84">
        <v>26</v>
      </c>
      <c r="D5277" s="84">
        <v>26</v>
      </c>
      <c r="E5277" s="85">
        <v>22346.799999999999</v>
      </c>
      <c r="F5277" s="85">
        <v>22346.799999999999</v>
      </c>
      <c r="G5277" s="85">
        <v>0</v>
      </c>
    </row>
    <row r="5278" spans="1:7" x14ac:dyDescent="0.3">
      <c r="A5278" s="84">
        <v>2026</v>
      </c>
      <c r="B5278" s="84" t="s">
        <v>399</v>
      </c>
      <c r="C5278" s="84">
        <v>26</v>
      </c>
      <c r="D5278" s="84">
        <v>27</v>
      </c>
      <c r="E5278" s="85">
        <v>22346.799999999999</v>
      </c>
      <c r="F5278" s="85">
        <v>24128.720000000001</v>
      </c>
      <c r="G5278" s="85">
        <v>1781.92</v>
      </c>
    </row>
    <row r="5279" spans="1:7" x14ac:dyDescent="0.3">
      <c r="A5279" s="84">
        <v>2026</v>
      </c>
      <c r="B5279" s="84" t="s">
        <v>399</v>
      </c>
      <c r="C5279" s="84">
        <v>26</v>
      </c>
      <c r="D5279" s="84">
        <v>28</v>
      </c>
      <c r="E5279" s="85">
        <v>22346.799999999999</v>
      </c>
      <c r="F5279" s="85">
        <v>24795.82</v>
      </c>
      <c r="G5279" s="85">
        <v>2449.02</v>
      </c>
    </row>
    <row r="5280" spans="1:7" x14ac:dyDescent="0.3">
      <c r="A5280" s="84">
        <v>2026</v>
      </c>
      <c r="B5280" s="84" t="s">
        <v>399</v>
      </c>
      <c r="C5280" s="84">
        <v>26</v>
      </c>
      <c r="D5280" s="84">
        <v>29</v>
      </c>
      <c r="E5280" s="85">
        <v>22346.799999999999</v>
      </c>
      <c r="F5280" s="85">
        <v>25461.94</v>
      </c>
      <c r="G5280" s="85">
        <v>3115.14</v>
      </c>
    </row>
    <row r="5281" spans="1:7" x14ac:dyDescent="0.3">
      <c r="A5281" s="84">
        <v>2026</v>
      </c>
      <c r="B5281" s="84" t="s">
        <v>399</v>
      </c>
      <c r="C5281" s="84">
        <v>26</v>
      </c>
      <c r="D5281" s="84">
        <v>30</v>
      </c>
      <c r="E5281" s="85">
        <v>22346.799999999999</v>
      </c>
      <c r="F5281" s="85">
        <v>27284.38</v>
      </c>
      <c r="G5281" s="85">
        <v>4937.58</v>
      </c>
    </row>
    <row r="5282" spans="1:7" x14ac:dyDescent="0.3">
      <c r="A5282" s="84">
        <v>2026</v>
      </c>
      <c r="B5282" s="84" t="s">
        <v>399</v>
      </c>
      <c r="C5282" s="84">
        <v>27</v>
      </c>
      <c r="D5282" s="84">
        <v>1</v>
      </c>
      <c r="E5282" s="85">
        <v>24128.720000000001</v>
      </c>
      <c r="F5282" s="85">
        <v>11279.66</v>
      </c>
      <c r="G5282" s="85">
        <v>-12849.06</v>
      </c>
    </row>
    <row r="5283" spans="1:7" x14ac:dyDescent="0.3">
      <c r="A5283" s="84">
        <v>2026</v>
      </c>
      <c r="B5283" s="84" t="s">
        <v>399</v>
      </c>
      <c r="C5283" s="84">
        <v>27</v>
      </c>
      <c r="D5283" s="84">
        <v>2</v>
      </c>
      <c r="E5283" s="85">
        <v>24128.720000000001</v>
      </c>
      <c r="F5283" s="85">
        <v>11586.96</v>
      </c>
      <c r="G5283" s="85">
        <v>-12541.76</v>
      </c>
    </row>
    <row r="5284" spans="1:7" x14ac:dyDescent="0.3">
      <c r="A5284" s="84">
        <v>2026</v>
      </c>
      <c r="B5284" s="84" t="s">
        <v>399</v>
      </c>
      <c r="C5284" s="84">
        <v>27</v>
      </c>
      <c r="D5284" s="84">
        <v>3</v>
      </c>
      <c r="E5284" s="85">
        <v>24128.720000000001</v>
      </c>
      <c r="F5284" s="85">
        <v>11894.54</v>
      </c>
      <c r="G5284" s="85">
        <v>-12234.18</v>
      </c>
    </row>
    <row r="5285" spans="1:7" x14ac:dyDescent="0.3">
      <c r="A5285" s="84">
        <v>2026</v>
      </c>
      <c r="B5285" s="84" t="s">
        <v>399</v>
      </c>
      <c r="C5285" s="84">
        <v>27</v>
      </c>
      <c r="D5285" s="84">
        <v>4</v>
      </c>
      <c r="E5285" s="85">
        <v>24128.720000000001</v>
      </c>
      <c r="F5285" s="85">
        <v>12200.86</v>
      </c>
      <c r="G5285" s="85">
        <v>-11927.86</v>
      </c>
    </row>
    <row r="5286" spans="1:7" x14ac:dyDescent="0.3">
      <c r="A5286" s="84">
        <v>2026</v>
      </c>
      <c r="B5286" s="84" t="s">
        <v>399</v>
      </c>
      <c r="C5286" s="84">
        <v>27</v>
      </c>
      <c r="D5286" s="84">
        <v>5</v>
      </c>
      <c r="E5286" s="85">
        <v>24128.720000000001</v>
      </c>
      <c r="F5286" s="85">
        <v>12507.88</v>
      </c>
      <c r="G5286" s="85">
        <v>-11620.84</v>
      </c>
    </row>
    <row r="5287" spans="1:7" x14ac:dyDescent="0.3">
      <c r="A5287" s="84">
        <v>2026</v>
      </c>
      <c r="B5287" s="84" t="s">
        <v>399</v>
      </c>
      <c r="C5287" s="84">
        <v>27</v>
      </c>
      <c r="D5287" s="84">
        <v>6</v>
      </c>
      <c r="E5287" s="85">
        <v>24128.720000000001</v>
      </c>
      <c r="F5287" s="85">
        <v>12712.7</v>
      </c>
      <c r="G5287" s="85">
        <v>-11416.02</v>
      </c>
    </row>
    <row r="5288" spans="1:7" x14ac:dyDescent="0.3">
      <c r="A5288" s="84">
        <v>2026</v>
      </c>
      <c r="B5288" s="84" t="s">
        <v>399</v>
      </c>
      <c r="C5288" s="84">
        <v>27</v>
      </c>
      <c r="D5288" s="84">
        <v>7</v>
      </c>
      <c r="E5288" s="85">
        <v>24128.720000000001</v>
      </c>
      <c r="F5288" s="85">
        <v>12917.94</v>
      </c>
      <c r="G5288" s="85">
        <v>-11210.78</v>
      </c>
    </row>
    <row r="5289" spans="1:7" x14ac:dyDescent="0.3">
      <c r="A5289" s="84">
        <v>2026</v>
      </c>
      <c r="B5289" s="84" t="s">
        <v>399</v>
      </c>
      <c r="C5289" s="84">
        <v>27</v>
      </c>
      <c r="D5289" s="84">
        <v>8</v>
      </c>
      <c r="E5289" s="85">
        <v>24128.720000000001</v>
      </c>
      <c r="F5289" s="85">
        <v>13122.48</v>
      </c>
      <c r="G5289" s="85">
        <v>-11006.24</v>
      </c>
    </row>
    <row r="5290" spans="1:7" x14ac:dyDescent="0.3">
      <c r="A5290" s="84">
        <v>2026</v>
      </c>
      <c r="B5290" s="84" t="s">
        <v>399</v>
      </c>
      <c r="C5290" s="84">
        <v>27</v>
      </c>
      <c r="D5290" s="84">
        <v>9</v>
      </c>
      <c r="E5290" s="85">
        <v>24128.720000000001</v>
      </c>
      <c r="F5290" s="85">
        <v>13327.86</v>
      </c>
      <c r="G5290" s="85">
        <v>-10800.86</v>
      </c>
    </row>
    <row r="5291" spans="1:7" x14ac:dyDescent="0.3">
      <c r="A5291" s="84">
        <v>2026</v>
      </c>
      <c r="B5291" s="84" t="s">
        <v>399</v>
      </c>
      <c r="C5291" s="84">
        <v>27</v>
      </c>
      <c r="D5291" s="84">
        <v>10</v>
      </c>
      <c r="E5291" s="85">
        <v>24128.720000000001</v>
      </c>
      <c r="F5291" s="85">
        <v>13532.82</v>
      </c>
      <c r="G5291" s="85">
        <v>-10595.9</v>
      </c>
    </row>
    <row r="5292" spans="1:7" x14ac:dyDescent="0.3">
      <c r="A5292" s="84">
        <v>2026</v>
      </c>
      <c r="B5292" s="84" t="s">
        <v>399</v>
      </c>
      <c r="C5292" s="84">
        <v>27</v>
      </c>
      <c r="D5292" s="84">
        <v>11</v>
      </c>
      <c r="E5292" s="85">
        <v>24128.720000000001</v>
      </c>
      <c r="F5292" s="85">
        <v>13941.62</v>
      </c>
      <c r="G5292" s="85">
        <v>-10187.1</v>
      </c>
    </row>
    <row r="5293" spans="1:7" x14ac:dyDescent="0.3">
      <c r="A5293" s="84">
        <v>2026</v>
      </c>
      <c r="B5293" s="84" t="s">
        <v>399</v>
      </c>
      <c r="C5293" s="84">
        <v>27</v>
      </c>
      <c r="D5293" s="84">
        <v>12</v>
      </c>
      <c r="E5293" s="85">
        <v>24128.720000000001</v>
      </c>
      <c r="F5293" s="85">
        <v>14351.54</v>
      </c>
      <c r="G5293" s="85">
        <v>-9777.18</v>
      </c>
    </row>
    <row r="5294" spans="1:7" x14ac:dyDescent="0.3">
      <c r="A5294" s="84">
        <v>2026</v>
      </c>
      <c r="B5294" s="84" t="s">
        <v>399</v>
      </c>
      <c r="C5294" s="84">
        <v>27</v>
      </c>
      <c r="D5294" s="84">
        <v>13</v>
      </c>
      <c r="E5294" s="85">
        <v>24128.720000000001</v>
      </c>
      <c r="F5294" s="85">
        <v>14761.32</v>
      </c>
      <c r="G5294" s="85">
        <v>-9367.4</v>
      </c>
    </row>
    <row r="5295" spans="1:7" x14ac:dyDescent="0.3">
      <c r="A5295" s="84">
        <v>2026</v>
      </c>
      <c r="B5295" s="84" t="s">
        <v>399</v>
      </c>
      <c r="C5295" s="84">
        <v>27</v>
      </c>
      <c r="D5295" s="84">
        <v>14</v>
      </c>
      <c r="E5295" s="85">
        <v>24128.720000000001</v>
      </c>
      <c r="F5295" s="85">
        <v>15171.52</v>
      </c>
      <c r="G5295" s="85">
        <v>-8957.2000000000007</v>
      </c>
    </row>
    <row r="5296" spans="1:7" x14ac:dyDescent="0.3">
      <c r="A5296" s="84">
        <v>2026</v>
      </c>
      <c r="B5296" s="84" t="s">
        <v>399</v>
      </c>
      <c r="C5296" s="84">
        <v>27</v>
      </c>
      <c r="D5296" s="84">
        <v>15</v>
      </c>
      <c r="E5296" s="85">
        <v>24128.720000000001</v>
      </c>
      <c r="F5296" s="85">
        <v>15581.16</v>
      </c>
      <c r="G5296" s="85">
        <v>-8547.56</v>
      </c>
    </row>
    <row r="5297" spans="1:7" x14ac:dyDescent="0.3">
      <c r="A5297" s="84">
        <v>2026</v>
      </c>
      <c r="B5297" s="84" t="s">
        <v>399</v>
      </c>
      <c r="C5297" s="84">
        <v>27</v>
      </c>
      <c r="D5297" s="84">
        <v>16</v>
      </c>
      <c r="E5297" s="85">
        <v>24128.720000000001</v>
      </c>
      <c r="F5297" s="85">
        <v>15990.8</v>
      </c>
      <c r="G5297" s="85">
        <v>-8137.92</v>
      </c>
    </row>
    <row r="5298" spans="1:7" x14ac:dyDescent="0.3">
      <c r="A5298" s="84">
        <v>2026</v>
      </c>
      <c r="B5298" s="84" t="s">
        <v>399</v>
      </c>
      <c r="C5298" s="84">
        <v>27</v>
      </c>
      <c r="D5298" s="84">
        <v>17</v>
      </c>
      <c r="E5298" s="85">
        <v>24128.720000000001</v>
      </c>
      <c r="F5298" s="85">
        <v>16399.88</v>
      </c>
      <c r="G5298" s="85">
        <v>-7728.84</v>
      </c>
    </row>
    <row r="5299" spans="1:7" x14ac:dyDescent="0.3">
      <c r="A5299" s="84">
        <v>2026</v>
      </c>
      <c r="B5299" s="84" t="s">
        <v>399</v>
      </c>
      <c r="C5299" s="84">
        <v>27</v>
      </c>
      <c r="D5299" s="84">
        <v>18</v>
      </c>
      <c r="E5299" s="85">
        <v>24128.720000000001</v>
      </c>
      <c r="F5299" s="85">
        <v>16809.8</v>
      </c>
      <c r="G5299" s="85">
        <v>-7318.92</v>
      </c>
    </row>
    <row r="5300" spans="1:7" x14ac:dyDescent="0.3">
      <c r="A5300" s="84">
        <v>2026</v>
      </c>
      <c r="B5300" s="84" t="s">
        <v>399</v>
      </c>
      <c r="C5300" s="84">
        <v>27</v>
      </c>
      <c r="D5300" s="84">
        <v>19</v>
      </c>
      <c r="E5300" s="85">
        <v>24128.720000000001</v>
      </c>
      <c r="F5300" s="85">
        <v>17219.86</v>
      </c>
      <c r="G5300" s="85">
        <v>-6908.86</v>
      </c>
    </row>
    <row r="5301" spans="1:7" x14ac:dyDescent="0.3">
      <c r="A5301" s="84">
        <v>2026</v>
      </c>
      <c r="B5301" s="84" t="s">
        <v>399</v>
      </c>
      <c r="C5301" s="84">
        <v>27</v>
      </c>
      <c r="D5301" s="84">
        <v>20</v>
      </c>
      <c r="E5301" s="85">
        <v>24128.720000000001</v>
      </c>
      <c r="F5301" s="85">
        <v>17629.64</v>
      </c>
      <c r="G5301" s="85">
        <v>-6499.08</v>
      </c>
    </row>
    <row r="5302" spans="1:7" x14ac:dyDescent="0.3">
      <c r="A5302" s="84">
        <v>2026</v>
      </c>
      <c r="B5302" s="84" t="s">
        <v>399</v>
      </c>
      <c r="C5302" s="84">
        <v>27</v>
      </c>
      <c r="D5302" s="84">
        <v>21</v>
      </c>
      <c r="E5302" s="85">
        <v>24128.720000000001</v>
      </c>
      <c r="F5302" s="85">
        <v>18243.82</v>
      </c>
      <c r="G5302" s="85">
        <v>-5884.9</v>
      </c>
    </row>
    <row r="5303" spans="1:7" x14ac:dyDescent="0.3">
      <c r="A5303" s="84">
        <v>2026</v>
      </c>
      <c r="B5303" s="84" t="s">
        <v>399</v>
      </c>
      <c r="C5303" s="84">
        <v>27</v>
      </c>
      <c r="D5303" s="84">
        <v>22</v>
      </c>
      <c r="E5303" s="85">
        <v>24128.720000000001</v>
      </c>
      <c r="F5303" s="85">
        <v>18909.099999999999</v>
      </c>
      <c r="G5303" s="85">
        <v>-5219.62</v>
      </c>
    </row>
    <row r="5304" spans="1:7" x14ac:dyDescent="0.3">
      <c r="A5304" s="84">
        <v>2026</v>
      </c>
      <c r="B5304" s="84" t="s">
        <v>399</v>
      </c>
      <c r="C5304" s="84">
        <v>27</v>
      </c>
      <c r="D5304" s="84">
        <v>23</v>
      </c>
      <c r="E5304" s="85">
        <v>24128.720000000001</v>
      </c>
      <c r="F5304" s="85">
        <v>19576.759999999998</v>
      </c>
      <c r="G5304" s="85">
        <v>-4551.96</v>
      </c>
    </row>
    <row r="5305" spans="1:7" x14ac:dyDescent="0.3">
      <c r="A5305" s="84">
        <v>2026</v>
      </c>
      <c r="B5305" s="84" t="s">
        <v>399</v>
      </c>
      <c r="C5305" s="84">
        <v>27</v>
      </c>
      <c r="D5305" s="84">
        <v>24</v>
      </c>
      <c r="E5305" s="85">
        <v>24128.720000000001</v>
      </c>
      <c r="F5305" s="85">
        <v>20242.88</v>
      </c>
      <c r="G5305" s="85">
        <v>-3885.84</v>
      </c>
    </row>
    <row r="5306" spans="1:7" x14ac:dyDescent="0.3">
      <c r="A5306" s="84">
        <v>2026</v>
      </c>
      <c r="B5306" s="84" t="s">
        <v>399</v>
      </c>
      <c r="C5306" s="84">
        <v>27</v>
      </c>
      <c r="D5306" s="84">
        <v>25</v>
      </c>
      <c r="E5306" s="85">
        <v>24128.720000000001</v>
      </c>
      <c r="F5306" s="85">
        <v>20909.84</v>
      </c>
      <c r="G5306" s="85">
        <v>-3218.88</v>
      </c>
    </row>
    <row r="5307" spans="1:7" x14ac:dyDescent="0.3">
      <c r="A5307" s="84">
        <v>2026</v>
      </c>
      <c r="B5307" s="84" t="s">
        <v>399</v>
      </c>
      <c r="C5307" s="84">
        <v>27</v>
      </c>
      <c r="D5307" s="84">
        <v>26</v>
      </c>
      <c r="E5307" s="85">
        <v>24128.720000000001</v>
      </c>
      <c r="F5307" s="85">
        <v>22346.799999999999</v>
      </c>
      <c r="G5307" s="85">
        <v>-1781.92</v>
      </c>
    </row>
    <row r="5308" spans="1:7" x14ac:dyDescent="0.3">
      <c r="A5308" s="84">
        <v>2026</v>
      </c>
      <c r="B5308" s="84" t="s">
        <v>399</v>
      </c>
      <c r="C5308" s="84">
        <v>27</v>
      </c>
      <c r="D5308" s="84">
        <v>27</v>
      </c>
      <c r="E5308" s="85">
        <v>24128.720000000001</v>
      </c>
      <c r="F5308" s="85">
        <v>24128.720000000001</v>
      </c>
      <c r="G5308" s="85">
        <v>0</v>
      </c>
    </row>
    <row r="5309" spans="1:7" x14ac:dyDescent="0.3">
      <c r="A5309" s="84">
        <v>2026</v>
      </c>
      <c r="B5309" s="84" t="s">
        <v>399</v>
      </c>
      <c r="C5309" s="84">
        <v>27</v>
      </c>
      <c r="D5309" s="84">
        <v>28</v>
      </c>
      <c r="E5309" s="85">
        <v>24128.720000000001</v>
      </c>
      <c r="F5309" s="85">
        <v>24795.82</v>
      </c>
      <c r="G5309" s="85">
        <v>667.1</v>
      </c>
    </row>
    <row r="5310" spans="1:7" x14ac:dyDescent="0.3">
      <c r="A5310" s="84">
        <v>2026</v>
      </c>
      <c r="B5310" s="84" t="s">
        <v>399</v>
      </c>
      <c r="C5310" s="84">
        <v>27</v>
      </c>
      <c r="D5310" s="84">
        <v>29</v>
      </c>
      <c r="E5310" s="85">
        <v>24128.720000000001</v>
      </c>
      <c r="F5310" s="85">
        <v>25461.94</v>
      </c>
      <c r="G5310" s="85">
        <v>1333.22</v>
      </c>
    </row>
    <row r="5311" spans="1:7" x14ac:dyDescent="0.3">
      <c r="A5311" s="84">
        <v>2026</v>
      </c>
      <c r="B5311" s="84" t="s">
        <v>399</v>
      </c>
      <c r="C5311" s="84">
        <v>27</v>
      </c>
      <c r="D5311" s="84">
        <v>30</v>
      </c>
      <c r="E5311" s="85">
        <v>24128.720000000001</v>
      </c>
      <c r="F5311" s="85">
        <v>27284.38</v>
      </c>
      <c r="G5311" s="85">
        <v>3155.66</v>
      </c>
    </row>
    <row r="5312" spans="1:7" x14ac:dyDescent="0.3">
      <c r="A5312" s="84">
        <v>2026</v>
      </c>
      <c r="B5312" s="84" t="s">
        <v>399</v>
      </c>
      <c r="C5312" s="84">
        <v>28</v>
      </c>
      <c r="D5312" s="84">
        <v>1</v>
      </c>
      <c r="E5312" s="85">
        <v>24795.82</v>
      </c>
      <c r="F5312" s="85">
        <v>11279.66</v>
      </c>
      <c r="G5312" s="85">
        <v>-13516.16</v>
      </c>
    </row>
    <row r="5313" spans="1:7" x14ac:dyDescent="0.3">
      <c r="A5313" s="84">
        <v>2026</v>
      </c>
      <c r="B5313" s="84" t="s">
        <v>399</v>
      </c>
      <c r="C5313" s="84">
        <v>28</v>
      </c>
      <c r="D5313" s="84">
        <v>2</v>
      </c>
      <c r="E5313" s="85">
        <v>24795.82</v>
      </c>
      <c r="F5313" s="85">
        <v>11586.96</v>
      </c>
      <c r="G5313" s="85">
        <v>-13208.86</v>
      </c>
    </row>
    <row r="5314" spans="1:7" x14ac:dyDescent="0.3">
      <c r="A5314" s="84">
        <v>2026</v>
      </c>
      <c r="B5314" s="84" t="s">
        <v>399</v>
      </c>
      <c r="C5314" s="84">
        <v>28</v>
      </c>
      <c r="D5314" s="84">
        <v>3</v>
      </c>
      <c r="E5314" s="85">
        <v>24795.82</v>
      </c>
      <c r="F5314" s="85">
        <v>11894.54</v>
      </c>
      <c r="G5314" s="85">
        <v>-12901.28</v>
      </c>
    </row>
    <row r="5315" spans="1:7" x14ac:dyDescent="0.3">
      <c r="A5315" s="84">
        <v>2026</v>
      </c>
      <c r="B5315" s="84" t="s">
        <v>399</v>
      </c>
      <c r="C5315" s="84">
        <v>28</v>
      </c>
      <c r="D5315" s="84">
        <v>4</v>
      </c>
      <c r="E5315" s="85">
        <v>24795.82</v>
      </c>
      <c r="F5315" s="85">
        <v>12200.86</v>
      </c>
      <c r="G5315" s="85">
        <v>-12594.96</v>
      </c>
    </row>
    <row r="5316" spans="1:7" x14ac:dyDescent="0.3">
      <c r="A5316" s="84">
        <v>2026</v>
      </c>
      <c r="B5316" s="84" t="s">
        <v>399</v>
      </c>
      <c r="C5316" s="84">
        <v>28</v>
      </c>
      <c r="D5316" s="84">
        <v>5</v>
      </c>
      <c r="E5316" s="85">
        <v>24795.82</v>
      </c>
      <c r="F5316" s="85">
        <v>12507.88</v>
      </c>
      <c r="G5316" s="85">
        <v>-12287.94</v>
      </c>
    </row>
    <row r="5317" spans="1:7" x14ac:dyDescent="0.3">
      <c r="A5317" s="84">
        <v>2026</v>
      </c>
      <c r="B5317" s="84" t="s">
        <v>399</v>
      </c>
      <c r="C5317" s="84">
        <v>28</v>
      </c>
      <c r="D5317" s="84">
        <v>6</v>
      </c>
      <c r="E5317" s="85">
        <v>24795.82</v>
      </c>
      <c r="F5317" s="85">
        <v>12712.7</v>
      </c>
      <c r="G5317" s="85">
        <v>-12083.12</v>
      </c>
    </row>
    <row r="5318" spans="1:7" x14ac:dyDescent="0.3">
      <c r="A5318" s="84">
        <v>2026</v>
      </c>
      <c r="B5318" s="84" t="s">
        <v>399</v>
      </c>
      <c r="C5318" s="84">
        <v>28</v>
      </c>
      <c r="D5318" s="84">
        <v>7</v>
      </c>
      <c r="E5318" s="85">
        <v>24795.82</v>
      </c>
      <c r="F5318" s="85">
        <v>12917.94</v>
      </c>
      <c r="G5318" s="85">
        <v>-11877.88</v>
      </c>
    </row>
    <row r="5319" spans="1:7" x14ac:dyDescent="0.3">
      <c r="A5319" s="84">
        <v>2026</v>
      </c>
      <c r="B5319" s="84" t="s">
        <v>399</v>
      </c>
      <c r="C5319" s="84">
        <v>28</v>
      </c>
      <c r="D5319" s="84">
        <v>8</v>
      </c>
      <c r="E5319" s="85">
        <v>24795.82</v>
      </c>
      <c r="F5319" s="85">
        <v>13122.48</v>
      </c>
      <c r="G5319" s="85">
        <v>-11673.34</v>
      </c>
    </row>
    <row r="5320" spans="1:7" x14ac:dyDescent="0.3">
      <c r="A5320" s="84">
        <v>2026</v>
      </c>
      <c r="B5320" s="84" t="s">
        <v>399</v>
      </c>
      <c r="C5320" s="84">
        <v>28</v>
      </c>
      <c r="D5320" s="84">
        <v>9</v>
      </c>
      <c r="E5320" s="85">
        <v>24795.82</v>
      </c>
      <c r="F5320" s="85">
        <v>13327.86</v>
      </c>
      <c r="G5320" s="85">
        <v>-11467.96</v>
      </c>
    </row>
    <row r="5321" spans="1:7" x14ac:dyDescent="0.3">
      <c r="A5321" s="84">
        <v>2026</v>
      </c>
      <c r="B5321" s="84" t="s">
        <v>399</v>
      </c>
      <c r="C5321" s="84">
        <v>28</v>
      </c>
      <c r="D5321" s="84">
        <v>10</v>
      </c>
      <c r="E5321" s="85">
        <v>24795.82</v>
      </c>
      <c r="F5321" s="85">
        <v>13532.82</v>
      </c>
      <c r="G5321" s="85">
        <v>-11263</v>
      </c>
    </row>
    <row r="5322" spans="1:7" x14ac:dyDescent="0.3">
      <c r="A5322" s="84">
        <v>2026</v>
      </c>
      <c r="B5322" s="84" t="s">
        <v>399</v>
      </c>
      <c r="C5322" s="84">
        <v>28</v>
      </c>
      <c r="D5322" s="84">
        <v>11</v>
      </c>
      <c r="E5322" s="85">
        <v>24795.82</v>
      </c>
      <c r="F5322" s="85">
        <v>13941.62</v>
      </c>
      <c r="G5322" s="85">
        <v>-10854.2</v>
      </c>
    </row>
    <row r="5323" spans="1:7" x14ac:dyDescent="0.3">
      <c r="A5323" s="84">
        <v>2026</v>
      </c>
      <c r="B5323" s="84" t="s">
        <v>399</v>
      </c>
      <c r="C5323" s="84">
        <v>28</v>
      </c>
      <c r="D5323" s="84">
        <v>12</v>
      </c>
      <c r="E5323" s="85">
        <v>24795.82</v>
      </c>
      <c r="F5323" s="85">
        <v>14351.54</v>
      </c>
      <c r="G5323" s="85">
        <v>-10444.280000000001</v>
      </c>
    </row>
    <row r="5324" spans="1:7" x14ac:dyDescent="0.3">
      <c r="A5324" s="84">
        <v>2026</v>
      </c>
      <c r="B5324" s="84" t="s">
        <v>399</v>
      </c>
      <c r="C5324" s="84">
        <v>28</v>
      </c>
      <c r="D5324" s="84">
        <v>13</v>
      </c>
      <c r="E5324" s="85">
        <v>24795.82</v>
      </c>
      <c r="F5324" s="85">
        <v>14761.32</v>
      </c>
      <c r="G5324" s="85">
        <v>-10034.5</v>
      </c>
    </row>
    <row r="5325" spans="1:7" x14ac:dyDescent="0.3">
      <c r="A5325" s="84">
        <v>2026</v>
      </c>
      <c r="B5325" s="84" t="s">
        <v>399</v>
      </c>
      <c r="C5325" s="84">
        <v>28</v>
      </c>
      <c r="D5325" s="84">
        <v>14</v>
      </c>
      <c r="E5325" s="85">
        <v>24795.82</v>
      </c>
      <c r="F5325" s="85">
        <v>15171.52</v>
      </c>
      <c r="G5325" s="85">
        <v>-9624.2999999999993</v>
      </c>
    </row>
    <row r="5326" spans="1:7" x14ac:dyDescent="0.3">
      <c r="A5326" s="84">
        <v>2026</v>
      </c>
      <c r="B5326" s="84" t="s">
        <v>399</v>
      </c>
      <c r="C5326" s="84">
        <v>28</v>
      </c>
      <c r="D5326" s="84">
        <v>15</v>
      </c>
      <c r="E5326" s="85">
        <v>24795.82</v>
      </c>
      <c r="F5326" s="85">
        <v>15581.16</v>
      </c>
      <c r="G5326" s="85">
        <v>-9214.66</v>
      </c>
    </row>
    <row r="5327" spans="1:7" x14ac:dyDescent="0.3">
      <c r="A5327" s="84">
        <v>2026</v>
      </c>
      <c r="B5327" s="84" t="s">
        <v>399</v>
      </c>
      <c r="C5327" s="84">
        <v>28</v>
      </c>
      <c r="D5327" s="84">
        <v>16</v>
      </c>
      <c r="E5327" s="85">
        <v>24795.82</v>
      </c>
      <c r="F5327" s="85">
        <v>15990.8</v>
      </c>
      <c r="G5327" s="85">
        <v>-8805.02</v>
      </c>
    </row>
    <row r="5328" spans="1:7" x14ac:dyDescent="0.3">
      <c r="A5328" s="84">
        <v>2026</v>
      </c>
      <c r="B5328" s="84" t="s">
        <v>399</v>
      </c>
      <c r="C5328" s="84">
        <v>28</v>
      </c>
      <c r="D5328" s="84">
        <v>17</v>
      </c>
      <c r="E5328" s="85">
        <v>24795.82</v>
      </c>
      <c r="F5328" s="85">
        <v>16399.88</v>
      </c>
      <c r="G5328" s="85">
        <v>-8395.94</v>
      </c>
    </row>
    <row r="5329" spans="1:7" x14ac:dyDescent="0.3">
      <c r="A5329" s="84">
        <v>2026</v>
      </c>
      <c r="B5329" s="84" t="s">
        <v>399</v>
      </c>
      <c r="C5329" s="84">
        <v>28</v>
      </c>
      <c r="D5329" s="84">
        <v>18</v>
      </c>
      <c r="E5329" s="85">
        <v>24795.82</v>
      </c>
      <c r="F5329" s="85">
        <v>16809.8</v>
      </c>
      <c r="G5329" s="85">
        <v>-7986.02</v>
      </c>
    </row>
    <row r="5330" spans="1:7" x14ac:dyDescent="0.3">
      <c r="A5330" s="84">
        <v>2026</v>
      </c>
      <c r="B5330" s="84" t="s">
        <v>399</v>
      </c>
      <c r="C5330" s="84">
        <v>28</v>
      </c>
      <c r="D5330" s="84">
        <v>19</v>
      </c>
      <c r="E5330" s="85">
        <v>24795.82</v>
      </c>
      <c r="F5330" s="85">
        <v>17219.86</v>
      </c>
      <c r="G5330" s="85">
        <v>-7575.96</v>
      </c>
    </row>
    <row r="5331" spans="1:7" x14ac:dyDescent="0.3">
      <c r="A5331" s="84">
        <v>2026</v>
      </c>
      <c r="B5331" s="84" t="s">
        <v>399</v>
      </c>
      <c r="C5331" s="84">
        <v>28</v>
      </c>
      <c r="D5331" s="84">
        <v>20</v>
      </c>
      <c r="E5331" s="85">
        <v>24795.82</v>
      </c>
      <c r="F5331" s="85">
        <v>17629.64</v>
      </c>
      <c r="G5331" s="85">
        <v>-7166.18</v>
      </c>
    </row>
    <row r="5332" spans="1:7" x14ac:dyDescent="0.3">
      <c r="A5332" s="84">
        <v>2026</v>
      </c>
      <c r="B5332" s="84" t="s">
        <v>399</v>
      </c>
      <c r="C5332" s="84">
        <v>28</v>
      </c>
      <c r="D5332" s="84">
        <v>21</v>
      </c>
      <c r="E5332" s="85">
        <v>24795.82</v>
      </c>
      <c r="F5332" s="85">
        <v>18243.82</v>
      </c>
      <c r="G5332" s="85">
        <v>-6552</v>
      </c>
    </row>
    <row r="5333" spans="1:7" x14ac:dyDescent="0.3">
      <c r="A5333" s="84">
        <v>2026</v>
      </c>
      <c r="B5333" s="84" t="s">
        <v>399</v>
      </c>
      <c r="C5333" s="84">
        <v>28</v>
      </c>
      <c r="D5333" s="84">
        <v>22</v>
      </c>
      <c r="E5333" s="85">
        <v>24795.82</v>
      </c>
      <c r="F5333" s="85">
        <v>18909.099999999999</v>
      </c>
      <c r="G5333" s="85">
        <v>-5886.72</v>
      </c>
    </row>
    <row r="5334" spans="1:7" x14ac:dyDescent="0.3">
      <c r="A5334" s="84">
        <v>2026</v>
      </c>
      <c r="B5334" s="84" t="s">
        <v>399</v>
      </c>
      <c r="C5334" s="84">
        <v>28</v>
      </c>
      <c r="D5334" s="84">
        <v>23</v>
      </c>
      <c r="E5334" s="85">
        <v>24795.82</v>
      </c>
      <c r="F5334" s="85">
        <v>19576.759999999998</v>
      </c>
      <c r="G5334" s="85">
        <v>-5219.0600000000004</v>
      </c>
    </row>
    <row r="5335" spans="1:7" x14ac:dyDescent="0.3">
      <c r="A5335" s="84">
        <v>2026</v>
      </c>
      <c r="B5335" s="84" t="s">
        <v>399</v>
      </c>
      <c r="C5335" s="84">
        <v>28</v>
      </c>
      <c r="D5335" s="84">
        <v>24</v>
      </c>
      <c r="E5335" s="85">
        <v>24795.82</v>
      </c>
      <c r="F5335" s="85">
        <v>20242.88</v>
      </c>
      <c r="G5335" s="85">
        <v>-4552.9399999999996</v>
      </c>
    </row>
    <row r="5336" spans="1:7" x14ac:dyDescent="0.3">
      <c r="A5336" s="84">
        <v>2026</v>
      </c>
      <c r="B5336" s="84" t="s">
        <v>399</v>
      </c>
      <c r="C5336" s="84">
        <v>28</v>
      </c>
      <c r="D5336" s="84">
        <v>25</v>
      </c>
      <c r="E5336" s="85">
        <v>24795.82</v>
      </c>
      <c r="F5336" s="85">
        <v>20909.84</v>
      </c>
      <c r="G5336" s="85">
        <v>-3885.98</v>
      </c>
    </row>
    <row r="5337" spans="1:7" x14ac:dyDescent="0.3">
      <c r="A5337" s="84">
        <v>2026</v>
      </c>
      <c r="B5337" s="84" t="s">
        <v>399</v>
      </c>
      <c r="C5337" s="84">
        <v>28</v>
      </c>
      <c r="D5337" s="84">
        <v>26</v>
      </c>
      <c r="E5337" s="85">
        <v>24795.82</v>
      </c>
      <c r="F5337" s="85">
        <v>22346.799999999999</v>
      </c>
      <c r="G5337" s="85">
        <v>-2449.02</v>
      </c>
    </row>
    <row r="5338" spans="1:7" x14ac:dyDescent="0.3">
      <c r="A5338" s="84">
        <v>2026</v>
      </c>
      <c r="B5338" s="84" t="s">
        <v>399</v>
      </c>
      <c r="C5338" s="84">
        <v>28</v>
      </c>
      <c r="D5338" s="84">
        <v>27</v>
      </c>
      <c r="E5338" s="85">
        <v>24795.82</v>
      </c>
      <c r="F5338" s="85">
        <v>24128.720000000001</v>
      </c>
      <c r="G5338" s="85">
        <v>-667.1</v>
      </c>
    </row>
    <row r="5339" spans="1:7" x14ac:dyDescent="0.3">
      <c r="A5339" s="84">
        <v>2026</v>
      </c>
      <c r="B5339" s="84" t="s">
        <v>399</v>
      </c>
      <c r="C5339" s="84">
        <v>28</v>
      </c>
      <c r="D5339" s="84">
        <v>28</v>
      </c>
      <c r="E5339" s="85">
        <v>24795.82</v>
      </c>
      <c r="F5339" s="85">
        <v>24795.82</v>
      </c>
      <c r="G5339" s="85">
        <v>0</v>
      </c>
    </row>
    <row r="5340" spans="1:7" x14ac:dyDescent="0.3">
      <c r="A5340" s="84">
        <v>2026</v>
      </c>
      <c r="B5340" s="84" t="s">
        <v>399</v>
      </c>
      <c r="C5340" s="84">
        <v>28</v>
      </c>
      <c r="D5340" s="84">
        <v>29</v>
      </c>
      <c r="E5340" s="85">
        <v>24795.82</v>
      </c>
      <c r="F5340" s="85">
        <v>25461.94</v>
      </c>
      <c r="G5340" s="85">
        <v>666.12</v>
      </c>
    </row>
    <row r="5341" spans="1:7" x14ac:dyDescent="0.3">
      <c r="A5341" s="84">
        <v>2026</v>
      </c>
      <c r="B5341" s="84" t="s">
        <v>399</v>
      </c>
      <c r="C5341" s="84">
        <v>28</v>
      </c>
      <c r="D5341" s="84">
        <v>30</v>
      </c>
      <c r="E5341" s="85">
        <v>24795.82</v>
      </c>
      <c r="F5341" s="85">
        <v>27284.38</v>
      </c>
      <c r="G5341" s="85">
        <v>2488.56</v>
      </c>
    </row>
    <row r="5342" spans="1:7" x14ac:dyDescent="0.3">
      <c r="A5342" s="84">
        <v>2026</v>
      </c>
      <c r="B5342" s="84" t="s">
        <v>399</v>
      </c>
      <c r="C5342" s="84">
        <v>29</v>
      </c>
      <c r="D5342" s="84">
        <v>1</v>
      </c>
      <c r="E5342" s="85">
        <v>25461.94</v>
      </c>
      <c r="F5342" s="85">
        <v>11279.66</v>
      </c>
      <c r="G5342" s="85">
        <v>-14182.28</v>
      </c>
    </row>
    <row r="5343" spans="1:7" x14ac:dyDescent="0.3">
      <c r="A5343" s="84">
        <v>2026</v>
      </c>
      <c r="B5343" s="84" t="s">
        <v>399</v>
      </c>
      <c r="C5343" s="84">
        <v>29</v>
      </c>
      <c r="D5343" s="84">
        <v>2</v>
      </c>
      <c r="E5343" s="85">
        <v>25461.94</v>
      </c>
      <c r="F5343" s="85">
        <v>11586.96</v>
      </c>
      <c r="G5343" s="85">
        <v>-13874.98</v>
      </c>
    </row>
    <row r="5344" spans="1:7" x14ac:dyDescent="0.3">
      <c r="A5344" s="84">
        <v>2026</v>
      </c>
      <c r="B5344" s="84" t="s">
        <v>399</v>
      </c>
      <c r="C5344" s="84">
        <v>29</v>
      </c>
      <c r="D5344" s="84">
        <v>3</v>
      </c>
      <c r="E5344" s="85">
        <v>25461.94</v>
      </c>
      <c r="F5344" s="85">
        <v>11894.54</v>
      </c>
      <c r="G5344" s="85">
        <v>-13567.4</v>
      </c>
    </row>
    <row r="5345" spans="1:7" x14ac:dyDescent="0.3">
      <c r="A5345" s="84">
        <v>2026</v>
      </c>
      <c r="B5345" s="84" t="s">
        <v>399</v>
      </c>
      <c r="C5345" s="84">
        <v>29</v>
      </c>
      <c r="D5345" s="84">
        <v>4</v>
      </c>
      <c r="E5345" s="85">
        <v>25461.94</v>
      </c>
      <c r="F5345" s="85">
        <v>12200.86</v>
      </c>
      <c r="G5345" s="85">
        <v>-13261.08</v>
      </c>
    </row>
    <row r="5346" spans="1:7" x14ac:dyDescent="0.3">
      <c r="A5346" s="84">
        <v>2026</v>
      </c>
      <c r="B5346" s="84" t="s">
        <v>399</v>
      </c>
      <c r="C5346" s="84">
        <v>29</v>
      </c>
      <c r="D5346" s="84">
        <v>5</v>
      </c>
      <c r="E5346" s="85">
        <v>25461.94</v>
      </c>
      <c r="F5346" s="85">
        <v>12507.88</v>
      </c>
      <c r="G5346" s="85">
        <v>-12954.06</v>
      </c>
    </row>
    <row r="5347" spans="1:7" x14ac:dyDescent="0.3">
      <c r="A5347" s="84">
        <v>2026</v>
      </c>
      <c r="B5347" s="84" t="s">
        <v>399</v>
      </c>
      <c r="C5347" s="84">
        <v>29</v>
      </c>
      <c r="D5347" s="84">
        <v>6</v>
      </c>
      <c r="E5347" s="85">
        <v>25461.94</v>
      </c>
      <c r="F5347" s="85">
        <v>12712.7</v>
      </c>
      <c r="G5347" s="85">
        <v>-12749.24</v>
      </c>
    </row>
    <row r="5348" spans="1:7" x14ac:dyDescent="0.3">
      <c r="A5348" s="84">
        <v>2026</v>
      </c>
      <c r="B5348" s="84" t="s">
        <v>399</v>
      </c>
      <c r="C5348" s="84">
        <v>29</v>
      </c>
      <c r="D5348" s="84">
        <v>7</v>
      </c>
      <c r="E5348" s="85">
        <v>25461.94</v>
      </c>
      <c r="F5348" s="85">
        <v>12917.94</v>
      </c>
      <c r="G5348" s="85">
        <v>-12544</v>
      </c>
    </row>
    <row r="5349" spans="1:7" x14ac:dyDescent="0.3">
      <c r="A5349" s="84">
        <v>2026</v>
      </c>
      <c r="B5349" s="84" t="s">
        <v>399</v>
      </c>
      <c r="C5349" s="84">
        <v>29</v>
      </c>
      <c r="D5349" s="84">
        <v>8</v>
      </c>
      <c r="E5349" s="85">
        <v>25461.94</v>
      </c>
      <c r="F5349" s="85">
        <v>13122.48</v>
      </c>
      <c r="G5349" s="85">
        <v>-12339.46</v>
      </c>
    </row>
    <row r="5350" spans="1:7" x14ac:dyDescent="0.3">
      <c r="A5350" s="84">
        <v>2026</v>
      </c>
      <c r="B5350" s="84" t="s">
        <v>399</v>
      </c>
      <c r="C5350" s="84">
        <v>29</v>
      </c>
      <c r="D5350" s="84">
        <v>9</v>
      </c>
      <c r="E5350" s="85">
        <v>25461.94</v>
      </c>
      <c r="F5350" s="85">
        <v>13327.86</v>
      </c>
      <c r="G5350" s="85">
        <v>-12134.08</v>
      </c>
    </row>
    <row r="5351" spans="1:7" x14ac:dyDescent="0.3">
      <c r="A5351" s="84">
        <v>2026</v>
      </c>
      <c r="B5351" s="84" t="s">
        <v>399</v>
      </c>
      <c r="C5351" s="84">
        <v>29</v>
      </c>
      <c r="D5351" s="84">
        <v>10</v>
      </c>
      <c r="E5351" s="85">
        <v>25461.94</v>
      </c>
      <c r="F5351" s="85">
        <v>13532.82</v>
      </c>
      <c r="G5351" s="85">
        <v>-11929.12</v>
      </c>
    </row>
    <row r="5352" spans="1:7" x14ac:dyDescent="0.3">
      <c r="A5352" s="84">
        <v>2026</v>
      </c>
      <c r="B5352" s="84" t="s">
        <v>399</v>
      </c>
      <c r="C5352" s="84">
        <v>29</v>
      </c>
      <c r="D5352" s="84">
        <v>11</v>
      </c>
      <c r="E5352" s="85">
        <v>25461.94</v>
      </c>
      <c r="F5352" s="85">
        <v>13941.62</v>
      </c>
      <c r="G5352" s="85">
        <v>-11520.32</v>
      </c>
    </row>
    <row r="5353" spans="1:7" x14ac:dyDescent="0.3">
      <c r="A5353" s="84">
        <v>2026</v>
      </c>
      <c r="B5353" s="84" t="s">
        <v>399</v>
      </c>
      <c r="C5353" s="84">
        <v>29</v>
      </c>
      <c r="D5353" s="84">
        <v>12</v>
      </c>
      <c r="E5353" s="85">
        <v>25461.94</v>
      </c>
      <c r="F5353" s="85">
        <v>14351.54</v>
      </c>
      <c r="G5353" s="85">
        <v>-11110.4</v>
      </c>
    </row>
    <row r="5354" spans="1:7" x14ac:dyDescent="0.3">
      <c r="A5354" s="84">
        <v>2026</v>
      </c>
      <c r="B5354" s="84" t="s">
        <v>399</v>
      </c>
      <c r="C5354" s="84">
        <v>29</v>
      </c>
      <c r="D5354" s="84">
        <v>13</v>
      </c>
      <c r="E5354" s="85">
        <v>25461.94</v>
      </c>
      <c r="F5354" s="85">
        <v>14761.32</v>
      </c>
      <c r="G5354" s="85">
        <v>-10700.62</v>
      </c>
    </row>
    <row r="5355" spans="1:7" x14ac:dyDescent="0.3">
      <c r="A5355" s="84">
        <v>2026</v>
      </c>
      <c r="B5355" s="84" t="s">
        <v>399</v>
      </c>
      <c r="C5355" s="84">
        <v>29</v>
      </c>
      <c r="D5355" s="84">
        <v>14</v>
      </c>
      <c r="E5355" s="85">
        <v>25461.94</v>
      </c>
      <c r="F5355" s="85">
        <v>15171.52</v>
      </c>
      <c r="G5355" s="85">
        <v>-10290.42</v>
      </c>
    </row>
    <row r="5356" spans="1:7" x14ac:dyDescent="0.3">
      <c r="A5356" s="84">
        <v>2026</v>
      </c>
      <c r="B5356" s="84" t="s">
        <v>399</v>
      </c>
      <c r="C5356" s="84">
        <v>29</v>
      </c>
      <c r="D5356" s="84">
        <v>15</v>
      </c>
      <c r="E5356" s="85">
        <v>25461.94</v>
      </c>
      <c r="F5356" s="85">
        <v>15581.16</v>
      </c>
      <c r="G5356" s="85">
        <v>-9880.7800000000007</v>
      </c>
    </row>
    <row r="5357" spans="1:7" x14ac:dyDescent="0.3">
      <c r="A5357" s="84">
        <v>2026</v>
      </c>
      <c r="B5357" s="84" t="s">
        <v>399</v>
      </c>
      <c r="C5357" s="84">
        <v>29</v>
      </c>
      <c r="D5357" s="84">
        <v>16</v>
      </c>
      <c r="E5357" s="85">
        <v>25461.94</v>
      </c>
      <c r="F5357" s="85">
        <v>15990.8</v>
      </c>
      <c r="G5357" s="85">
        <v>-9471.14</v>
      </c>
    </row>
    <row r="5358" spans="1:7" x14ac:dyDescent="0.3">
      <c r="A5358" s="84">
        <v>2026</v>
      </c>
      <c r="B5358" s="84" t="s">
        <v>399</v>
      </c>
      <c r="C5358" s="84">
        <v>29</v>
      </c>
      <c r="D5358" s="84">
        <v>17</v>
      </c>
      <c r="E5358" s="85">
        <v>25461.94</v>
      </c>
      <c r="F5358" s="85">
        <v>16399.88</v>
      </c>
      <c r="G5358" s="85">
        <v>-9062.06</v>
      </c>
    </row>
    <row r="5359" spans="1:7" x14ac:dyDescent="0.3">
      <c r="A5359" s="84">
        <v>2026</v>
      </c>
      <c r="B5359" s="84" t="s">
        <v>399</v>
      </c>
      <c r="C5359" s="84">
        <v>29</v>
      </c>
      <c r="D5359" s="84">
        <v>18</v>
      </c>
      <c r="E5359" s="85">
        <v>25461.94</v>
      </c>
      <c r="F5359" s="85">
        <v>16809.8</v>
      </c>
      <c r="G5359" s="85">
        <v>-8652.14</v>
      </c>
    </row>
    <row r="5360" spans="1:7" x14ac:dyDescent="0.3">
      <c r="A5360" s="84">
        <v>2026</v>
      </c>
      <c r="B5360" s="84" t="s">
        <v>399</v>
      </c>
      <c r="C5360" s="84">
        <v>29</v>
      </c>
      <c r="D5360" s="84">
        <v>19</v>
      </c>
      <c r="E5360" s="85">
        <v>25461.94</v>
      </c>
      <c r="F5360" s="85">
        <v>17219.86</v>
      </c>
      <c r="G5360" s="85">
        <v>-8242.08</v>
      </c>
    </row>
    <row r="5361" spans="1:7" x14ac:dyDescent="0.3">
      <c r="A5361" s="84">
        <v>2026</v>
      </c>
      <c r="B5361" s="84" t="s">
        <v>399</v>
      </c>
      <c r="C5361" s="84">
        <v>29</v>
      </c>
      <c r="D5361" s="84">
        <v>20</v>
      </c>
      <c r="E5361" s="85">
        <v>25461.94</v>
      </c>
      <c r="F5361" s="85">
        <v>17629.64</v>
      </c>
      <c r="G5361" s="85">
        <v>-7832.3</v>
      </c>
    </row>
    <row r="5362" spans="1:7" x14ac:dyDescent="0.3">
      <c r="A5362" s="84">
        <v>2026</v>
      </c>
      <c r="B5362" s="84" t="s">
        <v>399</v>
      </c>
      <c r="C5362" s="84">
        <v>29</v>
      </c>
      <c r="D5362" s="84">
        <v>21</v>
      </c>
      <c r="E5362" s="85">
        <v>25461.94</v>
      </c>
      <c r="F5362" s="85">
        <v>18243.82</v>
      </c>
      <c r="G5362" s="85">
        <v>-7218.12</v>
      </c>
    </row>
    <row r="5363" spans="1:7" x14ac:dyDescent="0.3">
      <c r="A5363" s="84">
        <v>2026</v>
      </c>
      <c r="B5363" s="84" t="s">
        <v>399</v>
      </c>
      <c r="C5363" s="84">
        <v>29</v>
      </c>
      <c r="D5363" s="84">
        <v>22</v>
      </c>
      <c r="E5363" s="85">
        <v>25461.94</v>
      </c>
      <c r="F5363" s="85">
        <v>18909.099999999999</v>
      </c>
      <c r="G5363" s="85">
        <v>-6552.84</v>
      </c>
    </row>
    <row r="5364" spans="1:7" x14ac:dyDescent="0.3">
      <c r="A5364" s="84">
        <v>2026</v>
      </c>
      <c r="B5364" s="84" t="s">
        <v>399</v>
      </c>
      <c r="C5364" s="84">
        <v>29</v>
      </c>
      <c r="D5364" s="84">
        <v>23</v>
      </c>
      <c r="E5364" s="85">
        <v>25461.94</v>
      </c>
      <c r="F5364" s="85">
        <v>19576.759999999998</v>
      </c>
      <c r="G5364" s="85">
        <v>-5885.18</v>
      </c>
    </row>
    <row r="5365" spans="1:7" x14ac:dyDescent="0.3">
      <c r="A5365" s="84">
        <v>2026</v>
      </c>
      <c r="B5365" s="84" t="s">
        <v>399</v>
      </c>
      <c r="C5365" s="84">
        <v>29</v>
      </c>
      <c r="D5365" s="84">
        <v>24</v>
      </c>
      <c r="E5365" s="85">
        <v>25461.94</v>
      </c>
      <c r="F5365" s="85">
        <v>20242.88</v>
      </c>
      <c r="G5365" s="85">
        <v>-5219.0600000000004</v>
      </c>
    </row>
    <row r="5366" spans="1:7" x14ac:dyDescent="0.3">
      <c r="A5366" s="84">
        <v>2026</v>
      </c>
      <c r="B5366" s="84" t="s">
        <v>399</v>
      </c>
      <c r="C5366" s="84">
        <v>29</v>
      </c>
      <c r="D5366" s="84">
        <v>25</v>
      </c>
      <c r="E5366" s="85">
        <v>25461.94</v>
      </c>
      <c r="F5366" s="85">
        <v>20909.84</v>
      </c>
      <c r="G5366" s="85">
        <v>-4552.1000000000004</v>
      </c>
    </row>
    <row r="5367" spans="1:7" x14ac:dyDescent="0.3">
      <c r="A5367" s="84">
        <v>2026</v>
      </c>
      <c r="B5367" s="84" t="s">
        <v>399</v>
      </c>
      <c r="C5367" s="84">
        <v>29</v>
      </c>
      <c r="D5367" s="84">
        <v>26</v>
      </c>
      <c r="E5367" s="85">
        <v>25461.94</v>
      </c>
      <c r="F5367" s="85">
        <v>22346.799999999999</v>
      </c>
      <c r="G5367" s="85">
        <v>-3115.14</v>
      </c>
    </row>
    <row r="5368" spans="1:7" x14ac:dyDescent="0.3">
      <c r="A5368" s="84">
        <v>2026</v>
      </c>
      <c r="B5368" s="84" t="s">
        <v>399</v>
      </c>
      <c r="C5368" s="84">
        <v>29</v>
      </c>
      <c r="D5368" s="84">
        <v>27</v>
      </c>
      <c r="E5368" s="85">
        <v>25461.94</v>
      </c>
      <c r="F5368" s="85">
        <v>24128.720000000001</v>
      </c>
      <c r="G5368" s="85">
        <v>-1333.22</v>
      </c>
    </row>
    <row r="5369" spans="1:7" x14ac:dyDescent="0.3">
      <c r="A5369" s="84">
        <v>2026</v>
      </c>
      <c r="B5369" s="84" t="s">
        <v>399</v>
      </c>
      <c r="C5369" s="84">
        <v>29</v>
      </c>
      <c r="D5369" s="84">
        <v>28</v>
      </c>
      <c r="E5369" s="85">
        <v>25461.94</v>
      </c>
      <c r="F5369" s="85">
        <v>24795.82</v>
      </c>
      <c r="G5369" s="85">
        <v>-666.12</v>
      </c>
    </row>
    <row r="5370" spans="1:7" x14ac:dyDescent="0.3">
      <c r="A5370" s="84">
        <v>2026</v>
      </c>
      <c r="B5370" s="84" t="s">
        <v>399</v>
      </c>
      <c r="C5370" s="84">
        <v>29</v>
      </c>
      <c r="D5370" s="84">
        <v>29</v>
      </c>
      <c r="E5370" s="85">
        <v>25461.94</v>
      </c>
      <c r="F5370" s="85">
        <v>25461.94</v>
      </c>
      <c r="G5370" s="85">
        <v>0</v>
      </c>
    </row>
    <row r="5371" spans="1:7" x14ac:dyDescent="0.3">
      <c r="A5371" s="84">
        <v>2026</v>
      </c>
      <c r="B5371" s="84" t="s">
        <v>399</v>
      </c>
      <c r="C5371" s="84">
        <v>29</v>
      </c>
      <c r="D5371" s="84">
        <v>30</v>
      </c>
      <c r="E5371" s="85">
        <v>25461.94</v>
      </c>
      <c r="F5371" s="85">
        <v>27284.38</v>
      </c>
      <c r="G5371" s="85">
        <v>1822.44</v>
      </c>
    </row>
    <row r="5372" spans="1:7" x14ac:dyDescent="0.3">
      <c r="A5372" s="84">
        <v>2026</v>
      </c>
      <c r="B5372" s="84" t="s">
        <v>399</v>
      </c>
      <c r="C5372" s="84">
        <v>30</v>
      </c>
      <c r="D5372" s="84">
        <v>1</v>
      </c>
      <c r="E5372" s="85">
        <v>27284.38</v>
      </c>
      <c r="F5372" s="85">
        <v>11279.66</v>
      </c>
      <c r="G5372" s="85">
        <v>-16004.72</v>
      </c>
    </row>
    <row r="5373" spans="1:7" x14ac:dyDescent="0.3">
      <c r="A5373" s="84">
        <v>2026</v>
      </c>
      <c r="B5373" s="84" t="s">
        <v>399</v>
      </c>
      <c r="C5373" s="84">
        <v>30</v>
      </c>
      <c r="D5373" s="84">
        <v>2</v>
      </c>
      <c r="E5373" s="85">
        <v>27284.38</v>
      </c>
      <c r="F5373" s="85">
        <v>11586.96</v>
      </c>
      <c r="G5373" s="85">
        <v>-15697.42</v>
      </c>
    </row>
    <row r="5374" spans="1:7" x14ac:dyDescent="0.3">
      <c r="A5374" s="84">
        <v>2026</v>
      </c>
      <c r="B5374" s="84" t="s">
        <v>399</v>
      </c>
      <c r="C5374" s="84">
        <v>30</v>
      </c>
      <c r="D5374" s="84">
        <v>3</v>
      </c>
      <c r="E5374" s="85">
        <v>27284.38</v>
      </c>
      <c r="F5374" s="85">
        <v>11894.54</v>
      </c>
      <c r="G5374" s="85">
        <v>-15389.84</v>
      </c>
    </row>
    <row r="5375" spans="1:7" x14ac:dyDescent="0.3">
      <c r="A5375" s="84">
        <v>2026</v>
      </c>
      <c r="B5375" s="84" t="s">
        <v>399</v>
      </c>
      <c r="C5375" s="84">
        <v>30</v>
      </c>
      <c r="D5375" s="84">
        <v>4</v>
      </c>
      <c r="E5375" s="85">
        <v>27284.38</v>
      </c>
      <c r="F5375" s="85">
        <v>12200.86</v>
      </c>
      <c r="G5375" s="85">
        <v>-15083.52</v>
      </c>
    </row>
    <row r="5376" spans="1:7" x14ac:dyDescent="0.3">
      <c r="A5376" s="84">
        <v>2026</v>
      </c>
      <c r="B5376" s="84" t="s">
        <v>399</v>
      </c>
      <c r="C5376" s="84">
        <v>30</v>
      </c>
      <c r="D5376" s="84">
        <v>5</v>
      </c>
      <c r="E5376" s="85">
        <v>27284.38</v>
      </c>
      <c r="F5376" s="85">
        <v>12507.88</v>
      </c>
      <c r="G5376" s="85">
        <v>-14776.5</v>
      </c>
    </row>
    <row r="5377" spans="1:7" x14ac:dyDescent="0.3">
      <c r="A5377" s="84">
        <v>2026</v>
      </c>
      <c r="B5377" s="84" t="s">
        <v>399</v>
      </c>
      <c r="C5377" s="84">
        <v>30</v>
      </c>
      <c r="D5377" s="84">
        <v>6</v>
      </c>
      <c r="E5377" s="85">
        <v>27284.38</v>
      </c>
      <c r="F5377" s="85">
        <v>12712.7</v>
      </c>
      <c r="G5377" s="85">
        <v>-14571.68</v>
      </c>
    </row>
    <row r="5378" spans="1:7" x14ac:dyDescent="0.3">
      <c r="A5378" s="84">
        <v>2026</v>
      </c>
      <c r="B5378" s="84" t="s">
        <v>399</v>
      </c>
      <c r="C5378" s="84">
        <v>30</v>
      </c>
      <c r="D5378" s="84">
        <v>7</v>
      </c>
      <c r="E5378" s="85">
        <v>27284.38</v>
      </c>
      <c r="F5378" s="85">
        <v>12917.94</v>
      </c>
      <c r="G5378" s="85">
        <v>-14366.44</v>
      </c>
    </row>
    <row r="5379" spans="1:7" x14ac:dyDescent="0.3">
      <c r="A5379" s="84">
        <v>2026</v>
      </c>
      <c r="B5379" s="84" t="s">
        <v>399</v>
      </c>
      <c r="C5379" s="84">
        <v>30</v>
      </c>
      <c r="D5379" s="84">
        <v>8</v>
      </c>
      <c r="E5379" s="85">
        <v>27284.38</v>
      </c>
      <c r="F5379" s="85">
        <v>13122.48</v>
      </c>
      <c r="G5379" s="85">
        <v>-14161.9</v>
      </c>
    </row>
    <row r="5380" spans="1:7" x14ac:dyDescent="0.3">
      <c r="A5380" s="84">
        <v>2026</v>
      </c>
      <c r="B5380" s="84" t="s">
        <v>399</v>
      </c>
      <c r="C5380" s="84">
        <v>30</v>
      </c>
      <c r="D5380" s="84">
        <v>9</v>
      </c>
      <c r="E5380" s="85">
        <v>27284.38</v>
      </c>
      <c r="F5380" s="85">
        <v>13327.86</v>
      </c>
      <c r="G5380" s="85">
        <v>-13956.52</v>
      </c>
    </row>
    <row r="5381" spans="1:7" x14ac:dyDescent="0.3">
      <c r="A5381" s="84">
        <v>2026</v>
      </c>
      <c r="B5381" s="84" t="s">
        <v>399</v>
      </c>
      <c r="C5381" s="84">
        <v>30</v>
      </c>
      <c r="D5381" s="84">
        <v>10</v>
      </c>
      <c r="E5381" s="85">
        <v>27284.38</v>
      </c>
      <c r="F5381" s="85">
        <v>13532.82</v>
      </c>
      <c r="G5381" s="85">
        <v>-13751.56</v>
      </c>
    </row>
    <row r="5382" spans="1:7" x14ac:dyDescent="0.3">
      <c r="A5382" s="84">
        <v>2026</v>
      </c>
      <c r="B5382" s="84" t="s">
        <v>399</v>
      </c>
      <c r="C5382" s="84">
        <v>30</v>
      </c>
      <c r="D5382" s="84">
        <v>11</v>
      </c>
      <c r="E5382" s="85">
        <v>27284.38</v>
      </c>
      <c r="F5382" s="85">
        <v>13941.62</v>
      </c>
      <c r="G5382" s="85">
        <v>-13342.76</v>
      </c>
    </row>
    <row r="5383" spans="1:7" x14ac:dyDescent="0.3">
      <c r="A5383" s="84">
        <v>2026</v>
      </c>
      <c r="B5383" s="84" t="s">
        <v>399</v>
      </c>
      <c r="C5383" s="84">
        <v>30</v>
      </c>
      <c r="D5383" s="84">
        <v>12</v>
      </c>
      <c r="E5383" s="85">
        <v>27284.38</v>
      </c>
      <c r="F5383" s="85">
        <v>14351.54</v>
      </c>
      <c r="G5383" s="85">
        <v>-12932.84</v>
      </c>
    </row>
    <row r="5384" spans="1:7" x14ac:dyDescent="0.3">
      <c r="A5384" s="84">
        <v>2026</v>
      </c>
      <c r="B5384" s="84" t="s">
        <v>399</v>
      </c>
      <c r="C5384" s="84">
        <v>30</v>
      </c>
      <c r="D5384" s="84">
        <v>13</v>
      </c>
      <c r="E5384" s="85">
        <v>27284.38</v>
      </c>
      <c r="F5384" s="85">
        <v>14761.32</v>
      </c>
      <c r="G5384" s="85">
        <v>-12523.06</v>
      </c>
    </row>
    <row r="5385" spans="1:7" x14ac:dyDescent="0.3">
      <c r="A5385" s="84">
        <v>2026</v>
      </c>
      <c r="B5385" s="84" t="s">
        <v>399</v>
      </c>
      <c r="C5385" s="84">
        <v>30</v>
      </c>
      <c r="D5385" s="84">
        <v>14</v>
      </c>
      <c r="E5385" s="85">
        <v>27284.38</v>
      </c>
      <c r="F5385" s="85">
        <v>15171.52</v>
      </c>
      <c r="G5385" s="85">
        <v>-12112.86</v>
      </c>
    </row>
    <row r="5386" spans="1:7" x14ac:dyDescent="0.3">
      <c r="A5386" s="84">
        <v>2026</v>
      </c>
      <c r="B5386" s="84" t="s">
        <v>399</v>
      </c>
      <c r="C5386" s="84">
        <v>30</v>
      </c>
      <c r="D5386" s="84">
        <v>15</v>
      </c>
      <c r="E5386" s="85">
        <v>27284.38</v>
      </c>
      <c r="F5386" s="85">
        <v>15581.16</v>
      </c>
      <c r="G5386" s="85">
        <v>-11703.22</v>
      </c>
    </row>
    <row r="5387" spans="1:7" x14ac:dyDescent="0.3">
      <c r="A5387" s="84">
        <v>2026</v>
      </c>
      <c r="B5387" s="84" t="s">
        <v>399</v>
      </c>
      <c r="C5387" s="84">
        <v>30</v>
      </c>
      <c r="D5387" s="84">
        <v>16</v>
      </c>
      <c r="E5387" s="85">
        <v>27284.38</v>
      </c>
      <c r="F5387" s="85">
        <v>15990.8</v>
      </c>
      <c r="G5387" s="85">
        <v>-11293.58</v>
      </c>
    </row>
    <row r="5388" spans="1:7" x14ac:dyDescent="0.3">
      <c r="A5388" s="84">
        <v>2026</v>
      </c>
      <c r="B5388" s="84" t="s">
        <v>399</v>
      </c>
      <c r="C5388" s="84">
        <v>30</v>
      </c>
      <c r="D5388" s="84">
        <v>17</v>
      </c>
      <c r="E5388" s="85">
        <v>27284.38</v>
      </c>
      <c r="F5388" s="85">
        <v>16399.88</v>
      </c>
      <c r="G5388" s="85">
        <v>-10884.5</v>
      </c>
    </row>
    <row r="5389" spans="1:7" x14ac:dyDescent="0.3">
      <c r="A5389" s="84">
        <v>2026</v>
      </c>
      <c r="B5389" s="84" t="s">
        <v>399</v>
      </c>
      <c r="C5389" s="84">
        <v>30</v>
      </c>
      <c r="D5389" s="84">
        <v>18</v>
      </c>
      <c r="E5389" s="85">
        <v>27284.38</v>
      </c>
      <c r="F5389" s="85">
        <v>16809.8</v>
      </c>
      <c r="G5389" s="85">
        <v>-10474.58</v>
      </c>
    </row>
    <row r="5390" spans="1:7" x14ac:dyDescent="0.3">
      <c r="A5390" s="84">
        <v>2026</v>
      </c>
      <c r="B5390" s="84" t="s">
        <v>399</v>
      </c>
      <c r="C5390" s="84">
        <v>30</v>
      </c>
      <c r="D5390" s="84">
        <v>19</v>
      </c>
      <c r="E5390" s="85">
        <v>27284.38</v>
      </c>
      <c r="F5390" s="85">
        <v>17219.86</v>
      </c>
      <c r="G5390" s="85">
        <v>-10064.52</v>
      </c>
    </row>
    <row r="5391" spans="1:7" x14ac:dyDescent="0.3">
      <c r="A5391" s="84">
        <v>2026</v>
      </c>
      <c r="B5391" s="84" t="s">
        <v>399</v>
      </c>
      <c r="C5391" s="84">
        <v>30</v>
      </c>
      <c r="D5391" s="84">
        <v>20</v>
      </c>
      <c r="E5391" s="85">
        <v>27284.38</v>
      </c>
      <c r="F5391" s="85">
        <v>17629.64</v>
      </c>
      <c r="G5391" s="85">
        <v>-9654.74</v>
      </c>
    </row>
    <row r="5392" spans="1:7" x14ac:dyDescent="0.3">
      <c r="A5392" s="84">
        <v>2026</v>
      </c>
      <c r="B5392" s="84" t="s">
        <v>399</v>
      </c>
      <c r="C5392" s="84">
        <v>30</v>
      </c>
      <c r="D5392" s="84">
        <v>21</v>
      </c>
      <c r="E5392" s="85">
        <v>27284.38</v>
      </c>
      <c r="F5392" s="85">
        <v>18243.82</v>
      </c>
      <c r="G5392" s="85">
        <v>-9040.56</v>
      </c>
    </row>
    <row r="5393" spans="1:7" x14ac:dyDescent="0.3">
      <c r="A5393" s="84">
        <v>2026</v>
      </c>
      <c r="B5393" s="84" t="s">
        <v>399</v>
      </c>
      <c r="C5393" s="84">
        <v>30</v>
      </c>
      <c r="D5393" s="84">
        <v>22</v>
      </c>
      <c r="E5393" s="85">
        <v>27284.38</v>
      </c>
      <c r="F5393" s="85">
        <v>18909.099999999999</v>
      </c>
      <c r="G5393" s="85">
        <v>-8375.2800000000007</v>
      </c>
    </row>
    <row r="5394" spans="1:7" x14ac:dyDescent="0.3">
      <c r="A5394" s="84">
        <v>2026</v>
      </c>
      <c r="B5394" s="84" t="s">
        <v>399</v>
      </c>
      <c r="C5394" s="84">
        <v>30</v>
      </c>
      <c r="D5394" s="84">
        <v>23</v>
      </c>
      <c r="E5394" s="85">
        <v>27284.38</v>
      </c>
      <c r="F5394" s="85">
        <v>19576.759999999998</v>
      </c>
      <c r="G5394" s="85">
        <v>-7707.62</v>
      </c>
    </row>
    <row r="5395" spans="1:7" x14ac:dyDescent="0.3">
      <c r="A5395" s="84">
        <v>2026</v>
      </c>
      <c r="B5395" s="84" t="s">
        <v>399</v>
      </c>
      <c r="C5395" s="84">
        <v>30</v>
      </c>
      <c r="D5395" s="84">
        <v>24</v>
      </c>
      <c r="E5395" s="85">
        <v>27284.38</v>
      </c>
      <c r="F5395" s="85">
        <v>20242.88</v>
      </c>
      <c r="G5395" s="85">
        <v>-7041.5</v>
      </c>
    </row>
    <row r="5396" spans="1:7" x14ac:dyDescent="0.3">
      <c r="A5396" s="84">
        <v>2026</v>
      </c>
      <c r="B5396" s="84" t="s">
        <v>399</v>
      </c>
      <c r="C5396" s="84">
        <v>30</v>
      </c>
      <c r="D5396" s="84">
        <v>25</v>
      </c>
      <c r="E5396" s="85">
        <v>27284.38</v>
      </c>
      <c r="F5396" s="85">
        <v>20909.84</v>
      </c>
      <c r="G5396" s="85">
        <v>-6374.54</v>
      </c>
    </row>
    <row r="5397" spans="1:7" x14ac:dyDescent="0.3">
      <c r="A5397" s="84">
        <v>2026</v>
      </c>
      <c r="B5397" s="84" t="s">
        <v>399</v>
      </c>
      <c r="C5397" s="84">
        <v>30</v>
      </c>
      <c r="D5397" s="84">
        <v>26</v>
      </c>
      <c r="E5397" s="85">
        <v>27284.38</v>
      </c>
      <c r="F5397" s="85">
        <v>22346.799999999999</v>
      </c>
      <c r="G5397" s="85">
        <v>-4937.58</v>
      </c>
    </row>
    <row r="5398" spans="1:7" x14ac:dyDescent="0.3">
      <c r="A5398" s="84">
        <v>2026</v>
      </c>
      <c r="B5398" s="84" t="s">
        <v>399</v>
      </c>
      <c r="C5398" s="84">
        <v>30</v>
      </c>
      <c r="D5398" s="84">
        <v>27</v>
      </c>
      <c r="E5398" s="85">
        <v>27284.38</v>
      </c>
      <c r="F5398" s="85">
        <v>24128.720000000001</v>
      </c>
      <c r="G5398" s="85">
        <v>-3155.66</v>
      </c>
    </row>
    <row r="5399" spans="1:7" x14ac:dyDescent="0.3">
      <c r="A5399" s="84">
        <v>2026</v>
      </c>
      <c r="B5399" s="84" t="s">
        <v>399</v>
      </c>
      <c r="C5399" s="84">
        <v>30</v>
      </c>
      <c r="D5399" s="84">
        <v>28</v>
      </c>
      <c r="E5399" s="85">
        <v>27284.38</v>
      </c>
      <c r="F5399" s="85">
        <v>24795.82</v>
      </c>
      <c r="G5399" s="85">
        <v>-2488.56</v>
      </c>
    </row>
    <row r="5400" spans="1:7" x14ac:dyDescent="0.3">
      <c r="A5400" s="84">
        <v>2026</v>
      </c>
      <c r="B5400" s="84" t="s">
        <v>399</v>
      </c>
      <c r="C5400" s="84">
        <v>30</v>
      </c>
      <c r="D5400" s="84">
        <v>29</v>
      </c>
      <c r="E5400" s="85">
        <v>27284.38</v>
      </c>
      <c r="F5400" s="85">
        <v>25461.94</v>
      </c>
      <c r="G5400" s="85">
        <v>-1822.44</v>
      </c>
    </row>
    <row r="5401" spans="1:7" x14ac:dyDescent="0.3">
      <c r="A5401" s="84">
        <v>2026</v>
      </c>
      <c r="B5401" s="84" t="s">
        <v>399</v>
      </c>
      <c r="C5401" s="84">
        <v>30</v>
      </c>
      <c r="D5401" s="84">
        <v>30</v>
      </c>
      <c r="E5401" s="85">
        <v>27284.38</v>
      </c>
      <c r="F5401" s="85">
        <v>27284.38</v>
      </c>
      <c r="G5401" s="85">
        <v>0</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7"/>
  <sheetViews>
    <sheetView workbookViewId="0"/>
  </sheetViews>
  <sheetFormatPr baseColWidth="10" defaultColWidth="8.88671875" defaultRowHeight="14.4" x14ac:dyDescent="0.3"/>
  <cols>
    <col min="1" max="1" width="26" customWidth="1"/>
    <col min="2" max="2" width="100" customWidth="1"/>
  </cols>
  <sheetData>
    <row r="1" spans="1:2" x14ac:dyDescent="0.3">
      <c r="A1" s="86" t="s">
        <v>1499</v>
      </c>
      <c r="B1" s="86" t="s">
        <v>1500</v>
      </c>
    </row>
    <row r="2" spans="1:2" x14ac:dyDescent="0.3">
      <c r="A2" s="91" t="s">
        <v>1501</v>
      </c>
      <c r="B2" s="87" t="s">
        <v>1502</v>
      </c>
    </row>
    <row r="3" spans="1:2" x14ac:dyDescent="0.3">
      <c r="A3" s="91" t="s">
        <v>1478</v>
      </c>
      <c r="B3" s="87" t="s">
        <v>1503</v>
      </c>
    </row>
    <row r="4" spans="1:2" x14ac:dyDescent="0.3">
      <c r="A4" s="91" t="s">
        <v>1504</v>
      </c>
      <c r="B4" s="87" t="s">
        <v>1505</v>
      </c>
    </row>
    <row r="5" spans="1:2" ht="28.8" x14ac:dyDescent="0.3">
      <c r="A5" s="91" t="s">
        <v>1506</v>
      </c>
      <c r="B5" s="87" t="s">
        <v>1507</v>
      </c>
    </row>
    <row r="6" spans="1:2" x14ac:dyDescent="0.3">
      <c r="A6" s="91" t="s">
        <v>1465</v>
      </c>
      <c r="B6" s="87" t="s">
        <v>1508</v>
      </c>
    </row>
    <row r="7" spans="1:2" x14ac:dyDescent="0.3">
      <c r="A7" s="91" t="s">
        <v>386</v>
      </c>
      <c r="B7" s="87" t="s">
        <v>1509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7"/>
  <sheetViews>
    <sheetView workbookViewId="0"/>
  </sheetViews>
  <sheetFormatPr baseColWidth="10" defaultColWidth="8.88671875" defaultRowHeight="14.4" x14ac:dyDescent="0.3"/>
  <cols>
    <col min="1" max="1" width="17.21875" customWidth="1"/>
    <col min="2" max="2" width="125" customWidth="1"/>
  </cols>
  <sheetData>
    <row r="1" spans="1:2" x14ac:dyDescent="0.3">
      <c r="A1" s="93" t="s">
        <v>1510</v>
      </c>
      <c r="B1" s="93" t="s">
        <v>1511</v>
      </c>
    </row>
    <row r="2" spans="1:2" x14ac:dyDescent="0.3">
      <c r="A2" t="s">
        <v>1478</v>
      </c>
      <c r="B2" t="s">
        <v>1512</v>
      </c>
    </row>
    <row r="3" spans="1:2" x14ac:dyDescent="0.3">
      <c r="A3" t="s">
        <v>1469</v>
      </c>
      <c r="B3">
        <v>166</v>
      </c>
    </row>
    <row r="4" spans="1:2" x14ac:dyDescent="0.3">
      <c r="A4" t="s">
        <v>1465</v>
      </c>
      <c r="B4" t="s">
        <v>1513</v>
      </c>
    </row>
    <row r="5" spans="1:2" x14ac:dyDescent="0.3">
      <c r="A5" t="s">
        <v>1514</v>
      </c>
      <c r="B5" t="s">
        <v>1515</v>
      </c>
    </row>
    <row r="6" spans="1:2" x14ac:dyDescent="0.3">
      <c r="A6" t="s">
        <v>1506</v>
      </c>
      <c r="B6" t="s">
        <v>1516</v>
      </c>
    </row>
    <row r="7" spans="1:2" x14ac:dyDescent="0.3">
      <c r="A7" t="s">
        <v>386</v>
      </c>
      <c r="B7" t="s">
        <v>1517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9"/>
  <sheetViews>
    <sheetView workbookViewId="0"/>
  </sheetViews>
  <sheetFormatPr baseColWidth="10" defaultColWidth="8.88671875" defaultRowHeight="14.4" x14ac:dyDescent="0.3"/>
  <cols>
    <col min="1" max="1" width="24" customWidth="1"/>
    <col min="2" max="2" width="100" customWidth="1"/>
  </cols>
  <sheetData>
    <row r="1" spans="1:2" x14ac:dyDescent="0.3">
      <c r="A1" s="97" t="s">
        <v>1518</v>
      </c>
      <c r="B1" s="97" t="s">
        <v>1519</v>
      </c>
    </row>
    <row r="2" spans="1:2" x14ac:dyDescent="0.3">
      <c r="A2" s="71" t="s">
        <v>1499</v>
      </c>
      <c r="B2" s="71" t="s">
        <v>1520</v>
      </c>
    </row>
    <row r="3" spans="1:2" x14ac:dyDescent="0.3">
      <c r="A3" s="71" t="s">
        <v>1478</v>
      </c>
      <c r="B3" s="71" t="s">
        <v>1521</v>
      </c>
    </row>
    <row r="4" spans="1:2" x14ac:dyDescent="0.3">
      <c r="A4" s="71" t="s">
        <v>1522</v>
      </c>
      <c r="B4" s="71" t="s">
        <v>1523</v>
      </c>
    </row>
    <row r="5" spans="1:2" ht="28.8" x14ac:dyDescent="0.3">
      <c r="A5" s="71" t="s">
        <v>1524</v>
      </c>
      <c r="B5" s="71" t="s">
        <v>1525</v>
      </c>
    </row>
    <row r="6" spans="1:2" ht="28.8" x14ac:dyDescent="0.3">
      <c r="A6" s="71" t="s">
        <v>1526</v>
      </c>
      <c r="B6" s="71" t="s">
        <v>1527</v>
      </c>
    </row>
    <row r="7" spans="1:2" x14ac:dyDescent="0.3">
      <c r="A7" s="71" t="s">
        <v>1528</v>
      </c>
      <c r="B7" s="71" t="s">
        <v>1529</v>
      </c>
    </row>
    <row r="8" spans="1:2" x14ac:dyDescent="0.3">
      <c r="A8" s="71" t="s">
        <v>1526</v>
      </c>
      <c r="B8" s="71" t="s">
        <v>1530</v>
      </c>
    </row>
    <row r="9" spans="1:2" ht="28.8" x14ac:dyDescent="0.3">
      <c r="A9" s="71" t="s">
        <v>1531</v>
      </c>
      <c r="B9" s="71" t="s">
        <v>1532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verbs_patterns</vt:lpstr>
      <vt:lpstr>verbs_dictionary</vt:lpstr>
      <vt:lpstr>compatibility_verbs</vt:lpstr>
      <vt:lpstr>patrones_vector</vt:lpstr>
      <vt:lpstr>puestos_vector</vt:lpstr>
      <vt:lpstr>diccionario_columnas</vt:lpstr>
      <vt:lpstr>resultados_het_cd</vt:lpstr>
      <vt:lpstr>comparacion_externa</vt:lpstr>
      <vt:lpstr>impacto_economico</vt:lpstr>
      <vt:lpstr>pesos_modelo</vt:lpstr>
      <vt:lpstr>00_LEEME</vt:lpstr>
      <vt:lpstr>rangos_cd</vt:lpstr>
      <vt:lpstr>guia_escalas</vt:lpstr>
      <vt:lpstr>criterios_vectorizacion_cd</vt:lpstr>
      <vt:lpstr>criterios_grupos_funcionales</vt:lpstr>
      <vt:lpstr>calibracion_puestos_patron</vt:lpstr>
      <vt:lpstr>puestos_vector_preliminar</vt:lpstr>
      <vt:lpstr>puestos_rpt_fuente</vt:lpstr>
      <vt:lpstr>resumen_vectorizacion_rpt</vt:lpstr>
      <vt:lpstr>00_actualizacion_v1_5</vt:lpstr>
      <vt:lpstr>importes_cd_2026</vt:lpstr>
      <vt:lpstr>diferenciales_cd_2026</vt:lpstr>
      <vt:lpstr>00_actualizacion_v1_6</vt:lpstr>
      <vt:lpstr>00_actualizacion_v1_7</vt:lpstr>
      <vt:lpstr>00_actualizacion_v1_8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QUESADA MOLINA</dc:creator>
  <cp:lastModifiedBy>Eduardo Quesada Molina</cp:lastModifiedBy>
  <dcterms:created xsi:type="dcterms:W3CDTF">2026-05-08T07:07:32Z</dcterms:created>
  <dcterms:modified xsi:type="dcterms:W3CDTF">2026-05-08T07:18:17Z</dcterms:modified>
</cp:coreProperties>
</file>